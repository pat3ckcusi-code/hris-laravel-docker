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t3c\OneDrive\Documents\HR\Rules on Leave Management\"/>
    </mc:Choice>
  </mc:AlternateContent>
  <xr:revisionPtr revIDLastSave="0" documentId="8_{27DB1AF8-35D5-44E8-8FD4-BC8D5DFC03EE}" xr6:coauthVersionLast="47" xr6:coauthVersionMax="47" xr10:uidLastSave="{00000000-0000-0000-0000-000000000000}"/>
  <bookViews>
    <workbookView xWindow="-108" yWindow="-108" windowWidth="23256" windowHeight="12456" tabRatio="966" xr2:uid="{00000000-000D-0000-FFFF-FFFF00000000}"/>
  </bookViews>
  <sheets>
    <sheet name="PANER E." sheetId="19" r:id="rId1"/>
    <sheet name="MENDOZA L." sheetId="16" r:id="rId2"/>
    <sheet name="CASTILLO M." sheetId="15" r:id="rId3"/>
    <sheet name="GOZAR R." sheetId="14" r:id="rId4"/>
    <sheet name="GOZAR S." sheetId="13" r:id="rId5"/>
    <sheet name="LEA DIMAANO" sheetId="11" r:id="rId6"/>
    <sheet name="LEONAR R" sheetId="12" r:id="rId7"/>
    <sheet name="MARASIGAN J (2)" sheetId="10" r:id="rId8"/>
    <sheet name="MARASIGAN J" sheetId="9" r:id="rId9"/>
    <sheet name="CRISPIN C. (2)" sheetId="8" r:id="rId10"/>
    <sheet name="CRISPIN C." sheetId="6" r:id="rId11"/>
    <sheet name="ONAL E" sheetId="5" r:id="rId12"/>
    <sheet name="NICASIO C (2)" sheetId="4" r:id="rId13"/>
    <sheet name="Sheet2" sheetId="17" r:id="rId14"/>
    <sheet name="Sheet3" sheetId="18" r:id="rId15"/>
    <sheet name="NICASIO C" sheetId="3" r:id="rId16"/>
    <sheet name="STEPHANINE ANN T." sheetId="2" r:id="rId17"/>
    <sheet name="BLANK" sheetId="1" r:id="rId18"/>
    <sheet name="Sheet1" sheetId="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2" i="19" l="1"/>
  <c r="G552" i="19"/>
  <c r="D552" i="19"/>
  <c r="C552" i="19"/>
  <c r="K520" i="19"/>
  <c r="A520" i="19"/>
  <c r="H513" i="19"/>
  <c r="G513" i="19"/>
  <c r="D513" i="19"/>
  <c r="C513" i="19"/>
  <c r="K481" i="19"/>
  <c r="A481" i="19"/>
  <c r="H478" i="19"/>
  <c r="D478" i="19"/>
  <c r="C478" i="19"/>
  <c r="G477" i="19"/>
  <c r="G476" i="19"/>
  <c r="G475" i="19"/>
  <c r="G474" i="19"/>
  <c r="G473" i="19"/>
  <c r="G472" i="19"/>
  <c r="G471" i="19"/>
  <c r="G470" i="19"/>
  <c r="G469" i="19"/>
  <c r="G468" i="19"/>
  <c r="G467" i="19"/>
  <c r="G466" i="19"/>
  <c r="G465" i="19"/>
  <c r="G464" i="19"/>
  <c r="G463" i="19"/>
  <c r="G462" i="19"/>
  <c r="G461" i="19"/>
  <c r="G460" i="19"/>
  <c r="G459" i="19"/>
  <c r="G458" i="19"/>
  <c r="G457" i="19"/>
  <c r="G456" i="19"/>
  <c r="G455" i="19"/>
  <c r="G454" i="19"/>
  <c r="G453" i="19"/>
  <c r="G452" i="19"/>
  <c r="K446" i="19"/>
  <c r="A446" i="19"/>
  <c r="H439" i="19"/>
  <c r="D439" i="19"/>
  <c r="C439" i="19"/>
  <c r="G438" i="19"/>
  <c r="G437" i="19"/>
  <c r="G436" i="19"/>
  <c r="G435" i="19"/>
  <c r="G434" i="19"/>
  <c r="G433" i="19"/>
  <c r="G432" i="19"/>
  <c r="G431" i="19"/>
  <c r="G430" i="19"/>
  <c r="G429" i="19"/>
  <c r="G428" i="19"/>
  <c r="G427" i="19"/>
  <c r="G426" i="19"/>
  <c r="G425" i="19"/>
  <c r="G424" i="19"/>
  <c r="G423" i="19"/>
  <c r="G422" i="19"/>
  <c r="G421" i="19"/>
  <c r="G420" i="19"/>
  <c r="G419" i="19"/>
  <c r="G418" i="19"/>
  <c r="G417" i="19"/>
  <c r="G416" i="19"/>
  <c r="G415" i="19"/>
  <c r="G414" i="19"/>
  <c r="G413" i="19"/>
  <c r="K407" i="19"/>
  <c r="A407" i="19"/>
  <c r="H404" i="19"/>
  <c r="D404" i="19"/>
  <c r="C404" i="19"/>
  <c r="G403" i="19"/>
  <c r="G402" i="19"/>
  <c r="G401" i="19"/>
  <c r="G400" i="19"/>
  <c r="G399" i="19"/>
  <c r="G398" i="19"/>
  <c r="G397" i="19"/>
  <c r="G396" i="19"/>
  <c r="G395" i="19"/>
  <c r="G394" i="19"/>
  <c r="G393" i="19"/>
  <c r="G392" i="19"/>
  <c r="G391" i="19"/>
  <c r="G390" i="19"/>
  <c r="G389" i="19"/>
  <c r="G388" i="19"/>
  <c r="G387" i="19"/>
  <c r="G386" i="19"/>
  <c r="G385" i="19"/>
  <c r="G384" i="19"/>
  <c r="G383" i="19"/>
  <c r="G382" i="19"/>
  <c r="G381" i="19"/>
  <c r="G380" i="19"/>
  <c r="G379" i="19"/>
  <c r="G378" i="19"/>
  <c r="G404" i="19" s="1"/>
  <c r="K372" i="19"/>
  <c r="A372" i="19"/>
  <c r="H365" i="19"/>
  <c r="D365" i="19"/>
  <c r="C365" i="19"/>
  <c r="G364" i="19"/>
  <c r="G363" i="19"/>
  <c r="G362" i="19"/>
  <c r="G361" i="19"/>
  <c r="G360" i="19"/>
  <c r="G359" i="19"/>
  <c r="G358" i="19"/>
  <c r="G357" i="19"/>
  <c r="G356" i="19"/>
  <c r="G355" i="19"/>
  <c r="G354" i="19"/>
  <c r="G353" i="19"/>
  <c r="G352" i="19"/>
  <c r="G351" i="19"/>
  <c r="G350" i="19"/>
  <c r="G349" i="19"/>
  <c r="G348" i="19"/>
  <c r="G347" i="19"/>
  <c r="G346" i="19"/>
  <c r="G345" i="19"/>
  <c r="G344" i="19"/>
  <c r="G343" i="19"/>
  <c r="G342" i="19"/>
  <c r="G341" i="19"/>
  <c r="G340" i="19"/>
  <c r="G339" i="19"/>
  <c r="K333" i="19"/>
  <c r="A333" i="19"/>
  <c r="H330" i="19"/>
  <c r="D330" i="19"/>
  <c r="C330" i="19"/>
  <c r="G329" i="19"/>
  <c r="G328" i="19"/>
  <c r="G327" i="19"/>
  <c r="G326" i="19"/>
  <c r="G325" i="19"/>
  <c r="G324" i="19"/>
  <c r="G323" i="19"/>
  <c r="G322" i="19"/>
  <c r="G321" i="19"/>
  <c r="G320" i="19"/>
  <c r="G319" i="19"/>
  <c r="G318" i="19"/>
  <c r="G317" i="19"/>
  <c r="G316" i="19"/>
  <c r="G315" i="19"/>
  <c r="G314" i="19"/>
  <c r="G313" i="19"/>
  <c r="G312" i="19"/>
  <c r="G311" i="19"/>
  <c r="G310" i="19"/>
  <c r="G309" i="19"/>
  <c r="G308" i="19"/>
  <c r="G307" i="19"/>
  <c r="G306" i="19"/>
  <c r="G305" i="19"/>
  <c r="G304" i="19"/>
  <c r="K298" i="19"/>
  <c r="A298" i="19"/>
  <c r="H291" i="19"/>
  <c r="D291" i="19"/>
  <c r="C291" i="19"/>
  <c r="G290" i="19"/>
  <c r="G289" i="19"/>
  <c r="G288" i="19"/>
  <c r="G287" i="19"/>
  <c r="G286" i="19"/>
  <c r="G285" i="19"/>
  <c r="G284" i="19"/>
  <c r="G283" i="19"/>
  <c r="G282" i="19"/>
  <c r="G281" i="19"/>
  <c r="G280" i="19"/>
  <c r="G279" i="19"/>
  <c r="G278" i="19"/>
  <c r="G277" i="19"/>
  <c r="G276" i="19"/>
  <c r="G275" i="19"/>
  <c r="G274" i="19"/>
  <c r="G273" i="19"/>
  <c r="G272" i="19"/>
  <c r="G271" i="19"/>
  <c r="G270" i="19"/>
  <c r="G269" i="19"/>
  <c r="G268" i="19"/>
  <c r="G267" i="19"/>
  <c r="G266" i="19"/>
  <c r="G265" i="19"/>
  <c r="K259" i="19"/>
  <c r="A259" i="19"/>
  <c r="H256" i="19"/>
  <c r="D256" i="19"/>
  <c r="C256" i="19"/>
  <c r="G255" i="19"/>
  <c r="G254" i="19"/>
  <c r="G253" i="19"/>
  <c r="G252" i="19"/>
  <c r="G251" i="19"/>
  <c r="G250" i="19"/>
  <c r="G249" i="19"/>
  <c r="G248" i="19"/>
  <c r="G247" i="19"/>
  <c r="G246" i="19"/>
  <c r="G245" i="19"/>
  <c r="G244" i="19"/>
  <c r="G243" i="19"/>
  <c r="G242" i="19"/>
  <c r="G241" i="19"/>
  <c r="G240" i="19"/>
  <c r="G239" i="19"/>
  <c r="G238" i="19"/>
  <c r="G237" i="19"/>
  <c r="G236" i="19"/>
  <c r="G235" i="19"/>
  <c r="G234" i="19"/>
  <c r="G233" i="19"/>
  <c r="G232" i="19"/>
  <c r="G231" i="19"/>
  <c r="G230" i="19"/>
  <c r="K224" i="19"/>
  <c r="A224" i="19"/>
  <c r="H217" i="19"/>
  <c r="D217" i="19"/>
  <c r="C217" i="19"/>
  <c r="G216" i="19"/>
  <c r="G215" i="19"/>
  <c r="G214" i="19"/>
  <c r="G213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6" i="19"/>
  <c r="G195" i="19"/>
  <c r="G194" i="19"/>
  <c r="G193" i="19"/>
  <c r="G192" i="19"/>
  <c r="G191" i="19"/>
  <c r="K185" i="19"/>
  <c r="A185" i="19"/>
  <c r="H182" i="19"/>
  <c r="D182" i="19"/>
  <c r="C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K150" i="19"/>
  <c r="A150" i="19"/>
  <c r="H143" i="19"/>
  <c r="D143" i="19"/>
  <c r="C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K111" i="19"/>
  <c r="A111" i="19"/>
  <c r="H108" i="19"/>
  <c r="D108" i="19"/>
  <c r="C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K76" i="19"/>
  <c r="A76" i="19"/>
  <c r="H69" i="19"/>
  <c r="D69" i="19"/>
  <c r="C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K37" i="19"/>
  <c r="A37" i="19"/>
  <c r="H34" i="19"/>
  <c r="D34" i="19"/>
  <c r="C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E7" i="19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H552" i="16"/>
  <c r="G552" i="16"/>
  <c r="D552" i="16"/>
  <c r="C552" i="16"/>
  <c r="K520" i="16"/>
  <c r="A520" i="16"/>
  <c r="H513" i="16"/>
  <c r="G513" i="16"/>
  <c r="D513" i="16"/>
  <c r="C513" i="16"/>
  <c r="K481" i="16"/>
  <c r="A481" i="16"/>
  <c r="H478" i="16"/>
  <c r="D478" i="16"/>
  <c r="C478" i="16"/>
  <c r="G477" i="16"/>
  <c r="G476" i="16"/>
  <c r="G475" i="16"/>
  <c r="G474" i="16"/>
  <c r="G473" i="16"/>
  <c r="G472" i="16"/>
  <c r="G471" i="16"/>
  <c r="G470" i="16"/>
  <c r="G469" i="16"/>
  <c r="G468" i="16"/>
  <c r="G467" i="16"/>
  <c r="G466" i="16"/>
  <c r="G465" i="16"/>
  <c r="G464" i="16"/>
  <c r="G463" i="16"/>
  <c r="G462" i="16"/>
  <c r="G461" i="16"/>
  <c r="G460" i="16"/>
  <c r="G459" i="16"/>
  <c r="G458" i="16"/>
  <c r="G457" i="16"/>
  <c r="G456" i="16"/>
  <c r="G455" i="16"/>
  <c r="G454" i="16"/>
  <c r="G453" i="16"/>
  <c r="G452" i="16"/>
  <c r="K446" i="16"/>
  <c r="A446" i="16"/>
  <c r="H439" i="16"/>
  <c r="D439" i="16"/>
  <c r="C439" i="16"/>
  <c r="G438" i="16"/>
  <c r="G437" i="16"/>
  <c r="G436" i="16"/>
  <c r="G435" i="16"/>
  <c r="G434" i="16"/>
  <c r="G433" i="16"/>
  <c r="G432" i="16"/>
  <c r="G431" i="16"/>
  <c r="G430" i="16"/>
  <c r="G429" i="16"/>
  <c r="G428" i="16"/>
  <c r="G427" i="16"/>
  <c r="G426" i="16"/>
  <c r="G425" i="16"/>
  <c r="G424" i="16"/>
  <c r="G423" i="16"/>
  <c r="G422" i="16"/>
  <c r="G421" i="16"/>
  <c r="G420" i="16"/>
  <c r="G419" i="16"/>
  <c r="G418" i="16"/>
  <c r="G417" i="16"/>
  <c r="G416" i="16"/>
  <c r="G415" i="16"/>
  <c r="G414" i="16"/>
  <c r="G413" i="16"/>
  <c r="K407" i="16"/>
  <c r="A407" i="16"/>
  <c r="H404" i="16"/>
  <c r="D404" i="16"/>
  <c r="C404" i="16"/>
  <c r="G403" i="16"/>
  <c r="G402" i="16"/>
  <c r="G401" i="16"/>
  <c r="G400" i="16"/>
  <c r="G399" i="16"/>
  <c r="G398" i="16"/>
  <c r="G397" i="16"/>
  <c r="G396" i="16"/>
  <c r="G395" i="16"/>
  <c r="G394" i="16"/>
  <c r="G393" i="16"/>
  <c r="G392" i="16"/>
  <c r="G391" i="16"/>
  <c r="G390" i="16"/>
  <c r="G389" i="16"/>
  <c r="G388" i="16"/>
  <c r="G387" i="16"/>
  <c r="G386" i="16"/>
  <c r="G385" i="16"/>
  <c r="G384" i="16"/>
  <c r="G383" i="16"/>
  <c r="G382" i="16"/>
  <c r="G381" i="16"/>
  <c r="G380" i="16"/>
  <c r="G379" i="16"/>
  <c r="G378" i="16"/>
  <c r="K372" i="16"/>
  <c r="A372" i="16"/>
  <c r="H365" i="16"/>
  <c r="D365" i="16"/>
  <c r="C365" i="16"/>
  <c r="G364" i="16"/>
  <c r="G363" i="16"/>
  <c r="G362" i="16"/>
  <c r="G361" i="16"/>
  <c r="G360" i="16"/>
  <c r="G359" i="16"/>
  <c r="G358" i="16"/>
  <c r="G357" i="16"/>
  <c r="G356" i="16"/>
  <c r="G355" i="16"/>
  <c r="G354" i="16"/>
  <c r="G353" i="16"/>
  <c r="G352" i="16"/>
  <c r="G351" i="16"/>
  <c r="G350" i="16"/>
  <c r="G349" i="16"/>
  <c r="G348" i="16"/>
  <c r="G347" i="16"/>
  <c r="G346" i="16"/>
  <c r="G345" i="16"/>
  <c r="G344" i="16"/>
  <c r="G343" i="16"/>
  <c r="G342" i="16"/>
  <c r="G341" i="16"/>
  <c r="G340" i="16"/>
  <c r="G339" i="16"/>
  <c r="K333" i="16"/>
  <c r="A333" i="16"/>
  <c r="H330" i="16"/>
  <c r="D330" i="16"/>
  <c r="C330" i="16"/>
  <c r="G329" i="16"/>
  <c r="G328" i="16"/>
  <c r="G327" i="16"/>
  <c r="G326" i="16"/>
  <c r="G325" i="16"/>
  <c r="G324" i="16"/>
  <c r="G323" i="16"/>
  <c r="G322" i="16"/>
  <c r="G321" i="16"/>
  <c r="G320" i="16"/>
  <c r="G319" i="16"/>
  <c r="G318" i="16"/>
  <c r="G317" i="16"/>
  <c r="G316" i="16"/>
  <c r="G315" i="16"/>
  <c r="G314" i="16"/>
  <c r="G313" i="16"/>
  <c r="G312" i="16"/>
  <c r="G311" i="16"/>
  <c r="G310" i="16"/>
  <c r="G309" i="16"/>
  <c r="G308" i="16"/>
  <c r="G307" i="16"/>
  <c r="G306" i="16"/>
  <c r="G305" i="16"/>
  <c r="G304" i="16"/>
  <c r="K298" i="16"/>
  <c r="A298" i="16"/>
  <c r="H291" i="16"/>
  <c r="D291" i="16"/>
  <c r="C291" i="16"/>
  <c r="G290" i="16"/>
  <c r="G289" i="16"/>
  <c r="G288" i="16"/>
  <c r="G287" i="16"/>
  <c r="G286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K259" i="16"/>
  <c r="A259" i="16"/>
  <c r="H256" i="16"/>
  <c r="D256" i="16"/>
  <c r="C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K224" i="16"/>
  <c r="A224" i="16"/>
  <c r="H217" i="16"/>
  <c r="D217" i="16"/>
  <c r="C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K185" i="16"/>
  <c r="A185" i="16"/>
  <c r="H182" i="16"/>
  <c r="D182" i="16"/>
  <c r="C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K150" i="16"/>
  <c r="A150" i="16"/>
  <c r="H143" i="16"/>
  <c r="D143" i="16"/>
  <c r="C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K111" i="16"/>
  <c r="A111" i="16"/>
  <c r="H108" i="16"/>
  <c r="D108" i="16"/>
  <c r="C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K76" i="16"/>
  <c r="A76" i="16"/>
  <c r="H69" i="16"/>
  <c r="D69" i="16"/>
  <c r="C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K37" i="16"/>
  <c r="A37" i="16"/>
  <c r="H34" i="16"/>
  <c r="D34" i="16"/>
  <c r="C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E7" i="16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G84" i="15"/>
  <c r="E7" i="15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E502" i="15" s="1"/>
  <c r="E503" i="15" s="1"/>
  <c r="E504" i="15" s="1"/>
  <c r="E505" i="15" s="1"/>
  <c r="E506" i="15" s="1"/>
  <c r="E507" i="15" s="1"/>
  <c r="E508" i="15" s="1"/>
  <c r="E509" i="15" s="1"/>
  <c r="E510" i="15" s="1"/>
  <c r="E511" i="15" s="1"/>
  <c r="E512" i="15" s="1"/>
  <c r="E526" i="15" s="1"/>
  <c r="E527" i="15" s="1"/>
  <c r="E528" i="15" s="1"/>
  <c r="E529" i="15" s="1"/>
  <c r="E530" i="15" s="1"/>
  <c r="E531" i="15" s="1"/>
  <c r="E532" i="15" s="1"/>
  <c r="E533" i="15" s="1"/>
  <c r="E534" i="15" s="1"/>
  <c r="E535" i="15" s="1"/>
  <c r="E536" i="15" s="1"/>
  <c r="E537" i="15" s="1"/>
  <c r="E538" i="15" s="1"/>
  <c r="E539" i="15" s="1"/>
  <c r="E540" i="15" s="1"/>
  <c r="E541" i="15" s="1"/>
  <c r="E542" i="15" s="1"/>
  <c r="E543" i="15" s="1"/>
  <c r="E544" i="15" s="1"/>
  <c r="E545" i="15" s="1"/>
  <c r="E546" i="15" s="1"/>
  <c r="E547" i="15" s="1"/>
  <c r="E548" i="15" s="1"/>
  <c r="E549" i="15" s="1"/>
  <c r="E550" i="15" s="1"/>
  <c r="E551" i="15" s="1"/>
  <c r="H552" i="15"/>
  <c r="G552" i="15"/>
  <c r="D552" i="15"/>
  <c r="C552" i="15"/>
  <c r="K520" i="15"/>
  <c r="A520" i="15"/>
  <c r="H513" i="15"/>
  <c r="G513" i="15"/>
  <c r="D513" i="15"/>
  <c r="C513" i="15"/>
  <c r="K481" i="15"/>
  <c r="A481" i="15"/>
  <c r="H478" i="15"/>
  <c r="D478" i="15"/>
  <c r="C478" i="15"/>
  <c r="G477" i="15"/>
  <c r="G476" i="15"/>
  <c r="G475" i="15"/>
  <c r="G474" i="15"/>
  <c r="G473" i="15"/>
  <c r="G472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K446" i="15"/>
  <c r="A446" i="15"/>
  <c r="H439" i="15"/>
  <c r="D439" i="15"/>
  <c r="C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K407" i="15"/>
  <c r="A407" i="15"/>
  <c r="H404" i="15"/>
  <c r="D404" i="15"/>
  <c r="C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K372" i="15"/>
  <c r="A372" i="15"/>
  <c r="H365" i="15"/>
  <c r="D365" i="15"/>
  <c r="C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K333" i="15"/>
  <c r="A333" i="15"/>
  <c r="H330" i="15"/>
  <c r="D330" i="15"/>
  <c r="C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K298" i="15"/>
  <c r="A298" i="15"/>
  <c r="H291" i="15"/>
  <c r="D291" i="15"/>
  <c r="C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K259" i="15"/>
  <c r="A259" i="15"/>
  <c r="H256" i="15"/>
  <c r="D256" i="15"/>
  <c r="C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K224" i="15"/>
  <c r="A224" i="15"/>
  <c r="H217" i="15"/>
  <c r="D217" i="15"/>
  <c r="C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K185" i="15"/>
  <c r="A185" i="15"/>
  <c r="H182" i="15"/>
  <c r="D182" i="15"/>
  <c r="C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K150" i="15"/>
  <c r="A150" i="15"/>
  <c r="H143" i="15"/>
  <c r="D143" i="15"/>
  <c r="C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K111" i="15"/>
  <c r="A111" i="15"/>
  <c r="H108" i="15"/>
  <c r="D108" i="15"/>
  <c r="C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3" i="15"/>
  <c r="G82" i="15"/>
  <c r="K76" i="15"/>
  <c r="A76" i="15"/>
  <c r="H69" i="15"/>
  <c r="D69" i="15"/>
  <c r="C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K37" i="15"/>
  <c r="A37" i="15"/>
  <c r="H34" i="15"/>
  <c r="D34" i="15"/>
  <c r="C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I7" i="15" s="1"/>
  <c r="H552" i="14"/>
  <c r="G552" i="14"/>
  <c r="D552" i="14"/>
  <c r="C552" i="14"/>
  <c r="K520" i="14"/>
  <c r="A520" i="14"/>
  <c r="H513" i="14"/>
  <c r="G513" i="14"/>
  <c r="D513" i="14"/>
  <c r="C513" i="14"/>
  <c r="K481" i="14"/>
  <c r="A481" i="14"/>
  <c r="H478" i="14"/>
  <c r="D478" i="14"/>
  <c r="C478" i="14"/>
  <c r="G477" i="14"/>
  <c r="G476" i="14"/>
  <c r="G475" i="14"/>
  <c r="G474" i="14"/>
  <c r="G473" i="14"/>
  <c r="G472" i="14"/>
  <c r="G471" i="14"/>
  <c r="G470" i="14"/>
  <c r="G469" i="14"/>
  <c r="G468" i="14"/>
  <c r="G467" i="14"/>
  <c r="G466" i="14"/>
  <c r="G465" i="14"/>
  <c r="G464" i="14"/>
  <c r="G463" i="14"/>
  <c r="G462" i="14"/>
  <c r="G461" i="14"/>
  <c r="G460" i="14"/>
  <c r="G459" i="14"/>
  <c r="G458" i="14"/>
  <c r="G457" i="14"/>
  <c r="G456" i="14"/>
  <c r="G455" i="14"/>
  <c r="G454" i="14"/>
  <c r="G453" i="14"/>
  <c r="G452" i="14"/>
  <c r="K446" i="14"/>
  <c r="A446" i="14"/>
  <c r="H439" i="14"/>
  <c r="D439" i="14"/>
  <c r="C439" i="14"/>
  <c r="G438" i="14"/>
  <c r="G437" i="14"/>
  <c r="G436" i="14"/>
  <c r="G435" i="14"/>
  <c r="G434" i="14"/>
  <c r="G433" i="14"/>
  <c r="G432" i="14"/>
  <c r="G431" i="14"/>
  <c r="G430" i="14"/>
  <c r="G429" i="14"/>
  <c r="G428" i="14"/>
  <c r="G427" i="14"/>
  <c r="G426" i="14"/>
  <c r="G425" i="14"/>
  <c r="G424" i="14"/>
  <c r="G423" i="14"/>
  <c r="G422" i="14"/>
  <c r="G421" i="14"/>
  <c r="G420" i="14"/>
  <c r="G419" i="14"/>
  <c r="G418" i="14"/>
  <c r="G417" i="14"/>
  <c r="G416" i="14"/>
  <c r="G415" i="14"/>
  <c r="G414" i="14"/>
  <c r="G413" i="14"/>
  <c r="K407" i="14"/>
  <c r="A407" i="14"/>
  <c r="H404" i="14"/>
  <c r="D404" i="14"/>
  <c r="C404" i="14"/>
  <c r="G403" i="14"/>
  <c r="G402" i="14"/>
  <c r="G401" i="14"/>
  <c r="G400" i="14"/>
  <c r="G399" i="14"/>
  <c r="G398" i="14"/>
  <c r="G397" i="14"/>
  <c r="G396" i="14"/>
  <c r="G395" i="14"/>
  <c r="G394" i="14"/>
  <c r="G393" i="14"/>
  <c r="G392" i="14"/>
  <c r="G391" i="14"/>
  <c r="G390" i="14"/>
  <c r="G389" i="14"/>
  <c r="G388" i="14"/>
  <c r="G387" i="14"/>
  <c r="G386" i="14"/>
  <c r="G385" i="14"/>
  <c r="G384" i="14"/>
  <c r="G383" i="14"/>
  <c r="G382" i="14"/>
  <c r="G381" i="14"/>
  <c r="G380" i="14"/>
  <c r="G379" i="14"/>
  <c r="G378" i="14"/>
  <c r="K372" i="14"/>
  <c r="A372" i="14"/>
  <c r="H365" i="14"/>
  <c r="D365" i="14"/>
  <c r="C365" i="14"/>
  <c r="G364" i="14"/>
  <c r="G363" i="14"/>
  <c r="G362" i="14"/>
  <c r="G361" i="14"/>
  <c r="G360" i="14"/>
  <c r="G359" i="14"/>
  <c r="G358" i="14"/>
  <c r="G357" i="14"/>
  <c r="G356" i="14"/>
  <c r="G355" i="14"/>
  <c r="G354" i="14"/>
  <c r="G353" i="14"/>
  <c r="G352" i="14"/>
  <c r="G351" i="14"/>
  <c r="G350" i="14"/>
  <c r="G349" i="14"/>
  <c r="G348" i="14"/>
  <c r="G347" i="14"/>
  <c r="G346" i="14"/>
  <c r="G345" i="14"/>
  <c r="G344" i="14"/>
  <c r="G343" i="14"/>
  <c r="G342" i="14"/>
  <c r="G341" i="14"/>
  <c r="G340" i="14"/>
  <c r="G339" i="14"/>
  <c r="K333" i="14"/>
  <c r="A333" i="14"/>
  <c r="H330" i="14"/>
  <c r="D330" i="14"/>
  <c r="C330" i="14"/>
  <c r="G329" i="14"/>
  <c r="G328" i="14"/>
  <c r="G327" i="14"/>
  <c r="G326" i="14"/>
  <c r="G325" i="14"/>
  <c r="G324" i="14"/>
  <c r="G323" i="14"/>
  <c r="G322" i="14"/>
  <c r="G321" i="14"/>
  <c r="G320" i="14"/>
  <c r="G319" i="14"/>
  <c r="G318" i="14"/>
  <c r="G317" i="14"/>
  <c r="G316" i="14"/>
  <c r="G315" i="14"/>
  <c r="G314" i="14"/>
  <c r="G313" i="14"/>
  <c r="G312" i="14"/>
  <c r="G311" i="14"/>
  <c r="G310" i="14"/>
  <c r="G309" i="14"/>
  <c r="G308" i="14"/>
  <c r="G307" i="14"/>
  <c r="G306" i="14"/>
  <c r="G305" i="14"/>
  <c r="G304" i="14"/>
  <c r="K298" i="14"/>
  <c r="A298" i="14"/>
  <c r="H291" i="14"/>
  <c r="D291" i="14"/>
  <c r="C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K259" i="14"/>
  <c r="A259" i="14"/>
  <c r="H256" i="14"/>
  <c r="D256" i="14"/>
  <c r="C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K224" i="14"/>
  <c r="A224" i="14"/>
  <c r="H217" i="14"/>
  <c r="D217" i="14"/>
  <c r="C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K185" i="14"/>
  <c r="A185" i="14"/>
  <c r="H182" i="14"/>
  <c r="D182" i="14"/>
  <c r="C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K150" i="14"/>
  <c r="A150" i="14"/>
  <c r="H143" i="14"/>
  <c r="D143" i="14"/>
  <c r="C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K111" i="14"/>
  <c r="A111" i="14"/>
  <c r="H108" i="14"/>
  <c r="D108" i="14"/>
  <c r="C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K76" i="14"/>
  <c r="A76" i="14"/>
  <c r="H69" i="14"/>
  <c r="D69" i="14"/>
  <c r="C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K37" i="14"/>
  <c r="A37" i="14"/>
  <c r="H34" i="14"/>
  <c r="D34" i="14"/>
  <c r="C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I7" i="14" s="1"/>
  <c r="E7" i="14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G478" i="19" l="1"/>
  <c r="G439" i="15"/>
  <c r="G330" i="16"/>
  <c r="G291" i="14"/>
  <c r="G439" i="19"/>
  <c r="G330" i="14"/>
  <c r="G256" i="14"/>
  <c r="G217" i="14"/>
  <c r="G291" i="15"/>
  <c r="E126" i="16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78" i="16" s="1"/>
  <c r="E379" i="16" s="1"/>
  <c r="E380" i="16" s="1"/>
  <c r="E381" i="16" s="1"/>
  <c r="E382" i="16" s="1"/>
  <c r="E383" i="16" s="1"/>
  <c r="E384" i="16" s="1"/>
  <c r="E385" i="16" s="1"/>
  <c r="E386" i="16" s="1"/>
  <c r="E387" i="16" s="1"/>
  <c r="E388" i="16" s="1"/>
  <c r="E389" i="16" s="1"/>
  <c r="E390" i="16" s="1"/>
  <c r="E391" i="16" s="1"/>
  <c r="E392" i="16" s="1"/>
  <c r="E393" i="16" s="1"/>
  <c r="E394" i="16" s="1"/>
  <c r="E395" i="16" s="1"/>
  <c r="E396" i="16" s="1"/>
  <c r="E397" i="16" s="1"/>
  <c r="E398" i="16" s="1"/>
  <c r="E399" i="16" s="1"/>
  <c r="E400" i="16" s="1"/>
  <c r="E401" i="16" s="1"/>
  <c r="E402" i="16" s="1"/>
  <c r="E403" i="16" s="1"/>
  <c r="E413" i="16" s="1"/>
  <c r="E414" i="16" s="1"/>
  <c r="E415" i="16" s="1"/>
  <c r="E416" i="16" s="1"/>
  <c r="E417" i="16" s="1"/>
  <c r="E418" i="16" s="1"/>
  <c r="E419" i="16" s="1"/>
  <c r="E420" i="16" s="1"/>
  <c r="E421" i="16" s="1"/>
  <c r="E422" i="16" s="1"/>
  <c r="E423" i="16" s="1"/>
  <c r="E424" i="16" s="1"/>
  <c r="E425" i="16" s="1"/>
  <c r="E426" i="16" s="1"/>
  <c r="E427" i="16" s="1"/>
  <c r="E428" i="16" s="1"/>
  <c r="E429" i="16" s="1"/>
  <c r="E430" i="16" s="1"/>
  <c r="E431" i="16" s="1"/>
  <c r="E432" i="16" s="1"/>
  <c r="E433" i="16" s="1"/>
  <c r="E434" i="16" s="1"/>
  <c r="E435" i="16" s="1"/>
  <c r="E436" i="16" s="1"/>
  <c r="E437" i="16" s="1"/>
  <c r="E438" i="16" s="1"/>
  <c r="E452" i="16" s="1"/>
  <c r="E453" i="16" s="1"/>
  <c r="E454" i="16" s="1"/>
  <c r="E455" i="16" s="1"/>
  <c r="E456" i="16" s="1"/>
  <c r="E457" i="16" s="1"/>
  <c r="E458" i="16" s="1"/>
  <c r="E459" i="16" s="1"/>
  <c r="E460" i="16" s="1"/>
  <c r="E461" i="16" s="1"/>
  <c r="E462" i="16" s="1"/>
  <c r="E463" i="16" s="1"/>
  <c r="E464" i="16" s="1"/>
  <c r="E465" i="16" s="1"/>
  <c r="E466" i="16" s="1"/>
  <c r="E467" i="16" s="1"/>
  <c r="E468" i="16" s="1"/>
  <c r="E469" i="16" s="1"/>
  <c r="E470" i="16" s="1"/>
  <c r="E471" i="16" s="1"/>
  <c r="E472" i="16" s="1"/>
  <c r="E473" i="16" s="1"/>
  <c r="E474" i="16" s="1"/>
  <c r="E475" i="16" s="1"/>
  <c r="E476" i="16" s="1"/>
  <c r="E477" i="16" s="1"/>
  <c r="E487" i="16" s="1"/>
  <c r="E488" i="16" s="1"/>
  <c r="E489" i="16" s="1"/>
  <c r="E490" i="16" s="1"/>
  <c r="E491" i="16" s="1"/>
  <c r="E492" i="16" s="1"/>
  <c r="E493" i="16" s="1"/>
  <c r="E494" i="16" s="1"/>
  <c r="E495" i="16" s="1"/>
  <c r="E496" i="16" s="1"/>
  <c r="E497" i="16" s="1"/>
  <c r="E498" i="16" s="1"/>
  <c r="E499" i="16" s="1"/>
  <c r="E500" i="16" s="1"/>
  <c r="E501" i="16" s="1"/>
  <c r="E502" i="16" s="1"/>
  <c r="E503" i="16" s="1"/>
  <c r="E504" i="16" s="1"/>
  <c r="E505" i="16" s="1"/>
  <c r="E506" i="16" s="1"/>
  <c r="E507" i="16" s="1"/>
  <c r="E508" i="16" s="1"/>
  <c r="E509" i="16" s="1"/>
  <c r="E510" i="16" s="1"/>
  <c r="E511" i="16" s="1"/>
  <c r="E512" i="16" s="1"/>
  <c r="E526" i="16" s="1"/>
  <c r="E527" i="16" s="1"/>
  <c r="E528" i="16" s="1"/>
  <c r="E529" i="16" s="1"/>
  <c r="E530" i="16" s="1"/>
  <c r="E531" i="16" s="1"/>
  <c r="E532" i="16" s="1"/>
  <c r="E533" i="16" s="1"/>
  <c r="E534" i="16" s="1"/>
  <c r="E535" i="16" s="1"/>
  <c r="E536" i="16" s="1"/>
  <c r="E537" i="16" s="1"/>
  <c r="E538" i="16" s="1"/>
  <c r="E539" i="16" s="1"/>
  <c r="E540" i="16" s="1"/>
  <c r="E541" i="16" s="1"/>
  <c r="E542" i="16" s="1"/>
  <c r="E543" i="16" s="1"/>
  <c r="E544" i="16" s="1"/>
  <c r="E545" i="16" s="1"/>
  <c r="E546" i="16" s="1"/>
  <c r="E547" i="16" s="1"/>
  <c r="E548" i="16" s="1"/>
  <c r="E549" i="16" s="1"/>
  <c r="E550" i="16" s="1"/>
  <c r="E551" i="16" s="1"/>
  <c r="G108" i="19"/>
  <c r="E317" i="19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78" i="19" s="1"/>
  <c r="E379" i="19" s="1"/>
  <c r="E380" i="19" s="1"/>
  <c r="E381" i="19" s="1"/>
  <c r="E382" i="19" s="1"/>
  <c r="E383" i="19" s="1"/>
  <c r="E384" i="19" s="1"/>
  <c r="E385" i="19" s="1"/>
  <c r="E386" i="19" s="1"/>
  <c r="E387" i="19" s="1"/>
  <c r="E388" i="19" s="1"/>
  <c r="E389" i="19" s="1"/>
  <c r="E390" i="19" s="1"/>
  <c r="E391" i="19" s="1"/>
  <c r="E392" i="19" s="1"/>
  <c r="E393" i="19" s="1"/>
  <c r="E394" i="19" s="1"/>
  <c r="E395" i="19" s="1"/>
  <c r="E396" i="19" s="1"/>
  <c r="E397" i="19" s="1"/>
  <c r="E398" i="19" s="1"/>
  <c r="E399" i="19" s="1"/>
  <c r="E400" i="19" s="1"/>
  <c r="E401" i="19" s="1"/>
  <c r="E402" i="19" s="1"/>
  <c r="E403" i="19" s="1"/>
  <c r="E413" i="19" s="1"/>
  <c r="E414" i="19" s="1"/>
  <c r="E415" i="19" s="1"/>
  <c r="E416" i="19" s="1"/>
  <c r="E417" i="19" s="1"/>
  <c r="E418" i="19" s="1"/>
  <c r="E419" i="19" s="1"/>
  <c r="E420" i="19" s="1"/>
  <c r="E421" i="19" s="1"/>
  <c r="E422" i="19" s="1"/>
  <c r="E423" i="19" s="1"/>
  <c r="E424" i="19" s="1"/>
  <c r="E425" i="19" s="1"/>
  <c r="E426" i="19" s="1"/>
  <c r="E427" i="19" s="1"/>
  <c r="E428" i="19" s="1"/>
  <c r="E429" i="19" s="1"/>
  <c r="E430" i="19" s="1"/>
  <c r="E431" i="19" s="1"/>
  <c r="E432" i="19" s="1"/>
  <c r="E433" i="19" s="1"/>
  <c r="E434" i="19" s="1"/>
  <c r="E435" i="19" s="1"/>
  <c r="E436" i="19" s="1"/>
  <c r="E437" i="19" s="1"/>
  <c r="E438" i="19" s="1"/>
  <c r="E452" i="19" s="1"/>
  <c r="E453" i="19" s="1"/>
  <c r="E454" i="19" s="1"/>
  <c r="E455" i="19" s="1"/>
  <c r="E456" i="19" s="1"/>
  <c r="E457" i="19" s="1"/>
  <c r="E458" i="19" s="1"/>
  <c r="E459" i="19" s="1"/>
  <c r="E460" i="19" s="1"/>
  <c r="E461" i="19" s="1"/>
  <c r="E462" i="19" s="1"/>
  <c r="E463" i="19" s="1"/>
  <c r="E464" i="19" s="1"/>
  <c r="E465" i="19" s="1"/>
  <c r="E466" i="19" s="1"/>
  <c r="E467" i="19" s="1"/>
  <c r="E468" i="19" s="1"/>
  <c r="E469" i="19" s="1"/>
  <c r="E470" i="19" s="1"/>
  <c r="E471" i="19" s="1"/>
  <c r="E472" i="19" s="1"/>
  <c r="E473" i="19" s="1"/>
  <c r="E474" i="19" s="1"/>
  <c r="E475" i="19" s="1"/>
  <c r="E476" i="19" s="1"/>
  <c r="E477" i="19" s="1"/>
  <c r="E487" i="19" s="1"/>
  <c r="E488" i="19" s="1"/>
  <c r="E489" i="19" s="1"/>
  <c r="E490" i="19" s="1"/>
  <c r="E491" i="19" s="1"/>
  <c r="E492" i="19" s="1"/>
  <c r="E493" i="19" s="1"/>
  <c r="E494" i="19" s="1"/>
  <c r="E495" i="19" s="1"/>
  <c r="E496" i="19" s="1"/>
  <c r="E497" i="19" s="1"/>
  <c r="E498" i="19" s="1"/>
  <c r="E499" i="19" s="1"/>
  <c r="E500" i="19" s="1"/>
  <c r="E501" i="19" s="1"/>
  <c r="E502" i="19" s="1"/>
  <c r="E503" i="19" s="1"/>
  <c r="E504" i="19" s="1"/>
  <c r="E505" i="19" s="1"/>
  <c r="E506" i="19" s="1"/>
  <c r="E507" i="19" s="1"/>
  <c r="E508" i="19" s="1"/>
  <c r="E509" i="19" s="1"/>
  <c r="E510" i="19" s="1"/>
  <c r="E511" i="19" s="1"/>
  <c r="E512" i="19" s="1"/>
  <c r="E526" i="19" s="1"/>
  <c r="E527" i="19" s="1"/>
  <c r="E528" i="19" s="1"/>
  <c r="E529" i="19" s="1"/>
  <c r="E530" i="19" s="1"/>
  <c r="E531" i="19" s="1"/>
  <c r="E532" i="19" s="1"/>
  <c r="E533" i="19" s="1"/>
  <c r="E534" i="19" s="1"/>
  <c r="E535" i="19" s="1"/>
  <c r="E536" i="19" s="1"/>
  <c r="E537" i="19" s="1"/>
  <c r="E538" i="19" s="1"/>
  <c r="E539" i="19" s="1"/>
  <c r="E540" i="19" s="1"/>
  <c r="E541" i="19" s="1"/>
  <c r="E542" i="19" s="1"/>
  <c r="E543" i="19" s="1"/>
  <c r="E544" i="19" s="1"/>
  <c r="E545" i="19" s="1"/>
  <c r="E546" i="19" s="1"/>
  <c r="E547" i="19" s="1"/>
  <c r="E548" i="19" s="1"/>
  <c r="E549" i="19" s="1"/>
  <c r="E550" i="19" s="1"/>
  <c r="E551" i="19" s="1"/>
  <c r="G365" i="19"/>
  <c r="G330" i="19"/>
  <c r="G291" i="19"/>
  <c r="G256" i="19"/>
  <c r="G217" i="19"/>
  <c r="G182" i="19"/>
  <c r="G143" i="19"/>
  <c r="G69" i="19"/>
  <c r="G34" i="19"/>
  <c r="I7" i="19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I26" i="19" s="1"/>
  <c r="I27" i="19" s="1"/>
  <c r="I28" i="19" s="1"/>
  <c r="I29" i="19" s="1"/>
  <c r="I30" i="19" s="1"/>
  <c r="I31" i="19" s="1"/>
  <c r="I32" i="19" s="1"/>
  <c r="I33" i="19" s="1"/>
  <c r="I43" i="19" s="1"/>
  <c r="I44" i="19" s="1"/>
  <c r="I45" i="19" s="1"/>
  <c r="I46" i="19" s="1"/>
  <c r="I47" i="19" s="1"/>
  <c r="I48" i="19" s="1"/>
  <c r="I49" i="19" s="1"/>
  <c r="I50" i="19" s="1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82" i="19" s="1"/>
  <c r="I83" i="19" s="1"/>
  <c r="I84" i="19" s="1"/>
  <c r="I85" i="19" s="1"/>
  <c r="I86" i="19" s="1"/>
  <c r="I87" i="19" s="1"/>
  <c r="I88" i="19" s="1"/>
  <c r="I89" i="19" s="1"/>
  <c r="I90" i="19" s="1"/>
  <c r="I91" i="19" s="1"/>
  <c r="I92" i="19" s="1"/>
  <c r="I93" i="19" s="1"/>
  <c r="I94" i="19" s="1"/>
  <c r="I95" i="19" s="1"/>
  <c r="I96" i="19" s="1"/>
  <c r="I97" i="19" s="1"/>
  <c r="I98" i="19" s="1"/>
  <c r="I99" i="19" s="1"/>
  <c r="I100" i="19" s="1"/>
  <c r="I101" i="19" s="1"/>
  <c r="I102" i="19" s="1"/>
  <c r="I103" i="19" s="1"/>
  <c r="I104" i="19" s="1"/>
  <c r="I105" i="19" s="1"/>
  <c r="I106" i="19" s="1"/>
  <c r="I107" i="19" s="1"/>
  <c r="I117" i="19" s="1"/>
  <c r="I118" i="19" s="1"/>
  <c r="I119" i="19" s="1"/>
  <c r="I120" i="19" s="1"/>
  <c r="I121" i="19" s="1"/>
  <c r="I122" i="19" s="1"/>
  <c r="I123" i="19" s="1"/>
  <c r="I124" i="19" s="1"/>
  <c r="I125" i="19" s="1"/>
  <c r="I126" i="19" s="1"/>
  <c r="I127" i="19" s="1"/>
  <c r="I128" i="19" s="1"/>
  <c r="I129" i="19" s="1"/>
  <c r="I130" i="19" s="1"/>
  <c r="I131" i="19" s="1"/>
  <c r="I132" i="19" s="1"/>
  <c r="I133" i="19" s="1"/>
  <c r="I134" i="19" s="1"/>
  <c r="I135" i="19" s="1"/>
  <c r="I136" i="19" s="1"/>
  <c r="I137" i="19" s="1"/>
  <c r="I138" i="19" s="1"/>
  <c r="I139" i="19" s="1"/>
  <c r="I140" i="19" s="1"/>
  <c r="I141" i="19" s="1"/>
  <c r="I142" i="19" s="1"/>
  <c r="I156" i="19" s="1"/>
  <c r="I157" i="19" s="1"/>
  <c r="I158" i="19" s="1"/>
  <c r="I159" i="19" s="1"/>
  <c r="I160" i="19" s="1"/>
  <c r="I161" i="19" s="1"/>
  <c r="I162" i="19" s="1"/>
  <c r="I163" i="19" s="1"/>
  <c r="I164" i="19" s="1"/>
  <c r="I165" i="19" s="1"/>
  <c r="I166" i="19" s="1"/>
  <c r="I167" i="19" s="1"/>
  <c r="I168" i="19" s="1"/>
  <c r="I169" i="19" s="1"/>
  <c r="I170" i="19" s="1"/>
  <c r="I171" i="19" s="1"/>
  <c r="I172" i="19" s="1"/>
  <c r="I173" i="19" s="1"/>
  <c r="I174" i="19" s="1"/>
  <c r="I175" i="19" s="1"/>
  <c r="I176" i="19" s="1"/>
  <c r="I177" i="19" s="1"/>
  <c r="I178" i="19" s="1"/>
  <c r="I179" i="19" s="1"/>
  <c r="I180" i="19" s="1"/>
  <c r="I181" i="19" s="1"/>
  <c r="I191" i="19" s="1"/>
  <c r="I192" i="19" s="1"/>
  <c r="I193" i="19" s="1"/>
  <c r="I194" i="19" s="1"/>
  <c r="I195" i="19" s="1"/>
  <c r="I196" i="19" s="1"/>
  <c r="I197" i="19" s="1"/>
  <c r="I198" i="19" s="1"/>
  <c r="I199" i="19" s="1"/>
  <c r="I200" i="19" s="1"/>
  <c r="I201" i="19" s="1"/>
  <c r="I202" i="19" s="1"/>
  <c r="I203" i="19" s="1"/>
  <c r="I204" i="19" s="1"/>
  <c r="I205" i="19" s="1"/>
  <c r="I206" i="19" s="1"/>
  <c r="I207" i="19" s="1"/>
  <c r="I208" i="19" s="1"/>
  <c r="I209" i="19" s="1"/>
  <c r="I210" i="19" s="1"/>
  <c r="I211" i="19" s="1"/>
  <c r="I212" i="19" s="1"/>
  <c r="I213" i="19" s="1"/>
  <c r="I214" i="19" s="1"/>
  <c r="I215" i="19" s="1"/>
  <c r="I216" i="19" s="1"/>
  <c r="I230" i="19" s="1"/>
  <c r="I231" i="19" s="1"/>
  <c r="I232" i="19" s="1"/>
  <c r="I233" i="19" s="1"/>
  <c r="I234" i="19" s="1"/>
  <c r="I235" i="19" s="1"/>
  <c r="I236" i="19" s="1"/>
  <c r="I237" i="19" s="1"/>
  <c r="I238" i="19" s="1"/>
  <c r="I239" i="19" s="1"/>
  <c r="I240" i="19" s="1"/>
  <c r="I241" i="19" s="1"/>
  <c r="I242" i="19" s="1"/>
  <c r="I243" i="19" s="1"/>
  <c r="I244" i="19" s="1"/>
  <c r="I245" i="19" s="1"/>
  <c r="I246" i="19" s="1"/>
  <c r="I247" i="19" s="1"/>
  <c r="I248" i="19" s="1"/>
  <c r="I249" i="19" s="1"/>
  <c r="I250" i="19" s="1"/>
  <c r="I251" i="19" s="1"/>
  <c r="I252" i="19" s="1"/>
  <c r="I253" i="19" s="1"/>
  <c r="I254" i="19" s="1"/>
  <c r="I255" i="19" s="1"/>
  <c r="I265" i="19" s="1"/>
  <c r="I266" i="19" s="1"/>
  <c r="I267" i="19" s="1"/>
  <c r="I268" i="19" s="1"/>
  <c r="I269" i="19" s="1"/>
  <c r="I270" i="19" s="1"/>
  <c r="I271" i="19" s="1"/>
  <c r="I272" i="19" s="1"/>
  <c r="I273" i="19" s="1"/>
  <c r="I274" i="19" s="1"/>
  <c r="I275" i="19" s="1"/>
  <c r="I276" i="19" s="1"/>
  <c r="I277" i="19" s="1"/>
  <c r="I278" i="19" s="1"/>
  <c r="I279" i="19" s="1"/>
  <c r="I280" i="19" s="1"/>
  <c r="I281" i="19" s="1"/>
  <c r="I282" i="19" s="1"/>
  <c r="I283" i="19" s="1"/>
  <c r="I284" i="19" s="1"/>
  <c r="I285" i="19" s="1"/>
  <c r="I286" i="19" s="1"/>
  <c r="I287" i="19" s="1"/>
  <c r="I288" i="19" s="1"/>
  <c r="I289" i="19" s="1"/>
  <c r="I290" i="19" s="1"/>
  <c r="I304" i="19" s="1"/>
  <c r="I305" i="19" s="1"/>
  <c r="I306" i="19" s="1"/>
  <c r="I307" i="19" s="1"/>
  <c r="I308" i="19" s="1"/>
  <c r="I309" i="19" s="1"/>
  <c r="I310" i="19" s="1"/>
  <c r="I311" i="19" s="1"/>
  <c r="I312" i="19" s="1"/>
  <c r="I313" i="19" s="1"/>
  <c r="I314" i="19" s="1"/>
  <c r="I315" i="19" s="1"/>
  <c r="I316" i="19" s="1"/>
  <c r="I317" i="19" s="1"/>
  <c r="I318" i="19" s="1"/>
  <c r="I319" i="19" s="1"/>
  <c r="I320" i="19" s="1"/>
  <c r="I321" i="19" s="1"/>
  <c r="I322" i="19" s="1"/>
  <c r="I323" i="19" s="1"/>
  <c r="I324" i="19" s="1"/>
  <c r="I325" i="19" s="1"/>
  <c r="I326" i="19" s="1"/>
  <c r="I327" i="19" s="1"/>
  <c r="I328" i="19" s="1"/>
  <c r="I329" i="19" s="1"/>
  <c r="I339" i="19" s="1"/>
  <c r="I340" i="19" s="1"/>
  <c r="I341" i="19" s="1"/>
  <c r="I342" i="19" s="1"/>
  <c r="I343" i="19" s="1"/>
  <c r="I344" i="19" s="1"/>
  <c r="I345" i="19" s="1"/>
  <c r="I346" i="19" s="1"/>
  <c r="I347" i="19" s="1"/>
  <c r="I348" i="19" s="1"/>
  <c r="I349" i="19" s="1"/>
  <c r="I350" i="19" s="1"/>
  <c r="I351" i="19" s="1"/>
  <c r="I352" i="19" s="1"/>
  <c r="I353" i="19" s="1"/>
  <c r="I354" i="19" s="1"/>
  <c r="I355" i="19" s="1"/>
  <c r="I356" i="19" s="1"/>
  <c r="I357" i="19" s="1"/>
  <c r="I358" i="19" s="1"/>
  <c r="I359" i="19" s="1"/>
  <c r="I360" i="19" s="1"/>
  <c r="I361" i="19" s="1"/>
  <c r="I362" i="19" s="1"/>
  <c r="I363" i="19" s="1"/>
  <c r="I364" i="19" s="1"/>
  <c r="I378" i="19" s="1"/>
  <c r="I379" i="19" s="1"/>
  <c r="I380" i="19" s="1"/>
  <c r="I381" i="19" s="1"/>
  <c r="I382" i="19" s="1"/>
  <c r="I383" i="19" s="1"/>
  <c r="I384" i="19" s="1"/>
  <c r="I385" i="19" s="1"/>
  <c r="I386" i="19" s="1"/>
  <c r="I387" i="19" s="1"/>
  <c r="I388" i="19" s="1"/>
  <c r="I389" i="19" s="1"/>
  <c r="I390" i="19" s="1"/>
  <c r="I391" i="19" s="1"/>
  <c r="I392" i="19" s="1"/>
  <c r="I393" i="19" s="1"/>
  <c r="I394" i="19" s="1"/>
  <c r="I395" i="19" s="1"/>
  <c r="I396" i="19" s="1"/>
  <c r="I397" i="19" s="1"/>
  <c r="I398" i="19" s="1"/>
  <c r="I399" i="19" s="1"/>
  <c r="I400" i="19" s="1"/>
  <c r="I401" i="19" s="1"/>
  <c r="I402" i="19" s="1"/>
  <c r="I403" i="19" s="1"/>
  <c r="I413" i="19" s="1"/>
  <c r="I414" i="19" s="1"/>
  <c r="I415" i="19" s="1"/>
  <c r="I416" i="19" s="1"/>
  <c r="I417" i="19" s="1"/>
  <c r="I418" i="19" s="1"/>
  <c r="I419" i="19" s="1"/>
  <c r="I420" i="19" s="1"/>
  <c r="I421" i="19" s="1"/>
  <c r="I422" i="19" s="1"/>
  <c r="I423" i="19" s="1"/>
  <c r="I424" i="19" s="1"/>
  <c r="I425" i="19" s="1"/>
  <c r="I426" i="19" s="1"/>
  <c r="I427" i="19" s="1"/>
  <c r="I428" i="19" s="1"/>
  <c r="I429" i="19" s="1"/>
  <c r="I430" i="19" s="1"/>
  <c r="I431" i="19" s="1"/>
  <c r="I432" i="19" s="1"/>
  <c r="I433" i="19" s="1"/>
  <c r="I434" i="19" s="1"/>
  <c r="I435" i="19" s="1"/>
  <c r="I436" i="19" s="1"/>
  <c r="I437" i="19" s="1"/>
  <c r="I438" i="19" s="1"/>
  <c r="I452" i="19" s="1"/>
  <c r="I453" i="19" s="1"/>
  <c r="I454" i="19" s="1"/>
  <c r="I455" i="19" s="1"/>
  <c r="I456" i="19" s="1"/>
  <c r="I457" i="19" s="1"/>
  <c r="I458" i="19" s="1"/>
  <c r="I459" i="19" s="1"/>
  <c r="I460" i="19" s="1"/>
  <c r="I461" i="19" s="1"/>
  <c r="I462" i="19" s="1"/>
  <c r="I463" i="19" s="1"/>
  <c r="I464" i="19" s="1"/>
  <c r="I465" i="19" s="1"/>
  <c r="I466" i="19" s="1"/>
  <c r="I467" i="19" s="1"/>
  <c r="I468" i="19" s="1"/>
  <c r="I469" i="19" s="1"/>
  <c r="I470" i="19" s="1"/>
  <c r="I471" i="19" s="1"/>
  <c r="I472" i="19" s="1"/>
  <c r="I473" i="19" s="1"/>
  <c r="I474" i="19" s="1"/>
  <c r="I475" i="19" s="1"/>
  <c r="I476" i="19" s="1"/>
  <c r="I477" i="19" s="1"/>
  <c r="I487" i="19" s="1"/>
  <c r="I488" i="19" s="1"/>
  <c r="I489" i="19" s="1"/>
  <c r="I490" i="19" s="1"/>
  <c r="I491" i="19" s="1"/>
  <c r="I492" i="19" s="1"/>
  <c r="I493" i="19" s="1"/>
  <c r="I494" i="19" s="1"/>
  <c r="I495" i="19" s="1"/>
  <c r="I496" i="19" s="1"/>
  <c r="I497" i="19" s="1"/>
  <c r="I498" i="19" s="1"/>
  <c r="I499" i="19" s="1"/>
  <c r="I500" i="19" s="1"/>
  <c r="I501" i="19" s="1"/>
  <c r="I502" i="19" s="1"/>
  <c r="I503" i="19" s="1"/>
  <c r="I504" i="19" s="1"/>
  <c r="I505" i="19" s="1"/>
  <c r="I506" i="19" s="1"/>
  <c r="I507" i="19" s="1"/>
  <c r="I508" i="19" s="1"/>
  <c r="I509" i="19" s="1"/>
  <c r="I510" i="19" s="1"/>
  <c r="I511" i="19" s="1"/>
  <c r="I512" i="19" s="1"/>
  <c r="I526" i="19" s="1"/>
  <c r="I527" i="19" s="1"/>
  <c r="I528" i="19" s="1"/>
  <c r="I529" i="19" s="1"/>
  <c r="I530" i="19" s="1"/>
  <c r="I531" i="19" s="1"/>
  <c r="I532" i="19" s="1"/>
  <c r="I533" i="19" s="1"/>
  <c r="I534" i="19" s="1"/>
  <c r="I535" i="19" s="1"/>
  <c r="I536" i="19" s="1"/>
  <c r="I537" i="19" s="1"/>
  <c r="I538" i="19" s="1"/>
  <c r="I539" i="19" s="1"/>
  <c r="I540" i="19" s="1"/>
  <c r="I541" i="19" s="1"/>
  <c r="I542" i="19" s="1"/>
  <c r="I543" i="19" s="1"/>
  <c r="I544" i="19" s="1"/>
  <c r="I545" i="19" s="1"/>
  <c r="I546" i="19" s="1"/>
  <c r="I547" i="19" s="1"/>
  <c r="I548" i="19" s="1"/>
  <c r="I549" i="19" s="1"/>
  <c r="I550" i="19" s="1"/>
  <c r="I551" i="19" s="1"/>
  <c r="C556" i="19"/>
  <c r="F566" i="19" s="1"/>
  <c r="D556" i="19"/>
  <c r="F567" i="19" s="1"/>
  <c r="H556" i="19"/>
  <c r="H567" i="19" s="1"/>
  <c r="G291" i="16"/>
  <c r="G256" i="16"/>
  <c r="G217" i="16"/>
  <c r="G143" i="16"/>
  <c r="G108" i="16"/>
  <c r="G69" i="16"/>
  <c r="G182" i="16"/>
  <c r="G34" i="16"/>
  <c r="I7" i="16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G404" i="16"/>
  <c r="G478" i="16"/>
  <c r="G439" i="16"/>
  <c r="G365" i="16"/>
  <c r="H556" i="16"/>
  <c r="H567" i="16" s="1"/>
  <c r="C556" i="16"/>
  <c r="F566" i="16" s="1"/>
  <c r="D556" i="16"/>
  <c r="F567" i="16" s="1"/>
  <c r="G330" i="15"/>
  <c r="G365" i="15"/>
  <c r="G404" i="15"/>
  <c r="G108" i="15"/>
  <c r="G478" i="15"/>
  <c r="G217" i="15"/>
  <c r="G256" i="15"/>
  <c r="G143" i="15"/>
  <c r="G69" i="15"/>
  <c r="I8" i="15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82" i="15" s="1"/>
  <c r="I83" i="15" s="1"/>
  <c r="I84" i="15" s="1"/>
  <c r="I85" i="15" s="1"/>
  <c r="I86" i="15" s="1"/>
  <c r="I87" i="15" s="1"/>
  <c r="I88" i="15" s="1"/>
  <c r="I89" i="15" s="1"/>
  <c r="I90" i="15" s="1"/>
  <c r="I91" i="15" s="1"/>
  <c r="I92" i="15" s="1"/>
  <c r="I93" i="15" s="1"/>
  <c r="I94" i="15" s="1"/>
  <c r="I95" i="15" s="1"/>
  <c r="I96" i="15" s="1"/>
  <c r="I97" i="15" s="1"/>
  <c r="I98" i="15" s="1"/>
  <c r="I99" i="15" s="1"/>
  <c r="I100" i="15" s="1"/>
  <c r="I101" i="15" s="1"/>
  <c r="I102" i="15" s="1"/>
  <c r="I103" i="15" s="1"/>
  <c r="I104" i="15" s="1"/>
  <c r="I105" i="15" s="1"/>
  <c r="I106" i="15" s="1"/>
  <c r="I107" i="15" s="1"/>
  <c r="I117" i="15" s="1"/>
  <c r="I118" i="15" s="1"/>
  <c r="I119" i="15" s="1"/>
  <c r="I120" i="15" s="1"/>
  <c r="I121" i="15" s="1"/>
  <c r="I122" i="15" s="1"/>
  <c r="I123" i="15" s="1"/>
  <c r="I124" i="15" s="1"/>
  <c r="I125" i="15" s="1"/>
  <c r="I126" i="15" s="1"/>
  <c r="I127" i="15" s="1"/>
  <c r="I128" i="15" s="1"/>
  <c r="I129" i="15" s="1"/>
  <c r="I130" i="15" s="1"/>
  <c r="I131" i="15" s="1"/>
  <c r="I132" i="15" s="1"/>
  <c r="I133" i="15" s="1"/>
  <c r="I134" i="15" s="1"/>
  <c r="I135" i="15" s="1"/>
  <c r="I136" i="15" s="1"/>
  <c r="I137" i="15" s="1"/>
  <c r="I138" i="15" s="1"/>
  <c r="I139" i="15" s="1"/>
  <c r="I140" i="15" s="1"/>
  <c r="I141" i="15" s="1"/>
  <c r="I142" i="15" s="1"/>
  <c r="I156" i="15" s="1"/>
  <c r="I157" i="15" s="1"/>
  <c r="I158" i="15" s="1"/>
  <c r="I159" i="15" s="1"/>
  <c r="I160" i="15" s="1"/>
  <c r="I161" i="15" s="1"/>
  <c r="I162" i="15" s="1"/>
  <c r="I163" i="15" s="1"/>
  <c r="I164" i="15" s="1"/>
  <c r="I165" i="15" s="1"/>
  <c r="I166" i="15" s="1"/>
  <c r="I167" i="15" s="1"/>
  <c r="I168" i="15" s="1"/>
  <c r="I169" i="15" s="1"/>
  <c r="I170" i="15" s="1"/>
  <c r="I171" i="15" s="1"/>
  <c r="I172" i="15" s="1"/>
  <c r="I173" i="15" s="1"/>
  <c r="I174" i="15" s="1"/>
  <c r="I175" i="15" s="1"/>
  <c r="I176" i="15" s="1"/>
  <c r="I177" i="15" s="1"/>
  <c r="I178" i="15" s="1"/>
  <c r="I179" i="15" s="1"/>
  <c r="I180" i="15" s="1"/>
  <c r="I181" i="15" s="1"/>
  <c r="I191" i="15" s="1"/>
  <c r="I192" i="15" s="1"/>
  <c r="I193" i="15" s="1"/>
  <c r="I194" i="15" s="1"/>
  <c r="I195" i="15" s="1"/>
  <c r="I196" i="15" s="1"/>
  <c r="I197" i="15" s="1"/>
  <c r="I198" i="15" s="1"/>
  <c r="I199" i="15" s="1"/>
  <c r="I200" i="15" s="1"/>
  <c r="I201" i="15" s="1"/>
  <c r="I202" i="15" s="1"/>
  <c r="I203" i="15" s="1"/>
  <c r="I204" i="15" s="1"/>
  <c r="I205" i="15" s="1"/>
  <c r="I206" i="15" s="1"/>
  <c r="I207" i="15" s="1"/>
  <c r="I208" i="15" s="1"/>
  <c r="I209" i="15" s="1"/>
  <c r="I210" i="15" s="1"/>
  <c r="I211" i="15" s="1"/>
  <c r="I212" i="15" s="1"/>
  <c r="I213" i="15" s="1"/>
  <c r="I214" i="15" s="1"/>
  <c r="I215" i="15" s="1"/>
  <c r="I216" i="15" s="1"/>
  <c r="I230" i="15" s="1"/>
  <c r="I231" i="15" s="1"/>
  <c r="I232" i="15" s="1"/>
  <c r="I233" i="15" s="1"/>
  <c r="I234" i="15" s="1"/>
  <c r="I235" i="15" s="1"/>
  <c r="I236" i="15" s="1"/>
  <c r="I237" i="15" s="1"/>
  <c r="I238" i="15" s="1"/>
  <c r="I239" i="15" s="1"/>
  <c r="I240" i="15" s="1"/>
  <c r="I241" i="15" s="1"/>
  <c r="I242" i="15" s="1"/>
  <c r="I243" i="15" s="1"/>
  <c r="I244" i="15" s="1"/>
  <c r="I245" i="15" s="1"/>
  <c r="I246" i="15" s="1"/>
  <c r="I247" i="15" s="1"/>
  <c r="I248" i="15" s="1"/>
  <c r="I249" i="15" s="1"/>
  <c r="I250" i="15" s="1"/>
  <c r="I251" i="15" s="1"/>
  <c r="I252" i="15" s="1"/>
  <c r="I253" i="15" s="1"/>
  <c r="I254" i="15" s="1"/>
  <c r="I255" i="15" s="1"/>
  <c r="I265" i="15" s="1"/>
  <c r="I266" i="15" s="1"/>
  <c r="I267" i="15" s="1"/>
  <c r="I268" i="15" s="1"/>
  <c r="I269" i="15" s="1"/>
  <c r="I270" i="15" s="1"/>
  <c r="I271" i="15" s="1"/>
  <c r="I272" i="15" s="1"/>
  <c r="I273" i="15" s="1"/>
  <c r="I274" i="15" s="1"/>
  <c r="I275" i="15" s="1"/>
  <c r="I276" i="15" s="1"/>
  <c r="I277" i="15" s="1"/>
  <c r="I278" i="15" s="1"/>
  <c r="I279" i="15" s="1"/>
  <c r="I280" i="15" s="1"/>
  <c r="I281" i="15" s="1"/>
  <c r="I282" i="15" s="1"/>
  <c r="I283" i="15" s="1"/>
  <c r="I284" i="15" s="1"/>
  <c r="I285" i="15" s="1"/>
  <c r="I286" i="15" s="1"/>
  <c r="I287" i="15" s="1"/>
  <c r="I288" i="15" s="1"/>
  <c r="I289" i="15" s="1"/>
  <c r="I290" i="15" s="1"/>
  <c r="I304" i="15" s="1"/>
  <c r="I305" i="15" s="1"/>
  <c r="I306" i="15" s="1"/>
  <c r="I307" i="15" s="1"/>
  <c r="I308" i="15" s="1"/>
  <c r="I309" i="15" s="1"/>
  <c r="I310" i="15" s="1"/>
  <c r="I311" i="15" s="1"/>
  <c r="I312" i="15" s="1"/>
  <c r="I313" i="15" s="1"/>
  <c r="I314" i="15" s="1"/>
  <c r="I315" i="15" s="1"/>
  <c r="I316" i="15" s="1"/>
  <c r="I317" i="15" s="1"/>
  <c r="I318" i="15" s="1"/>
  <c r="I319" i="15" s="1"/>
  <c r="I320" i="15" s="1"/>
  <c r="I321" i="15" s="1"/>
  <c r="I322" i="15" s="1"/>
  <c r="I323" i="15" s="1"/>
  <c r="I324" i="15" s="1"/>
  <c r="I325" i="15" s="1"/>
  <c r="I326" i="15" s="1"/>
  <c r="I327" i="15" s="1"/>
  <c r="I328" i="15" s="1"/>
  <c r="I329" i="15" s="1"/>
  <c r="I339" i="15" s="1"/>
  <c r="I340" i="15" s="1"/>
  <c r="I341" i="15" s="1"/>
  <c r="I342" i="15" s="1"/>
  <c r="I343" i="15" s="1"/>
  <c r="I344" i="15" s="1"/>
  <c r="I345" i="15" s="1"/>
  <c r="I346" i="15" s="1"/>
  <c r="I347" i="15" s="1"/>
  <c r="I348" i="15" s="1"/>
  <c r="I349" i="15" s="1"/>
  <c r="I350" i="15" s="1"/>
  <c r="I351" i="15" s="1"/>
  <c r="I352" i="15" s="1"/>
  <c r="I353" i="15" s="1"/>
  <c r="I354" i="15" s="1"/>
  <c r="I355" i="15" s="1"/>
  <c r="I356" i="15" s="1"/>
  <c r="I357" i="15" s="1"/>
  <c r="I358" i="15" s="1"/>
  <c r="I359" i="15" s="1"/>
  <c r="I360" i="15" s="1"/>
  <c r="I361" i="15" s="1"/>
  <c r="I362" i="15" s="1"/>
  <c r="I363" i="15" s="1"/>
  <c r="I364" i="15" s="1"/>
  <c r="I378" i="15" s="1"/>
  <c r="I379" i="15" s="1"/>
  <c r="I380" i="15" s="1"/>
  <c r="I381" i="15" s="1"/>
  <c r="I382" i="15" s="1"/>
  <c r="I383" i="15" s="1"/>
  <c r="I384" i="15" s="1"/>
  <c r="I385" i="15" s="1"/>
  <c r="I386" i="15" s="1"/>
  <c r="I387" i="15" s="1"/>
  <c r="I388" i="15" s="1"/>
  <c r="I389" i="15" s="1"/>
  <c r="I390" i="15" s="1"/>
  <c r="I391" i="15" s="1"/>
  <c r="I392" i="15" s="1"/>
  <c r="I393" i="15" s="1"/>
  <c r="I394" i="15" s="1"/>
  <c r="I395" i="15" s="1"/>
  <c r="I396" i="15" s="1"/>
  <c r="I397" i="15" s="1"/>
  <c r="I398" i="15" s="1"/>
  <c r="I399" i="15" s="1"/>
  <c r="I400" i="15" s="1"/>
  <c r="I401" i="15" s="1"/>
  <c r="I402" i="15" s="1"/>
  <c r="I403" i="15" s="1"/>
  <c r="I413" i="15" s="1"/>
  <c r="I414" i="15" s="1"/>
  <c r="I415" i="15" s="1"/>
  <c r="I416" i="15" s="1"/>
  <c r="I417" i="15" s="1"/>
  <c r="I418" i="15" s="1"/>
  <c r="I419" i="15" s="1"/>
  <c r="I420" i="15" s="1"/>
  <c r="I421" i="15" s="1"/>
  <c r="I422" i="15" s="1"/>
  <c r="I423" i="15" s="1"/>
  <c r="I424" i="15" s="1"/>
  <c r="I425" i="15" s="1"/>
  <c r="I426" i="15" s="1"/>
  <c r="I427" i="15" s="1"/>
  <c r="I428" i="15" s="1"/>
  <c r="I429" i="15" s="1"/>
  <c r="I430" i="15" s="1"/>
  <c r="I431" i="15" s="1"/>
  <c r="I432" i="15" s="1"/>
  <c r="I433" i="15" s="1"/>
  <c r="I434" i="15" s="1"/>
  <c r="I435" i="15" s="1"/>
  <c r="I436" i="15" s="1"/>
  <c r="I437" i="15" s="1"/>
  <c r="I438" i="15" s="1"/>
  <c r="I452" i="15" s="1"/>
  <c r="I453" i="15" s="1"/>
  <c r="I454" i="15" s="1"/>
  <c r="I455" i="15" s="1"/>
  <c r="I456" i="15" s="1"/>
  <c r="I457" i="15" s="1"/>
  <c r="I458" i="15" s="1"/>
  <c r="I459" i="15" s="1"/>
  <c r="I460" i="15" s="1"/>
  <c r="I461" i="15" s="1"/>
  <c r="I462" i="15" s="1"/>
  <c r="I463" i="15" s="1"/>
  <c r="I464" i="15" s="1"/>
  <c r="I465" i="15" s="1"/>
  <c r="I466" i="15" s="1"/>
  <c r="I467" i="15" s="1"/>
  <c r="I468" i="15" s="1"/>
  <c r="I469" i="15" s="1"/>
  <c r="I470" i="15" s="1"/>
  <c r="I471" i="15" s="1"/>
  <c r="I472" i="15" s="1"/>
  <c r="I473" i="15" s="1"/>
  <c r="I474" i="15" s="1"/>
  <c r="I475" i="15" s="1"/>
  <c r="I476" i="15" s="1"/>
  <c r="I477" i="15" s="1"/>
  <c r="I487" i="15" s="1"/>
  <c r="I488" i="15" s="1"/>
  <c r="I489" i="15" s="1"/>
  <c r="I490" i="15" s="1"/>
  <c r="I491" i="15" s="1"/>
  <c r="I492" i="15" s="1"/>
  <c r="I493" i="15" s="1"/>
  <c r="I494" i="15" s="1"/>
  <c r="I495" i="15" s="1"/>
  <c r="I496" i="15" s="1"/>
  <c r="I497" i="15" s="1"/>
  <c r="I498" i="15" s="1"/>
  <c r="I499" i="15" s="1"/>
  <c r="I500" i="15" s="1"/>
  <c r="I501" i="15" s="1"/>
  <c r="I502" i="15" s="1"/>
  <c r="I503" i="15" s="1"/>
  <c r="I504" i="15" s="1"/>
  <c r="I505" i="15" s="1"/>
  <c r="I506" i="15" s="1"/>
  <c r="I507" i="15" s="1"/>
  <c r="I508" i="15" s="1"/>
  <c r="I509" i="15" s="1"/>
  <c r="I510" i="15" s="1"/>
  <c r="I511" i="15" s="1"/>
  <c r="I512" i="15" s="1"/>
  <c r="I526" i="15" s="1"/>
  <c r="I527" i="15" s="1"/>
  <c r="I528" i="15" s="1"/>
  <c r="I529" i="15" s="1"/>
  <c r="I530" i="15" s="1"/>
  <c r="I531" i="15" s="1"/>
  <c r="I532" i="15" s="1"/>
  <c r="I533" i="15" s="1"/>
  <c r="I534" i="15" s="1"/>
  <c r="I535" i="15" s="1"/>
  <c r="I536" i="15" s="1"/>
  <c r="I537" i="15" s="1"/>
  <c r="I538" i="15" s="1"/>
  <c r="I539" i="15" s="1"/>
  <c r="I540" i="15" s="1"/>
  <c r="I541" i="15" s="1"/>
  <c r="I542" i="15" s="1"/>
  <c r="I543" i="15" s="1"/>
  <c r="I544" i="15" s="1"/>
  <c r="I545" i="15" s="1"/>
  <c r="I546" i="15" s="1"/>
  <c r="I547" i="15" s="1"/>
  <c r="I548" i="15" s="1"/>
  <c r="I549" i="15" s="1"/>
  <c r="I550" i="15" s="1"/>
  <c r="I551" i="15" s="1"/>
  <c r="G34" i="15"/>
  <c r="C556" i="15"/>
  <c r="F566" i="15" s="1"/>
  <c r="H566" i="15" s="1"/>
  <c r="G182" i="15"/>
  <c r="D556" i="15"/>
  <c r="F567" i="15" s="1"/>
  <c r="H556" i="15"/>
  <c r="H567" i="15" s="1"/>
  <c r="G69" i="14"/>
  <c r="G182" i="14"/>
  <c r="G439" i="14"/>
  <c r="G143" i="14"/>
  <c r="G404" i="14"/>
  <c r="G365" i="14"/>
  <c r="G478" i="14"/>
  <c r="G34" i="14"/>
  <c r="I8" i="14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17" i="14" s="1"/>
  <c r="I118" i="14" s="1"/>
  <c r="I119" i="14" s="1"/>
  <c r="I120" i="14" s="1"/>
  <c r="I121" i="14" s="1"/>
  <c r="I122" i="14" s="1"/>
  <c r="I123" i="14" s="1"/>
  <c r="I124" i="14" s="1"/>
  <c r="I125" i="14" s="1"/>
  <c r="I126" i="14" s="1"/>
  <c r="I127" i="14" s="1"/>
  <c r="I128" i="14" s="1"/>
  <c r="I129" i="14" s="1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56" i="14" s="1"/>
  <c r="I157" i="14" s="1"/>
  <c r="I158" i="14" s="1"/>
  <c r="I159" i="14" s="1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I173" i="14" s="1"/>
  <c r="I174" i="14" s="1"/>
  <c r="I175" i="14" s="1"/>
  <c r="I176" i="14" s="1"/>
  <c r="I177" i="14" s="1"/>
  <c r="I178" i="14" s="1"/>
  <c r="I179" i="14" s="1"/>
  <c r="I180" i="14" s="1"/>
  <c r="I181" i="14" s="1"/>
  <c r="I191" i="14" s="1"/>
  <c r="I192" i="14" s="1"/>
  <c r="I193" i="14" s="1"/>
  <c r="I194" i="14" s="1"/>
  <c r="I195" i="14" s="1"/>
  <c r="I196" i="14" s="1"/>
  <c r="I197" i="14" s="1"/>
  <c r="I198" i="14" s="1"/>
  <c r="I199" i="14" s="1"/>
  <c r="I200" i="14" s="1"/>
  <c r="I201" i="14" s="1"/>
  <c r="I202" i="14" s="1"/>
  <c r="I203" i="14" s="1"/>
  <c r="I204" i="14" s="1"/>
  <c r="I205" i="14" s="1"/>
  <c r="I206" i="14" s="1"/>
  <c r="I207" i="14" s="1"/>
  <c r="I208" i="14" s="1"/>
  <c r="I209" i="14" s="1"/>
  <c r="I210" i="14" s="1"/>
  <c r="I211" i="14" s="1"/>
  <c r="I212" i="14" s="1"/>
  <c r="I213" i="14" s="1"/>
  <c r="I214" i="14" s="1"/>
  <c r="I215" i="14" s="1"/>
  <c r="I216" i="14" s="1"/>
  <c r="I230" i="14" s="1"/>
  <c r="I231" i="14" s="1"/>
  <c r="I232" i="14" s="1"/>
  <c r="I233" i="14" s="1"/>
  <c r="I234" i="14" s="1"/>
  <c r="I235" i="14" s="1"/>
  <c r="I236" i="14" s="1"/>
  <c r="I237" i="14" s="1"/>
  <c r="I238" i="14" s="1"/>
  <c r="I239" i="14" s="1"/>
  <c r="I240" i="14" s="1"/>
  <c r="I241" i="14" s="1"/>
  <c r="I242" i="14" s="1"/>
  <c r="I243" i="14" s="1"/>
  <c r="I244" i="14" s="1"/>
  <c r="I245" i="14" s="1"/>
  <c r="I246" i="14" s="1"/>
  <c r="I247" i="14" s="1"/>
  <c r="I248" i="14" s="1"/>
  <c r="I249" i="14" s="1"/>
  <c r="I250" i="14" s="1"/>
  <c r="I251" i="14" s="1"/>
  <c r="I252" i="14" s="1"/>
  <c r="I253" i="14" s="1"/>
  <c r="I254" i="14" s="1"/>
  <c r="I255" i="14" s="1"/>
  <c r="I265" i="14" s="1"/>
  <c r="I266" i="14" s="1"/>
  <c r="I267" i="14" s="1"/>
  <c r="I268" i="14" s="1"/>
  <c r="I269" i="14" s="1"/>
  <c r="I270" i="14" s="1"/>
  <c r="I271" i="14" s="1"/>
  <c r="I272" i="14" s="1"/>
  <c r="I273" i="14" s="1"/>
  <c r="I274" i="14" s="1"/>
  <c r="I275" i="14" s="1"/>
  <c r="I276" i="14" s="1"/>
  <c r="I277" i="14" s="1"/>
  <c r="I278" i="14" s="1"/>
  <c r="I279" i="14" s="1"/>
  <c r="I280" i="14" s="1"/>
  <c r="I281" i="14" s="1"/>
  <c r="I282" i="14" s="1"/>
  <c r="I283" i="14" s="1"/>
  <c r="I284" i="14" s="1"/>
  <c r="I285" i="14" s="1"/>
  <c r="I286" i="14" s="1"/>
  <c r="I287" i="14" s="1"/>
  <c r="I288" i="14" s="1"/>
  <c r="I289" i="14" s="1"/>
  <c r="I290" i="14" s="1"/>
  <c r="I304" i="14" s="1"/>
  <c r="I305" i="14" s="1"/>
  <c r="I306" i="14" s="1"/>
  <c r="I307" i="14" s="1"/>
  <c r="I308" i="14" s="1"/>
  <c r="I309" i="14" s="1"/>
  <c r="I310" i="14" s="1"/>
  <c r="I311" i="14" s="1"/>
  <c r="I312" i="14" s="1"/>
  <c r="I313" i="14" s="1"/>
  <c r="I314" i="14" s="1"/>
  <c r="I315" i="14" s="1"/>
  <c r="I316" i="14" s="1"/>
  <c r="I317" i="14" s="1"/>
  <c r="I318" i="14" s="1"/>
  <c r="I319" i="14" s="1"/>
  <c r="I320" i="14" s="1"/>
  <c r="I321" i="14" s="1"/>
  <c r="I322" i="14" s="1"/>
  <c r="I323" i="14" s="1"/>
  <c r="I324" i="14" s="1"/>
  <c r="I325" i="14" s="1"/>
  <c r="I326" i="14" s="1"/>
  <c r="I327" i="14" s="1"/>
  <c r="I328" i="14" s="1"/>
  <c r="I329" i="14" s="1"/>
  <c r="I339" i="14" s="1"/>
  <c r="I340" i="14" s="1"/>
  <c r="I341" i="14" s="1"/>
  <c r="I342" i="14" s="1"/>
  <c r="I343" i="14" s="1"/>
  <c r="I344" i="14" s="1"/>
  <c r="I345" i="14" s="1"/>
  <c r="I346" i="14" s="1"/>
  <c r="I347" i="14" s="1"/>
  <c r="I348" i="14" s="1"/>
  <c r="I349" i="14" s="1"/>
  <c r="I350" i="14" s="1"/>
  <c r="I351" i="14" s="1"/>
  <c r="I352" i="14" s="1"/>
  <c r="I353" i="14" s="1"/>
  <c r="I354" i="14" s="1"/>
  <c r="I355" i="14" s="1"/>
  <c r="I356" i="14" s="1"/>
  <c r="I357" i="14" s="1"/>
  <c r="I358" i="14" s="1"/>
  <c r="I359" i="14" s="1"/>
  <c r="I360" i="14" s="1"/>
  <c r="I361" i="14" s="1"/>
  <c r="I362" i="14" s="1"/>
  <c r="I363" i="14" s="1"/>
  <c r="I364" i="14" s="1"/>
  <c r="I378" i="14" s="1"/>
  <c r="I379" i="14" s="1"/>
  <c r="I380" i="14" s="1"/>
  <c r="I381" i="14" s="1"/>
  <c r="I382" i="14" s="1"/>
  <c r="I383" i="14" s="1"/>
  <c r="I384" i="14" s="1"/>
  <c r="I385" i="14" s="1"/>
  <c r="I386" i="14" s="1"/>
  <c r="I387" i="14" s="1"/>
  <c r="I388" i="14" s="1"/>
  <c r="I389" i="14" s="1"/>
  <c r="I390" i="14" s="1"/>
  <c r="I391" i="14" s="1"/>
  <c r="I392" i="14" s="1"/>
  <c r="I393" i="14" s="1"/>
  <c r="I394" i="14" s="1"/>
  <c r="I395" i="14" s="1"/>
  <c r="I396" i="14" s="1"/>
  <c r="I397" i="14" s="1"/>
  <c r="I398" i="14" s="1"/>
  <c r="I399" i="14" s="1"/>
  <c r="I400" i="14" s="1"/>
  <c r="I401" i="14" s="1"/>
  <c r="I402" i="14" s="1"/>
  <c r="I403" i="14" s="1"/>
  <c r="I413" i="14" s="1"/>
  <c r="I414" i="14" s="1"/>
  <c r="I415" i="14" s="1"/>
  <c r="I416" i="14" s="1"/>
  <c r="I417" i="14" s="1"/>
  <c r="I418" i="14" s="1"/>
  <c r="I419" i="14" s="1"/>
  <c r="I420" i="14" s="1"/>
  <c r="I421" i="14" s="1"/>
  <c r="I422" i="14" s="1"/>
  <c r="I423" i="14" s="1"/>
  <c r="I424" i="14" s="1"/>
  <c r="I425" i="14" s="1"/>
  <c r="I426" i="14" s="1"/>
  <c r="I427" i="14" s="1"/>
  <c r="I428" i="14" s="1"/>
  <c r="I429" i="14" s="1"/>
  <c r="I430" i="14" s="1"/>
  <c r="I431" i="14" s="1"/>
  <c r="I432" i="14" s="1"/>
  <c r="I433" i="14" s="1"/>
  <c r="I434" i="14" s="1"/>
  <c r="I435" i="14" s="1"/>
  <c r="I436" i="14" s="1"/>
  <c r="I437" i="14" s="1"/>
  <c r="I438" i="14" s="1"/>
  <c r="I452" i="14" s="1"/>
  <c r="I453" i="14" s="1"/>
  <c r="I454" i="14" s="1"/>
  <c r="I455" i="14" s="1"/>
  <c r="I456" i="14" s="1"/>
  <c r="I457" i="14" s="1"/>
  <c r="I458" i="14" s="1"/>
  <c r="I459" i="14" s="1"/>
  <c r="I460" i="14" s="1"/>
  <c r="I461" i="14" s="1"/>
  <c r="I462" i="14" s="1"/>
  <c r="I463" i="14" s="1"/>
  <c r="I464" i="14" s="1"/>
  <c r="I465" i="14" s="1"/>
  <c r="I466" i="14" s="1"/>
  <c r="I467" i="14" s="1"/>
  <c r="I468" i="14" s="1"/>
  <c r="I469" i="14" s="1"/>
  <c r="I470" i="14" s="1"/>
  <c r="I471" i="14" s="1"/>
  <c r="I472" i="14" s="1"/>
  <c r="I473" i="14" s="1"/>
  <c r="I474" i="14" s="1"/>
  <c r="I475" i="14" s="1"/>
  <c r="I476" i="14" s="1"/>
  <c r="I477" i="14" s="1"/>
  <c r="I487" i="14" s="1"/>
  <c r="I488" i="14" s="1"/>
  <c r="I489" i="14" s="1"/>
  <c r="I490" i="14" s="1"/>
  <c r="I491" i="14" s="1"/>
  <c r="I492" i="14" s="1"/>
  <c r="I493" i="14" s="1"/>
  <c r="I494" i="14" s="1"/>
  <c r="I495" i="14" s="1"/>
  <c r="I496" i="14" s="1"/>
  <c r="I497" i="14" s="1"/>
  <c r="I498" i="14" s="1"/>
  <c r="I499" i="14" s="1"/>
  <c r="I500" i="14" s="1"/>
  <c r="I501" i="14" s="1"/>
  <c r="I502" i="14" s="1"/>
  <c r="I503" i="14" s="1"/>
  <c r="I504" i="14" s="1"/>
  <c r="I505" i="14" s="1"/>
  <c r="I506" i="14" s="1"/>
  <c r="I507" i="14" s="1"/>
  <c r="I508" i="14" s="1"/>
  <c r="I509" i="14" s="1"/>
  <c r="I510" i="14" s="1"/>
  <c r="I511" i="14" s="1"/>
  <c r="I512" i="14" s="1"/>
  <c r="I526" i="14" s="1"/>
  <c r="I527" i="14" s="1"/>
  <c r="I528" i="14" s="1"/>
  <c r="I529" i="14" s="1"/>
  <c r="I530" i="14" s="1"/>
  <c r="I531" i="14" s="1"/>
  <c r="I532" i="14" s="1"/>
  <c r="I533" i="14" s="1"/>
  <c r="I534" i="14" s="1"/>
  <c r="I535" i="14" s="1"/>
  <c r="I536" i="14" s="1"/>
  <c r="I537" i="14" s="1"/>
  <c r="I538" i="14" s="1"/>
  <c r="I539" i="14" s="1"/>
  <c r="I540" i="14" s="1"/>
  <c r="I541" i="14" s="1"/>
  <c r="I542" i="14" s="1"/>
  <c r="I543" i="14" s="1"/>
  <c r="I544" i="14" s="1"/>
  <c r="I545" i="14" s="1"/>
  <c r="I546" i="14" s="1"/>
  <c r="I547" i="14" s="1"/>
  <c r="I548" i="14" s="1"/>
  <c r="I549" i="14" s="1"/>
  <c r="I550" i="14" s="1"/>
  <c r="I551" i="14" s="1"/>
  <c r="G108" i="14"/>
  <c r="D556" i="14"/>
  <c r="F567" i="14" s="1"/>
  <c r="H556" i="14"/>
  <c r="H567" i="14" s="1"/>
  <c r="C556" i="14"/>
  <c r="F566" i="14" s="1"/>
  <c r="G556" i="19" l="1"/>
  <c r="K557" i="19" s="1"/>
  <c r="I34" i="19"/>
  <c r="F570" i="19"/>
  <c r="H566" i="19"/>
  <c r="H570" i="19" s="1"/>
  <c r="G556" i="16"/>
  <c r="K557" i="16" s="1"/>
  <c r="F570" i="16"/>
  <c r="H566" i="16"/>
  <c r="H570" i="16" s="1"/>
  <c r="I43" i="16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I92" i="16" s="1"/>
  <c r="I93" i="16" s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I104" i="16" s="1"/>
  <c r="I105" i="16" s="1"/>
  <c r="I106" i="16" s="1"/>
  <c r="I107" i="16" s="1"/>
  <c r="I117" i="16" s="1"/>
  <c r="I118" i="16" s="1"/>
  <c r="I119" i="16" s="1"/>
  <c r="I120" i="16" s="1"/>
  <c r="I121" i="16" s="1"/>
  <c r="I122" i="16" s="1"/>
  <c r="I123" i="16" s="1"/>
  <c r="I124" i="16" s="1"/>
  <c r="I125" i="16" s="1"/>
  <c r="I126" i="16" s="1"/>
  <c r="I127" i="16" s="1"/>
  <c r="I128" i="16" s="1"/>
  <c r="I129" i="16" s="1"/>
  <c r="I130" i="16" s="1"/>
  <c r="I131" i="16" s="1"/>
  <c r="I34" i="16"/>
  <c r="F570" i="15"/>
  <c r="I34" i="15"/>
  <c r="G556" i="15"/>
  <c r="K557" i="15" s="1"/>
  <c r="H570" i="15"/>
  <c r="G556" i="14"/>
  <c r="K557" i="14" s="1"/>
  <c r="I34" i="14"/>
  <c r="H566" i="14"/>
  <c r="H570" i="14" s="1"/>
  <c r="F570" i="14"/>
  <c r="H552" i="13"/>
  <c r="G552" i="13"/>
  <c r="D552" i="13"/>
  <c r="C552" i="13"/>
  <c r="K520" i="13"/>
  <c r="A520" i="13"/>
  <c r="H513" i="13"/>
  <c r="G513" i="13"/>
  <c r="D513" i="13"/>
  <c r="C513" i="13"/>
  <c r="K481" i="13"/>
  <c r="A481" i="13"/>
  <c r="H478" i="13"/>
  <c r="D478" i="13"/>
  <c r="C478" i="13"/>
  <c r="G477" i="13"/>
  <c r="G476" i="13"/>
  <c r="G475" i="13"/>
  <c r="G474" i="13"/>
  <c r="G473" i="13"/>
  <c r="G472" i="13"/>
  <c r="G471" i="13"/>
  <c r="G470" i="13"/>
  <c r="G469" i="13"/>
  <c r="G468" i="13"/>
  <c r="G467" i="13"/>
  <c r="G466" i="13"/>
  <c r="G465" i="13"/>
  <c r="G464" i="13"/>
  <c r="G463" i="13"/>
  <c r="G462" i="13"/>
  <c r="G461" i="13"/>
  <c r="G460" i="13"/>
  <c r="G459" i="13"/>
  <c r="G458" i="13"/>
  <c r="G457" i="13"/>
  <c r="G456" i="13"/>
  <c r="G455" i="13"/>
  <c r="G454" i="13"/>
  <c r="G453" i="13"/>
  <c r="G452" i="13"/>
  <c r="K446" i="13"/>
  <c r="A446" i="13"/>
  <c r="H439" i="13"/>
  <c r="D439" i="13"/>
  <c r="C439" i="13"/>
  <c r="G438" i="13"/>
  <c r="G437" i="13"/>
  <c r="G436" i="13"/>
  <c r="G435" i="13"/>
  <c r="G434" i="13"/>
  <c r="G433" i="13"/>
  <c r="G432" i="13"/>
  <c r="G431" i="13"/>
  <c r="G430" i="13"/>
  <c r="G429" i="13"/>
  <c r="G428" i="13"/>
  <c r="G427" i="13"/>
  <c r="G426" i="13"/>
  <c r="G425" i="13"/>
  <c r="G424" i="13"/>
  <c r="G423" i="13"/>
  <c r="G422" i="13"/>
  <c r="G421" i="13"/>
  <c r="G420" i="13"/>
  <c r="G419" i="13"/>
  <c r="G418" i="13"/>
  <c r="G417" i="13"/>
  <c r="G416" i="13"/>
  <c r="G415" i="13"/>
  <c r="G414" i="13"/>
  <c r="G413" i="13"/>
  <c r="K407" i="13"/>
  <c r="A407" i="13"/>
  <c r="H404" i="13"/>
  <c r="D404" i="13"/>
  <c r="C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K372" i="13"/>
  <c r="A372" i="13"/>
  <c r="H365" i="13"/>
  <c r="D365" i="13"/>
  <c r="C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K333" i="13"/>
  <c r="A333" i="13"/>
  <c r="H330" i="13"/>
  <c r="D330" i="13"/>
  <c r="C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K298" i="13"/>
  <c r="A298" i="13"/>
  <c r="H291" i="13"/>
  <c r="D291" i="13"/>
  <c r="C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K259" i="13"/>
  <c r="A259" i="13"/>
  <c r="H256" i="13"/>
  <c r="D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K224" i="13"/>
  <c r="A224" i="13"/>
  <c r="H217" i="13"/>
  <c r="D217" i="13"/>
  <c r="C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K185" i="13"/>
  <c r="A185" i="13"/>
  <c r="H182" i="13"/>
  <c r="D182" i="13"/>
  <c r="C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K150" i="13"/>
  <c r="A150" i="13"/>
  <c r="H143" i="13"/>
  <c r="D143" i="13"/>
  <c r="C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K111" i="13"/>
  <c r="A111" i="13"/>
  <c r="H108" i="13"/>
  <c r="D108" i="13"/>
  <c r="C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K76" i="13"/>
  <c r="A76" i="13"/>
  <c r="H69" i="13"/>
  <c r="D69" i="13"/>
  <c r="C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K37" i="13"/>
  <c r="A37" i="13"/>
  <c r="H34" i="13"/>
  <c r="D34" i="13"/>
  <c r="C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7" i="13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43" i="13" s="1"/>
  <c r="E44" i="13" s="1"/>
  <c r="E45" i="13" s="1"/>
  <c r="E46" i="13" s="1"/>
  <c r="G439" i="13" l="1"/>
  <c r="I133" i="16"/>
  <c r="I134" i="16" s="1"/>
  <c r="I135" i="16" s="1"/>
  <c r="I136" i="16" s="1"/>
  <c r="I137" i="16" s="1"/>
  <c r="I138" i="16" s="1"/>
  <c r="I139" i="16" s="1"/>
  <c r="I140" i="16" s="1"/>
  <c r="I141" i="16" s="1"/>
  <c r="I142" i="16" s="1"/>
  <c r="I156" i="16" s="1"/>
  <c r="I157" i="16" s="1"/>
  <c r="I158" i="16" s="1"/>
  <c r="I159" i="16" s="1"/>
  <c r="I160" i="16" s="1"/>
  <c r="I161" i="16" s="1"/>
  <c r="I162" i="16" s="1"/>
  <c r="I163" i="16" s="1"/>
  <c r="I164" i="16" s="1"/>
  <c r="I165" i="16" s="1"/>
  <c r="I166" i="16" s="1"/>
  <c r="I167" i="16" s="1"/>
  <c r="I168" i="16" s="1"/>
  <c r="I169" i="16" s="1"/>
  <c r="I170" i="16" s="1"/>
  <c r="I171" i="16" s="1"/>
  <c r="I172" i="16" s="1"/>
  <c r="I173" i="16" s="1"/>
  <c r="I174" i="16" s="1"/>
  <c r="I175" i="16" s="1"/>
  <c r="I176" i="16" s="1"/>
  <c r="I177" i="16" s="1"/>
  <c r="I178" i="16" s="1"/>
  <c r="I179" i="16" s="1"/>
  <c r="I180" i="16" s="1"/>
  <c r="I181" i="16" s="1"/>
  <c r="I191" i="16" s="1"/>
  <c r="I192" i="16" s="1"/>
  <c r="I193" i="16" s="1"/>
  <c r="I194" i="16" s="1"/>
  <c r="I195" i="16" s="1"/>
  <c r="I196" i="16" s="1"/>
  <c r="I197" i="16" s="1"/>
  <c r="I198" i="16" s="1"/>
  <c r="I199" i="16" s="1"/>
  <c r="I200" i="16" s="1"/>
  <c r="I201" i="16" s="1"/>
  <c r="I202" i="16" s="1"/>
  <c r="I203" i="16" s="1"/>
  <c r="I204" i="16" s="1"/>
  <c r="I205" i="16" s="1"/>
  <c r="I206" i="16" s="1"/>
  <c r="I207" i="16" s="1"/>
  <c r="I208" i="16" s="1"/>
  <c r="I209" i="16" s="1"/>
  <c r="I210" i="16" s="1"/>
  <c r="I211" i="16" s="1"/>
  <c r="I212" i="16" s="1"/>
  <c r="I213" i="16" s="1"/>
  <c r="I214" i="16" s="1"/>
  <c r="I215" i="16" s="1"/>
  <c r="I216" i="16" s="1"/>
  <c r="I230" i="16" s="1"/>
  <c r="I231" i="16" s="1"/>
  <c r="I232" i="16" s="1"/>
  <c r="I233" i="16" s="1"/>
  <c r="I234" i="16" s="1"/>
  <c r="I235" i="16" s="1"/>
  <c r="I236" i="16" s="1"/>
  <c r="I237" i="16" s="1"/>
  <c r="I238" i="16" s="1"/>
  <c r="I239" i="16" s="1"/>
  <c r="I240" i="16" s="1"/>
  <c r="I241" i="16" s="1"/>
  <c r="I242" i="16" s="1"/>
  <c r="I243" i="16" s="1"/>
  <c r="I244" i="16" s="1"/>
  <c r="I245" i="16" s="1"/>
  <c r="I246" i="16" s="1"/>
  <c r="I247" i="16" s="1"/>
  <c r="I248" i="16" s="1"/>
  <c r="I249" i="16" s="1"/>
  <c r="I250" i="16" s="1"/>
  <c r="I251" i="16" s="1"/>
  <c r="I252" i="16" s="1"/>
  <c r="I253" i="16" s="1"/>
  <c r="I254" i="16" s="1"/>
  <c r="I255" i="16" s="1"/>
  <c r="I265" i="16" s="1"/>
  <c r="I266" i="16" s="1"/>
  <c r="I267" i="16" s="1"/>
  <c r="I268" i="16" s="1"/>
  <c r="I269" i="16" s="1"/>
  <c r="I270" i="16" s="1"/>
  <c r="I271" i="16" s="1"/>
  <c r="I272" i="16" s="1"/>
  <c r="I273" i="16" s="1"/>
  <c r="I274" i="16" s="1"/>
  <c r="I275" i="16" s="1"/>
  <c r="I276" i="16" s="1"/>
  <c r="I277" i="16" s="1"/>
  <c r="I278" i="16" s="1"/>
  <c r="I279" i="16" s="1"/>
  <c r="I280" i="16" s="1"/>
  <c r="I281" i="16" s="1"/>
  <c r="I282" i="16" s="1"/>
  <c r="I283" i="16" s="1"/>
  <c r="I284" i="16" s="1"/>
  <c r="I285" i="16" s="1"/>
  <c r="I286" i="16" s="1"/>
  <c r="I287" i="16" s="1"/>
  <c r="I288" i="16" s="1"/>
  <c r="I289" i="16" s="1"/>
  <c r="I290" i="16" s="1"/>
  <c r="I304" i="16" s="1"/>
  <c r="I305" i="16" s="1"/>
  <c r="I306" i="16" s="1"/>
  <c r="I307" i="16" s="1"/>
  <c r="I308" i="16" s="1"/>
  <c r="I309" i="16" s="1"/>
  <c r="I310" i="16" s="1"/>
  <c r="I311" i="16" s="1"/>
  <c r="I312" i="16" s="1"/>
  <c r="I313" i="16" s="1"/>
  <c r="I314" i="16" s="1"/>
  <c r="I315" i="16" s="1"/>
  <c r="I316" i="16" s="1"/>
  <c r="I317" i="16" s="1"/>
  <c r="I318" i="16" s="1"/>
  <c r="I319" i="16" s="1"/>
  <c r="I320" i="16" s="1"/>
  <c r="I321" i="16" s="1"/>
  <c r="I322" i="16" s="1"/>
  <c r="I323" i="16" s="1"/>
  <c r="I324" i="16" s="1"/>
  <c r="I325" i="16" s="1"/>
  <c r="I326" i="16" s="1"/>
  <c r="I327" i="16" s="1"/>
  <c r="I328" i="16" s="1"/>
  <c r="I329" i="16" s="1"/>
  <c r="I339" i="16" s="1"/>
  <c r="I340" i="16" s="1"/>
  <c r="I341" i="16" s="1"/>
  <c r="I342" i="16" s="1"/>
  <c r="I343" i="16" s="1"/>
  <c r="I344" i="16" s="1"/>
  <c r="I345" i="16" s="1"/>
  <c r="I346" i="16" s="1"/>
  <c r="I347" i="16" s="1"/>
  <c r="I348" i="16" s="1"/>
  <c r="I349" i="16" s="1"/>
  <c r="I350" i="16" s="1"/>
  <c r="I351" i="16" s="1"/>
  <c r="I352" i="16" s="1"/>
  <c r="I353" i="16" s="1"/>
  <c r="I354" i="16" s="1"/>
  <c r="I355" i="16" s="1"/>
  <c r="I356" i="16" s="1"/>
  <c r="I357" i="16" s="1"/>
  <c r="I358" i="16" s="1"/>
  <c r="I359" i="16" s="1"/>
  <c r="I360" i="16" s="1"/>
  <c r="I361" i="16" s="1"/>
  <c r="I362" i="16" s="1"/>
  <c r="I363" i="16" s="1"/>
  <c r="I364" i="16" s="1"/>
  <c r="I378" i="16" s="1"/>
  <c r="I379" i="16" s="1"/>
  <c r="I380" i="16" s="1"/>
  <c r="I381" i="16" s="1"/>
  <c r="I382" i="16" s="1"/>
  <c r="I383" i="16" s="1"/>
  <c r="I384" i="16" s="1"/>
  <c r="I385" i="16" s="1"/>
  <c r="I386" i="16" s="1"/>
  <c r="I387" i="16" s="1"/>
  <c r="I388" i="16" s="1"/>
  <c r="I389" i="16" s="1"/>
  <c r="I390" i="16" s="1"/>
  <c r="I391" i="16" s="1"/>
  <c r="I392" i="16" s="1"/>
  <c r="I393" i="16" s="1"/>
  <c r="I394" i="16" s="1"/>
  <c r="I395" i="16" s="1"/>
  <c r="I396" i="16" s="1"/>
  <c r="I397" i="16" s="1"/>
  <c r="I398" i="16" s="1"/>
  <c r="I399" i="16" s="1"/>
  <c r="I400" i="16" s="1"/>
  <c r="I401" i="16" s="1"/>
  <c r="I402" i="16" s="1"/>
  <c r="I403" i="16" s="1"/>
  <c r="I413" i="16" s="1"/>
  <c r="I414" i="16" s="1"/>
  <c r="I415" i="16" s="1"/>
  <c r="I416" i="16" s="1"/>
  <c r="I417" i="16" s="1"/>
  <c r="I418" i="16" s="1"/>
  <c r="I419" i="16" s="1"/>
  <c r="I420" i="16" s="1"/>
  <c r="I421" i="16" s="1"/>
  <c r="I422" i="16" s="1"/>
  <c r="I423" i="16" s="1"/>
  <c r="I424" i="16" s="1"/>
  <c r="I425" i="16" s="1"/>
  <c r="I426" i="16" s="1"/>
  <c r="I427" i="16" s="1"/>
  <c r="I428" i="16" s="1"/>
  <c r="I429" i="16" s="1"/>
  <c r="I430" i="16" s="1"/>
  <c r="I431" i="16" s="1"/>
  <c r="I432" i="16" s="1"/>
  <c r="I433" i="16" s="1"/>
  <c r="I434" i="16" s="1"/>
  <c r="I435" i="16" s="1"/>
  <c r="I436" i="16" s="1"/>
  <c r="I437" i="16" s="1"/>
  <c r="I438" i="16" s="1"/>
  <c r="I452" i="16" s="1"/>
  <c r="I453" i="16" s="1"/>
  <c r="I454" i="16" s="1"/>
  <c r="I455" i="16" s="1"/>
  <c r="I456" i="16" s="1"/>
  <c r="I457" i="16" s="1"/>
  <c r="I458" i="16" s="1"/>
  <c r="I459" i="16" s="1"/>
  <c r="I460" i="16" s="1"/>
  <c r="I461" i="16" s="1"/>
  <c r="I462" i="16" s="1"/>
  <c r="I463" i="16" s="1"/>
  <c r="I464" i="16" s="1"/>
  <c r="I465" i="16" s="1"/>
  <c r="I466" i="16" s="1"/>
  <c r="I467" i="16" s="1"/>
  <c r="I468" i="16" s="1"/>
  <c r="I469" i="16" s="1"/>
  <c r="I470" i="16" s="1"/>
  <c r="I471" i="16" s="1"/>
  <c r="I472" i="16" s="1"/>
  <c r="I473" i="16" s="1"/>
  <c r="I474" i="16" s="1"/>
  <c r="I475" i="16" s="1"/>
  <c r="I476" i="16" s="1"/>
  <c r="I477" i="16" s="1"/>
  <c r="I487" i="16" s="1"/>
  <c r="I488" i="16" s="1"/>
  <c r="I489" i="16" s="1"/>
  <c r="I490" i="16" s="1"/>
  <c r="I491" i="16" s="1"/>
  <c r="I492" i="16" s="1"/>
  <c r="I493" i="16" s="1"/>
  <c r="I494" i="16" s="1"/>
  <c r="I495" i="16" s="1"/>
  <c r="I496" i="16" s="1"/>
  <c r="I497" i="16" s="1"/>
  <c r="I498" i="16" s="1"/>
  <c r="I499" i="16" s="1"/>
  <c r="I500" i="16" s="1"/>
  <c r="I501" i="16" s="1"/>
  <c r="I502" i="16" s="1"/>
  <c r="I503" i="16" s="1"/>
  <c r="I504" i="16" s="1"/>
  <c r="I505" i="16" s="1"/>
  <c r="I506" i="16" s="1"/>
  <c r="I507" i="16" s="1"/>
  <c r="I508" i="16" s="1"/>
  <c r="I509" i="16" s="1"/>
  <c r="I510" i="16" s="1"/>
  <c r="I511" i="16" s="1"/>
  <c r="I512" i="16" s="1"/>
  <c r="I526" i="16" s="1"/>
  <c r="I527" i="16" s="1"/>
  <c r="I528" i="16" s="1"/>
  <c r="I529" i="16" s="1"/>
  <c r="I530" i="16" s="1"/>
  <c r="I531" i="16" s="1"/>
  <c r="I532" i="16" s="1"/>
  <c r="I533" i="16" s="1"/>
  <c r="I534" i="16" s="1"/>
  <c r="I535" i="16" s="1"/>
  <c r="I536" i="16" s="1"/>
  <c r="I537" i="16" s="1"/>
  <c r="I538" i="16" s="1"/>
  <c r="I539" i="16" s="1"/>
  <c r="I540" i="16" s="1"/>
  <c r="I541" i="16" s="1"/>
  <c r="I542" i="16" s="1"/>
  <c r="I543" i="16" s="1"/>
  <c r="I544" i="16" s="1"/>
  <c r="I545" i="16" s="1"/>
  <c r="I546" i="16" s="1"/>
  <c r="I547" i="16" s="1"/>
  <c r="I548" i="16" s="1"/>
  <c r="I549" i="16" s="1"/>
  <c r="I550" i="16" s="1"/>
  <c r="I551" i="16" s="1"/>
  <c r="I132" i="16"/>
  <c r="I570" i="19"/>
  <c r="C573" i="19" s="1"/>
  <c r="H573" i="19" s="1"/>
  <c r="I570" i="16"/>
  <c r="C573" i="16" s="1"/>
  <c r="H573" i="16" s="1"/>
  <c r="I570" i="15"/>
  <c r="C573" i="15" s="1"/>
  <c r="H573" i="15" s="1"/>
  <c r="G478" i="13"/>
  <c r="E47" i="13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78" i="13" s="1"/>
  <c r="E379" i="13" s="1"/>
  <c r="E380" i="13" s="1"/>
  <c r="E381" i="13" s="1"/>
  <c r="E382" i="13" s="1"/>
  <c r="E383" i="13" s="1"/>
  <c r="E384" i="13" s="1"/>
  <c r="E385" i="13" s="1"/>
  <c r="E386" i="13" s="1"/>
  <c r="E387" i="13" s="1"/>
  <c r="E388" i="13" s="1"/>
  <c r="E389" i="13" s="1"/>
  <c r="E390" i="13" s="1"/>
  <c r="E391" i="13" s="1"/>
  <c r="E392" i="13" s="1"/>
  <c r="E393" i="13" s="1"/>
  <c r="E394" i="13" s="1"/>
  <c r="E395" i="13" s="1"/>
  <c r="E396" i="13" s="1"/>
  <c r="E397" i="13" s="1"/>
  <c r="E398" i="13" s="1"/>
  <c r="E399" i="13" s="1"/>
  <c r="E400" i="13" s="1"/>
  <c r="E401" i="13" s="1"/>
  <c r="E402" i="13" s="1"/>
  <c r="E403" i="13" s="1"/>
  <c r="E413" i="13" s="1"/>
  <c r="E414" i="13" s="1"/>
  <c r="E415" i="13" s="1"/>
  <c r="E416" i="13" s="1"/>
  <c r="E417" i="13" s="1"/>
  <c r="E418" i="13" s="1"/>
  <c r="E419" i="13" s="1"/>
  <c r="E420" i="13" s="1"/>
  <c r="E421" i="13" s="1"/>
  <c r="E422" i="13" s="1"/>
  <c r="E423" i="13" s="1"/>
  <c r="E424" i="13" s="1"/>
  <c r="E425" i="13" s="1"/>
  <c r="E426" i="13" s="1"/>
  <c r="E427" i="13" s="1"/>
  <c r="E428" i="13" s="1"/>
  <c r="E429" i="13" s="1"/>
  <c r="E430" i="13" s="1"/>
  <c r="E431" i="13" s="1"/>
  <c r="E432" i="13" s="1"/>
  <c r="E433" i="13" s="1"/>
  <c r="E434" i="13" s="1"/>
  <c r="E435" i="13" s="1"/>
  <c r="E436" i="13" s="1"/>
  <c r="E437" i="13" s="1"/>
  <c r="E438" i="13" s="1"/>
  <c r="E452" i="13" s="1"/>
  <c r="E453" i="13" s="1"/>
  <c r="E454" i="13" s="1"/>
  <c r="E455" i="13" s="1"/>
  <c r="E456" i="13" s="1"/>
  <c r="E457" i="13" s="1"/>
  <c r="E458" i="13" s="1"/>
  <c r="E459" i="13" s="1"/>
  <c r="E460" i="13" s="1"/>
  <c r="E461" i="13" s="1"/>
  <c r="E462" i="13" s="1"/>
  <c r="E463" i="13" s="1"/>
  <c r="E464" i="13" s="1"/>
  <c r="E465" i="13" s="1"/>
  <c r="E466" i="13" s="1"/>
  <c r="E467" i="13" s="1"/>
  <c r="E468" i="13" s="1"/>
  <c r="E469" i="13" s="1"/>
  <c r="E470" i="13" s="1"/>
  <c r="E471" i="13" s="1"/>
  <c r="E472" i="13" s="1"/>
  <c r="E473" i="13" s="1"/>
  <c r="E474" i="13" s="1"/>
  <c r="E475" i="13" s="1"/>
  <c r="E476" i="13" s="1"/>
  <c r="E477" i="13" s="1"/>
  <c r="E487" i="13" s="1"/>
  <c r="E488" i="13" s="1"/>
  <c r="E489" i="13" s="1"/>
  <c r="E490" i="13" s="1"/>
  <c r="E491" i="13" s="1"/>
  <c r="E492" i="13" s="1"/>
  <c r="E493" i="13" s="1"/>
  <c r="E494" i="13" s="1"/>
  <c r="E495" i="13" s="1"/>
  <c r="E496" i="13" s="1"/>
  <c r="E497" i="13" s="1"/>
  <c r="E498" i="13" s="1"/>
  <c r="E499" i="13" s="1"/>
  <c r="E500" i="13" s="1"/>
  <c r="E501" i="13" s="1"/>
  <c r="E502" i="13" s="1"/>
  <c r="E503" i="13" s="1"/>
  <c r="E504" i="13" s="1"/>
  <c r="E505" i="13" s="1"/>
  <c r="E506" i="13" s="1"/>
  <c r="E507" i="13" s="1"/>
  <c r="E508" i="13" s="1"/>
  <c r="E509" i="13" s="1"/>
  <c r="E510" i="13" s="1"/>
  <c r="E511" i="13" s="1"/>
  <c r="E512" i="13" s="1"/>
  <c r="E526" i="13" s="1"/>
  <c r="E527" i="13" s="1"/>
  <c r="E528" i="13" s="1"/>
  <c r="E529" i="13" s="1"/>
  <c r="E530" i="13" s="1"/>
  <c r="E531" i="13" s="1"/>
  <c r="E532" i="13" s="1"/>
  <c r="E533" i="13" s="1"/>
  <c r="E534" i="13" s="1"/>
  <c r="E535" i="13" s="1"/>
  <c r="E536" i="13" s="1"/>
  <c r="E537" i="13" s="1"/>
  <c r="E538" i="13" s="1"/>
  <c r="E539" i="13" s="1"/>
  <c r="E540" i="13" s="1"/>
  <c r="E541" i="13" s="1"/>
  <c r="E542" i="13" s="1"/>
  <c r="E543" i="13" s="1"/>
  <c r="E544" i="13" s="1"/>
  <c r="E545" i="13" s="1"/>
  <c r="E546" i="13" s="1"/>
  <c r="E547" i="13" s="1"/>
  <c r="E548" i="13" s="1"/>
  <c r="E549" i="13" s="1"/>
  <c r="E550" i="13" s="1"/>
  <c r="E551" i="13" s="1"/>
  <c r="G404" i="13"/>
  <c r="I570" i="14"/>
  <c r="C573" i="14" s="1"/>
  <c r="H573" i="14" s="1"/>
  <c r="G365" i="13"/>
  <c r="G330" i="13"/>
  <c r="G291" i="13"/>
  <c r="G182" i="13"/>
  <c r="G108" i="13"/>
  <c r="G69" i="13"/>
  <c r="G34" i="13"/>
  <c r="I7" i="13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G143" i="13"/>
  <c r="G217" i="13"/>
  <c r="G256" i="13"/>
  <c r="H556" i="13"/>
  <c r="H567" i="13" s="1"/>
  <c r="C556" i="13"/>
  <c r="F566" i="13" s="1"/>
  <c r="D556" i="13"/>
  <c r="F567" i="13" s="1"/>
  <c r="H405" i="12"/>
  <c r="D405" i="12"/>
  <c r="C405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K373" i="12"/>
  <c r="A373" i="12"/>
  <c r="H365" i="12"/>
  <c r="D365" i="12"/>
  <c r="C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K333" i="12"/>
  <c r="A333" i="12"/>
  <c r="H330" i="12"/>
  <c r="D330" i="12"/>
  <c r="C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K298" i="12"/>
  <c r="A298" i="12"/>
  <c r="H291" i="12"/>
  <c r="D291" i="12"/>
  <c r="C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K259" i="12"/>
  <c r="A259" i="12"/>
  <c r="H256" i="12"/>
  <c r="D256" i="12"/>
  <c r="C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K224" i="12"/>
  <c r="A224" i="12"/>
  <c r="H217" i="12"/>
  <c r="D217" i="12"/>
  <c r="C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K185" i="12"/>
  <c r="A185" i="12"/>
  <c r="H182" i="12"/>
  <c r="D182" i="12"/>
  <c r="C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K150" i="12"/>
  <c r="A150" i="12"/>
  <c r="H143" i="12"/>
  <c r="D143" i="12"/>
  <c r="C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K111" i="12"/>
  <c r="A111" i="12"/>
  <c r="H108" i="12"/>
  <c r="D108" i="12"/>
  <c r="C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K76" i="12"/>
  <c r="A76" i="12"/>
  <c r="H69" i="12"/>
  <c r="D69" i="12"/>
  <c r="C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K37" i="12"/>
  <c r="A37" i="12"/>
  <c r="H34" i="12"/>
  <c r="D34" i="12"/>
  <c r="C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I7" i="12" s="1"/>
  <c r="E7" i="12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s="1"/>
  <c r="E106" i="12" s="1"/>
  <c r="E107" i="12" s="1"/>
  <c r="E117" i="12" s="1"/>
  <c r="E118" i="12" s="1"/>
  <c r="E119" i="12" s="1"/>
  <c r="E120" i="12" s="1"/>
  <c r="E121" i="12" s="1"/>
  <c r="E122" i="12" s="1"/>
  <c r="E123" i="12" s="1"/>
  <c r="E124" i="12" s="1"/>
  <c r="E125" i="12" s="1"/>
  <c r="E126" i="12" s="1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56" i="12" s="1"/>
  <c r="E157" i="12" s="1"/>
  <c r="E158" i="12" s="1"/>
  <c r="E159" i="12" s="1"/>
  <c r="E160" i="12" s="1"/>
  <c r="E161" i="12" s="1"/>
  <c r="E162" i="12" s="1"/>
  <c r="E163" i="12" s="1"/>
  <c r="E164" i="12" s="1"/>
  <c r="E165" i="12" s="1"/>
  <c r="E166" i="12" s="1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E177" i="12" s="1"/>
  <c r="E178" i="12" s="1"/>
  <c r="E179" i="12" s="1"/>
  <c r="E180" i="12" s="1"/>
  <c r="E181" i="12" s="1"/>
  <c r="E191" i="12" s="1"/>
  <c r="E192" i="12" s="1"/>
  <c r="E193" i="12" s="1"/>
  <c r="E194" i="12" s="1"/>
  <c r="E195" i="12" s="1"/>
  <c r="E196" i="12" s="1"/>
  <c r="E197" i="12" s="1"/>
  <c r="E198" i="12" s="1"/>
  <c r="E199" i="12" s="1"/>
  <c r="E200" i="12" s="1"/>
  <c r="E201" i="12" s="1"/>
  <c r="E202" i="12" s="1"/>
  <c r="E203" i="12" s="1"/>
  <c r="E204" i="12" s="1"/>
  <c r="E205" i="12" s="1"/>
  <c r="E206" i="12" s="1"/>
  <c r="E207" i="12" s="1"/>
  <c r="E208" i="12" s="1"/>
  <c r="E209" i="12" s="1"/>
  <c r="E210" i="12" s="1"/>
  <c r="E211" i="12" s="1"/>
  <c r="E212" i="12" s="1"/>
  <c r="E213" i="12" s="1"/>
  <c r="E214" i="12" s="1"/>
  <c r="E215" i="12" s="1"/>
  <c r="E216" i="12" s="1"/>
  <c r="E230" i="12" s="1"/>
  <c r="E231" i="12" s="1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65" i="12" s="1"/>
  <c r="E266" i="12" s="1"/>
  <c r="E267" i="12" s="1"/>
  <c r="E268" i="12" s="1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304" i="12" s="1"/>
  <c r="E305" i="12" s="1"/>
  <c r="E306" i="12" s="1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E319" i="12" s="1"/>
  <c r="E320" i="12" s="1"/>
  <c r="E321" i="12" s="1"/>
  <c r="E322" i="12" s="1"/>
  <c r="E323" i="12" s="1"/>
  <c r="E324" i="12" s="1"/>
  <c r="E325" i="12" s="1"/>
  <c r="E326" i="12" s="1"/>
  <c r="E327" i="12" s="1"/>
  <c r="E328" i="12" s="1"/>
  <c r="E329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E350" i="12" s="1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79" i="12" s="1"/>
  <c r="E380" i="12" s="1"/>
  <c r="E381" i="12" s="1"/>
  <c r="E382" i="12" s="1"/>
  <c r="E383" i="12" s="1"/>
  <c r="E384" i="12" s="1"/>
  <c r="E385" i="12" s="1"/>
  <c r="E386" i="12" s="1"/>
  <c r="E387" i="12" s="1"/>
  <c r="E388" i="12" s="1"/>
  <c r="E389" i="12" s="1"/>
  <c r="E390" i="12" s="1"/>
  <c r="H408" i="12" l="1"/>
  <c r="D408" i="12"/>
  <c r="G556" i="13"/>
  <c r="K557" i="13" s="1"/>
  <c r="I43" i="13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91" i="13" s="1"/>
  <c r="I192" i="13" s="1"/>
  <c r="I193" i="13" s="1"/>
  <c r="I194" i="13" s="1"/>
  <c r="I195" i="13" s="1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I290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78" i="13" s="1"/>
  <c r="I379" i="13" s="1"/>
  <c r="I380" i="13" s="1"/>
  <c r="I381" i="13" s="1"/>
  <c r="I382" i="13" s="1"/>
  <c r="I383" i="13" s="1"/>
  <c r="I384" i="13" s="1"/>
  <c r="I385" i="13" s="1"/>
  <c r="I386" i="13" s="1"/>
  <c r="I387" i="13" s="1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34" i="13"/>
  <c r="F570" i="13"/>
  <c r="H566" i="13"/>
  <c r="H570" i="13" s="1"/>
  <c r="C408" i="12"/>
  <c r="G405" i="12"/>
  <c r="G365" i="12"/>
  <c r="G330" i="12"/>
  <c r="G217" i="12"/>
  <c r="G182" i="12"/>
  <c r="G143" i="12"/>
  <c r="I8" i="12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G34" i="12"/>
  <c r="G69" i="12"/>
  <c r="G108" i="12"/>
  <c r="G256" i="12"/>
  <c r="G291" i="12"/>
  <c r="H413" i="12"/>
  <c r="F413" i="12"/>
  <c r="I570" i="13" l="1"/>
  <c r="C573" i="13" s="1"/>
  <c r="H573" i="13" s="1"/>
  <c r="G408" i="12"/>
  <c r="K409" i="12" s="1"/>
  <c r="I43" i="12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82" i="12" s="1"/>
  <c r="I83" i="12" s="1"/>
  <c r="I84" i="12" s="1"/>
  <c r="I85" i="12" s="1"/>
  <c r="I86" i="12" s="1"/>
  <c r="I87" i="12" s="1"/>
  <c r="I88" i="12" s="1"/>
  <c r="I89" i="12" s="1"/>
  <c r="I90" i="12" s="1"/>
  <c r="I91" i="12" s="1"/>
  <c r="I92" i="12" s="1"/>
  <c r="I93" i="12" s="1"/>
  <c r="I94" i="12" s="1"/>
  <c r="I95" i="12" s="1"/>
  <c r="I96" i="12" s="1"/>
  <c r="I97" i="12" s="1"/>
  <c r="I98" i="12" s="1"/>
  <c r="I99" i="12" s="1"/>
  <c r="I100" i="12" s="1"/>
  <c r="I101" i="12" s="1"/>
  <c r="I102" i="12" s="1"/>
  <c r="I103" i="12" s="1"/>
  <c r="I104" i="12" s="1"/>
  <c r="I105" i="12" s="1"/>
  <c r="I106" i="12" s="1"/>
  <c r="I107" i="12" s="1"/>
  <c r="I117" i="12" s="1"/>
  <c r="I118" i="12" s="1"/>
  <c r="I119" i="12" s="1"/>
  <c r="I120" i="12" s="1"/>
  <c r="I121" i="12" s="1"/>
  <c r="I122" i="12" s="1"/>
  <c r="I123" i="12" s="1"/>
  <c r="I124" i="12" s="1"/>
  <c r="I125" i="12" s="1"/>
  <c r="I126" i="12" s="1"/>
  <c r="I127" i="12" s="1"/>
  <c r="I128" i="12" s="1"/>
  <c r="I129" i="12" s="1"/>
  <c r="I130" i="12" s="1"/>
  <c r="I131" i="12" s="1"/>
  <c r="I132" i="12" s="1"/>
  <c r="I133" i="12" s="1"/>
  <c r="I134" i="12" s="1"/>
  <c r="I135" i="12" s="1"/>
  <c r="I136" i="12" s="1"/>
  <c r="I137" i="12" s="1"/>
  <c r="I138" i="12" s="1"/>
  <c r="I139" i="12" s="1"/>
  <c r="I140" i="12" s="1"/>
  <c r="I141" i="12" s="1"/>
  <c r="I142" i="12" s="1"/>
  <c r="I156" i="12" s="1"/>
  <c r="I157" i="12" s="1"/>
  <c r="I158" i="12" s="1"/>
  <c r="I159" i="12" s="1"/>
  <c r="I160" i="12" s="1"/>
  <c r="I161" i="12" s="1"/>
  <c r="I162" i="12" s="1"/>
  <c r="I163" i="12" s="1"/>
  <c r="I164" i="12" s="1"/>
  <c r="I165" i="12" s="1"/>
  <c r="I166" i="12" s="1"/>
  <c r="I167" i="12" s="1"/>
  <c r="I168" i="12" s="1"/>
  <c r="I169" i="12" s="1"/>
  <c r="I170" i="12" s="1"/>
  <c r="I171" i="12" s="1"/>
  <c r="I172" i="12" s="1"/>
  <c r="I173" i="12" s="1"/>
  <c r="I174" i="12" s="1"/>
  <c r="I175" i="12" s="1"/>
  <c r="I176" i="12" s="1"/>
  <c r="I177" i="12" s="1"/>
  <c r="I178" i="12" s="1"/>
  <c r="I179" i="12" s="1"/>
  <c r="I180" i="12" s="1"/>
  <c r="I181" i="12" s="1"/>
  <c r="I191" i="12" s="1"/>
  <c r="I192" i="12" s="1"/>
  <c r="I193" i="12" s="1"/>
  <c r="I194" i="12" s="1"/>
  <c r="I195" i="12" s="1"/>
  <c r="I196" i="12" s="1"/>
  <c r="I197" i="12" s="1"/>
  <c r="I198" i="12" s="1"/>
  <c r="I199" i="12" s="1"/>
  <c r="I200" i="12" s="1"/>
  <c r="I201" i="12" s="1"/>
  <c r="I202" i="12" s="1"/>
  <c r="I203" i="12" s="1"/>
  <c r="I204" i="12" s="1"/>
  <c r="I205" i="12" s="1"/>
  <c r="I206" i="12" s="1"/>
  <c r="I207" i="12" s="1"/>
  <c r="I208" i="12" s="1"/>
  <c r="I209" i="12" s="1"/>
  <c r="I210" i="12" s="1"/>
  <c r="I211" i="12" s="1"/>
  <c r="I212" i="12" s="1"/>
  <c r="I213" i="12" s="1"/>
  <c r="I214" i="12" s="1"/>
  <c r="I215" i="12" s="1"/>
  <c r="I216" i="12" s="1"/>
  <c r="I230" i="12" s="1"/>
  <c r="I231" i="12" s="1"/>
  <c r="I232" i="12" s="1"/>
  <c r="I233" i="12" s="1"/>
  <c r="I234" i="12" s="1"/>
  <c r="I235" i="12" s="1"/>
  <c r="I236" i="12" s="1"/>
  <c r="I237" i="12" s="1"/>
  <c r="I238" i="12" s="1"/>
  <c r="I239" i="12" s="1"/>
  <c r="I240" i="12" s="1"/>
  <c r="I241" i="12" s="1"/>
  <c r="I242" i="12" s="1"/>
  <c r="I243" i="12" s="1"/>
  <c r="I244" i="12" s="1"/>
  <c r="I245" i="12" s="1"/>
  <c r="I246" i="12" s="1"/>
  <c r="I247" i="12" s="1"/>
  <c r="I248" i="12" s="1"/>
  <c r="I249" i="12" s="1"/>
  <c r="I250" i="12" s="1"/>
  <c r="I251" i="12" s="1"/>
  <c r="I252" i="12" s="1"/>
  <c r="I253" i="12" s="1"/>
  <c r="I254" i="12" s="1"/>
  <c r="I255" i="12" s="1"/>
  <c r="I265" i="12" s="1"/>
  <c r="I266" i="12" s="1"/>
  <c r="I267" i="12" s="1"/>
  <c r="I268" i="12" s="1"/>
  <c r="I269" i="12" s="1"/>
  <c r="I270" i="12" s="1"/>
  <c r="I271" i="12" s="1"/>
  <c r="I272" i="12" s="1"/>
  <c r="I273" i="12" s="1"/>
  <c r="I274" i="12" s="1"/>
  <c r="I275" i="12" s="1"/>
  <c r="I276" i="12" s="1"/>
  <c r="I277" i="12" s="1"/>
  <c r="I278" i="12" s="1"/>
  <c r="I279" i="12" s="1"/>
  <c r="I280" i="12" s="1"/>
  <c r="I281" i="12" s="1"/>
  <c r="I282" i="12" s="1"/>
  <c r="I283" i="12" s="1"/>
  <c r="I284" i="12" s="1"/>
  <c r="I285" i="12" s="1"/>
  <c r="I286" i="12" s="1"/>
  <c r="I287" i="12" s="1"/>
  <c r="I288" i="12" s="1"/>
  <c r="I289" i="12" s="1"/>
  <c r="I290" i="12" s="1"/>
  <c r="I304" i="12" s="1"/>
  <c r="I305" i="12" s="1"/>
  <c r="I306" i="12" s="1"/>
  <c r="I307" i="12" s="1"/>
  <c r="I308" i="12" s="1"/>
  <c r="I309" i="12" s="1"/>
  <c r="I310" i="12" s="1"/>
  <c r="I311" i="12" s="1"/>
  <c r="I312" i="12" s="1"/>
  <c r="I313" i="12" s="1"/>
  <c r="I314" i="12" s="1"/>
  <c r="I315" i="12" s="1"/>
  <c r="I316" i="12" s="1"/>
  <c r="I317" i="12" s="1"/>
  <c r="I318" i="12" s="1"/>
  <c r="I319" i="12" s="1"/>
  <c r="I320" i="12" s="1"/>
  <c r="I321" i="12" s="1"/>
  <c r="I322" i="12" s="1"/>
  <c r="I323" i="12" s="1"/>
  <c r="I324" i="12" s="1"/>
  <c r="I325" i="12" s="1"/>
  <c r="I326" i="12" s="1"/>
  <c r="I327" i="12" s="1"/>
  <c r="I328" i="12" s="1"/>
  <c r="I329" i="12" s="1"/>
  <c r="I339" i="12" s="1"/>
  <c r="I340" i="12" s="1"/>
  <c r="I341" i="12" s="1"/>
  <c r="I342" i="12" s="1"/>
  <c r="I343" i="12" s="1"/>
  <c r="I344" i="12" s="1"/>
  <c r="I345" i="12" s="1"/>
  <c r="I346" i="12" s="1"/>
  <c r="I347" i="12" s="1"/>
  <c r="I348" i="12" s="1"/>
  <c r="I349" i="12" s="1"/>
  <c r="I350" i="12" s="1"/>
  <c r="I351" i="12" s="1"/>
  <c r="I352" i="12" s="1"/>
  <c r="I353" i="12" s="1"/>
  <c r="I354" i="12" s="1"/>
  <c r="I355" i="12" s="1"/>
  <c r="I356" i="12" s="1"/>
  <c r="I357" i="12" s="1"/>
  <c r="I358" i="12" s="1"/>
  <c r="I359" i="12" s="1"/>
  <c r="I360" i="12" s="1"/>
  <c r="I361" i="12" s="1"/>
  <c r="I362" i="12" s="1"/>
  <c r="I363" i="12" s="1"/>
  <c r="I364" i="12" s="1"/>
  <c r="I379" i="12" s="1"/>
  <c r="I380" i="12" s="1"/>
  <c r="I381" i="12" s="1"/>
  <c r="I382" i="12" s="1"/>
  <c r="I383" i="12" s="1"/>
  <c r="I384" i="12" s="1"/>
  <c r="I385" i="12" s="1"/>
  <c r="I386" i="12" s="1"/>
  <c r="I387" i="12" s="1"/>
  <c r="I388" i="12" s="1"/>
  <c r="I389" i="12" s="1"/>
  <c r="I390" i="12" s="1"/>
  <c r="I34" i="12"/>
  <c r="F416" i="12"/>
  <c r="H412" i="12"/>
  <c r="H416" i="12" s="1"/>
  <c r="G266" i="10"/>
  <c r="I416" i="12" l="1"/>
  <c r="C419" i="12" s="1"/>
  <c r="H419" i="12" s="1"/>
  <c r="H256" i="11"/>
  <c r="D256" i="11"/>
  <c r="C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K224" i="11"/>
  <c r="A224" i="11"/>
  <c r="H217" i="11"/>
  <c r="D217" i="11"/>
  <c r="C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K185" i="11"/>
  <c r="A185" i="11"/>
  <c r="H182" i="11"/>
  <c r="D182" i="11"/>
  <c r="C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K150" i="11"/>
  <c r="A150" i="11"/>
  <c r="H143" i="11"/>
  <c r="D143" i="11"/>
  <c r="C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K111" i="11"/>
  <c r="A111" i="11"/>
  <c r="H108" i="11"/>
  <c r="D108" i="11"/>
  <c r="C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K76" i="11"/>
  <c r="A76" i="11"/>
  <c r="H69" i="11"/>
  <c r="D69" i="11"/>
  <c r="C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K37" i="11"/>
  <c r="A37" i="11"/>
  <c r="H34" i="11"/>
  <c r="D34" i="11"/>
  <c r="C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E7" i="1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C261" i="11" l="1"/>
  <c r="D261" i="11"/>
  <c r="H261" i="11"/>
  <c r="G256" i="11"/>
  <c r="G182" i="11"/>
  <c r="G143" i="11"/>
  <c r="G108" i="11"/>
  <c r="G69" i="11"/>
  <c r="F272" i="11"/>
  <c r="G34" i="11"/>
  <c r="I7" i="1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H272" i="11"/>
  <c r="F271" i="11"/>
  <c r="G217" i="11"/>
  <c r="H291" i="10"/>
  <c r="D291" i="10"/>
  <c r="C291" i="10"/>
  <c r="G265" i="10"/>
  <c r="G291" i="10" s="1"/>
  <c r="K259" i="10"/>
  <c r="A259" i="10"/>
  <c r="H256" i="10"/>
  <c r="D256" i="10"/>
  <c r="C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K224" i="10"/>
  <c r="A224" i="10"/>
  <c r="H217" i="10"/>
  <c r="D217" i="10"/>
  <c r="C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K185" i="10"/>
  <c r="A185" i="10"/>
  <c r="H182" i="10"/>
  <c r="D182" i="10"/>
  <c r="C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K150" i="10"/>
  <c r="A150" i="10"/>
  <c r="H143" i="10"/>
  <c r="D143" i="10"/>
  <c r="C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K111" i="10"/>
  <c r="A111" i="10"/>
  <c r="H108" i="10"/>
  <c r="D108" i="10"/>
  <c r="C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K76" i="10"/>
  <c r="A76" i="10"/>
  <c r="H69" i="10"/>
  <c r="D69" i="10"/>
  <c r="C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K37" i="10"/>
  <c r="A37" i="10"/>
  <c r="H34" i="10"/>
  <c r="D34" i="10"/>
  <c r="C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B15" i="10"/>
  <c r="G14" i="10"/>
  <c r="G13" i="10"/>
  <c r="G12" i="10"/>
  <c r="G11" i="10"/>
  <c r="G10" i="10"/>
  <c r="G9" i="10"/>
  <c r="G8" i="10"/>
  <c r="G7" i="10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E7" i="10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65" i="10" s="1"/>
  <c r="E266" i="10" s="1"/>
  <c r="G182" i="10" l="1"/>
  <c r="G261" i="11"/>
  <c r="I19" i="10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G108" i="10"/>
  <c r="G34" i="10"/>
  <c r="G217" i="10"/>
  <c r="C298" i="10"/>
  <c r="F308" i="10" s="1"/>
  <c r="H308" i="10" s="1"/>
  <c r="H312" i="10" s="1"/>
  <c r="K262" i="11"/>
  <c r="H271" i="11"/>
  <c r="H275" i="11" s="1"/>
  <c r="F275" i="11"/>
  <c r="I34" i="11"/>
  <c r="I43" i="1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I117" i="11" s="1"/>
  <c r="I118" i="11" s="1"/>
  <c r="I119" i="11" s="1"/>
  <c r="I120" i="11" s="1"/>
  <c r="I121" i="11" s="1"/>
  <c r="I122" i="11" s="1"/>
  <c r="I123" i="11" s="1"/>
  <c r="I124" i="11" s="1"/>
  <c r="I125" i="11" s="1"/>
  <c r="I126" i="11" s="1"/>
  <c r="I127" i="11" s="1"/>
  <c r="I128" i="11" s="1"/>
  <c r="I129" i="11" s="1"/>
  <c r="I130" i="11" s="1"/>
  <c r="I131" i="11" s="1"/>
  <c r="I132" i="11" s="1"/>
  <c r="I133" i="11" s="1"/>
  <c r="I134" i="11" s="1"/>
  <c r="I135" i="11" s="1"/>
  <c r="I136" i="11" s="1"/>
  <c r="I137" i="11" s="1"/>
  <c r="I138" i="11" s="1"/>
  <c r="I139" i="11" s="1"/>
  <c r="I140" i="11" s="1"/>
  <c r="I141" i="11" s="1"/>
  <c r="I142" i="11" s="1"/>
  <c r="I156" i="11" s="1"/>
  <c r="I157" i="11" s="1"/>
  <c r="I158" i="11" s="1"/>
  <c r="I159" i="11" s="1"/>
  <c r="I160" i="11" s="1"/>
  <c r="I161" i="11" s="1"/>
  <c r="I162" i="11" s="1"/>
  <c r="I163" i="11" s="1"/>
  <c r="I164" i="11" s="1"/>
  <c r="I165" i="11" s="1"/>
  <c r="I166" i="11" s="1"/>
  <c r="I167" i="11" s="1"/>
  <c r="I168" i="11" s="1"/>
  <c r="I169" i="11" s="1"/>
  <c r="I170" i="11" s="1"/>
  <c r="I171" i="11" s="1"/>
  <c r="I172" i="11" s="1"/>
  <c r="I173" i="11" s="1"/>
  <c r="I174" i="11" s="1"/>
  <c r="I175" i="11" s="1"/>
  <c r="I176" i="11" s="1"/>
  <c r="I177" i="11" s="1"/>
  <c r="I178" i="11" s="1"/>
  <c r="I179" i="11" s="1"/>
  <c r="I180" i="11" s="1"/>
  <c r="I181" i="11" s="1"/>
  <c r="I191" i="11" s="1"/>
  <c r="I192" i="11" s="1"/>
  <c r="I193" i="11" s="1"/>
  <c r="I194" i="11" s="1"/>
  <c r="I195" i="11" s="1"/>
  <c r="I196" i="11" s="1"/>
  <c r="I197" i="11" s="1"/>
  <c r="I198" i="11" s="1"/>
  <c r="I199" i="11" s="1"/>
  <c r="I200" i="11" s="1"/>
  <c r="I201" i="11" s="1"/>
  <c r="I202" i="11" s="1"/>
  <c r="I203" i="11" s="1"/>
  <c r="I204" i="11" s="1"/>
  <c r="I205" i="11" s="1"/>
  <c r="I206" i="11" s="1"/>
  <c r="I207" i="11" s="1"/>
  <c r="I208" i="11" s="1"/>
  <c r="I209" i="11" s="1"/>
  <c r="I210" i="11" s="1"/>
  <c r="I211" i="11" s="1"/>
  <c r="I212" i="11" s="1"/>
  <c r="I213" i="11" s="1"/>
  <c r="I214" i="11" s="1"/>
  <c r="I215" i="11" s="1"/>
  <c r="I216" i="11" s="1"/>
  <c r="I230" i="11" s="1"/>
  <c r="I231" i="11" s="1"/>
  <c r="I232" i="11" s="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43" i="10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5" i="10" s="1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I107" i="10" s="1"/>
  <c r="I117" i="10" s="1"/>
  <c r="I118" i="10" s="1"/>
  <c r="I119" i="10" s="1"/>
  <c r="I120" i="10" s="1"/>
  <c r="I121" i="10" s="1"/>
  <c r="I122" i="10" s="1"/>
  <c r="I123" i="10" s="1"/>
  <c r="I124" i="10" s="1"/>
  <c r="I125" i="10" s="1"/>
  <c r="I126" i="10" s="1"/>
  <c r="I127" i="10" s="1"/>
  <c r="I128" i="10" s="1"/>
  <c r="I129" i="10" s="1"/>
  <c r="I130" i="10" s="1"/>
  <c r="I131" i="10" s="1"/>
  <c r="I132" i="10" s="1"/>
  <c r="I133" i="10" s="1"/>
  <c r="I134" i="10" s="1"/>
  <c r="I135" i="10" s="1"/>
  <c r="I136" i="10" s="1"/>
  <c r="I137" i="10" s="1"/>
  <c r="I138" i="10" s="1"/>
  <c r="I139" i="10" s="1"/>
  <c r="I140" i="10" s="1"/>
  <c r="I141" i="10" s="1"/>
  <c r="I142" i="10" s="1"/>
  <c r="I156" i="10" s="1"/>
  <c r="I157" i="10" s="1"/>
  <c r="I158" i="10" s="1"/>
  <c r="I159" i="10" s="1"/>
  <c r="I160" i="10" s="1"/>
  <c r="I161" i="10" s="1"/>
  <c r="I162" i="10" s="1"/>
  <c r="I163" i="10" s="1"/>
  <c r="I164" i="10" s="1"/>
  <c r="I165" i="10" s="1"/>
  <c r="I166" i="10" s="1"/>
  <c r="I167" i="10" s="1"/>
  <c r="I168" i="10" s="1"/>
  <c r="I169" i="10" s="1"/>
  <c r="I170" i="10" s="1"/>
  <c r="I171" i="10" s="1"/>
  <c r="I172" i="10" s="1"/>
  <c r="I173" i="10" s="1"/>
  <c r="I174" i="10" s="1"/>
  <c r="I175" i="10" s="1"/>
  <c r="I176" i="10" s="1"/>
  <c r="I177" i="10" s="1"/>
  <c r="I178" i="10" s="1"/>
  <c r="I179" i="10" s="1"/>
  <c r="I180" i="10" s="1"/>
  <c r="I181" i="10" s="1"/>
  <c r="I191" i="10" s="1"/>
  <c r="I192" i="10" s="1"/>
  <c r="I193" i="10" s="1"/>
  <c r="I194" i="10" s="1"/>
  <c r="I195" i="10" s="1"/>
  <c r="I196" i="10" s="1"/>
  <c r="I197" i="10" s="1"/>
  <c r="I198" i="10" s="1"/>
  <c r="I199" i="10" s="1"/>
  <c r="I200" i="10" s="1"/>
  <c r="I201" i="10" s="1"/>
  <c r="I202" i="10" s="1"/>
  <c r="I203" i="10" s="1"/>
  <c r="I204" i="10" s="1"/>
  <c r="I205" i="10" s="1"/>
  <c r="I206" i="10" s="1"/>
  <c r="I207" i="10" s="1"/>
  <c r="I208" i="10" s="1"/>
  <c r="I209" i="10" s="1"/>
  <c r="I210" i="10" s="1"/>
  <c r="I211" i="10" s="1"/>
  <c r="I212" i="10" s="1"/>
  <c r="I213" i="10" s="1"/>
  <c r="I214" i="10" s="1"/>
  <c r="I215" i="10" s="1"/>
  <c r="I216" i="10" s="1"/>
  <c r="I230" i="10" s="1"/>
  <c r="I231" i="10" s="1"/>
  <c r="I232" i="10" s="1"/>
  <c r="I233" i="10" s="1"/>
  <c r="I234" i="10" s="1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I246" i="10" s="1"/>
  <c r="I247" i="10" s="1"/>
  <c r="I248" i="10" s="1"/>
  <c r="I249" i="10" s="1"/>
  <c r="I250" i="10" s="1"/>
  <c r="I251" i="10" s="1"/>
  <c r="I252" i="10" s="1"/>
  <c r="I253" i="10" s="1"/>
  <c r="I254" i="10" s="1"/>
  <c r="I255" i="10" s="1"/>
  <c r="I265" i="10" s="1"/>
  <c r="I266" i="10" s="1"/>
  <c r="I34" i="10"/>
  <c r="G69" i="10"/>
  <c r="H298" i="10"/>
  <c r="G256" i="10"/>
  <c r="D298" i="10"/>
  <c r="G143" i="10"/>
  <c r="G298" i="10" l="1"/>
  <c r="K299" i="10" s="1"/>
  <c r="F312" i="10"/>
  <c r="I312" i="10" s="1"/>
  <c r="C315" i="10" s="1"/>
  <c r="H315" i="10" s="1"/>
  <c r="I275" i="11"/>
  <c r="C278" i="11" s="1"/>
  <c r="H278" i="11" s="1"/>
  <c r="C291" i="9"/>
  <c r="B15" i="9" l="1"/>
  <c r="H291" i="9"/>
  <c r="D291" i="9"/>
  <c r="G268" i="9"/>
  <c r="G267" i="9"/>
  <c r="G266" i="9"/>
  <c r="G265" i="9"/>
  <c r="K259" i="9"/>
  <c r="A259" i="9"/>
  <c r="H256" i="9"/>
  <c r="D256" i="9"/>
  <c r="C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K224" i="9"/>
  <c r="A224" i="9"/>
  <c r="H217" i="9"/>
  <c r="D217" i="9"/>
  <c r="C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K185" i="9"/>
  <c r="A185" i="9"/>
  <c r="H182" i="9"/>
  <c r="D182" i="9"/>
  <c r="C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K150" i="9"/>
  <c r="A150" i="9"/>
  <c r="H143" i="9"/>
  <c r="D143" i="9"/>
  <c r="C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K111" i="9"/>
  <c r="A111" i="9"/>
  <c r="H108" i="9"/>
  <c r="D108" i="9"/>
  <c r="C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K76" i="9"/>
  <c r="A76" i="9"/>
  <c r="H69" i="9"/>
  <c r="D69" i="9"/>
  <c r="C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K37" i="9"/>
  <c r="A37" i="9"/>
  <c r="H34" i="9"/>
  <c r="D34" i="9"/>
  <c r="C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E7" i="9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65" i="9" s="1"/>
  <c r="E266" i="9" s="1"/>
  <c r="E267" i="9" s="1"/>
  <c r="E268" i="9" s="1"/>
  <c r="H298" i="9" l="1"/>
  <c r="C298" i="9"/>
  <c r="F308" i="9" s="1"/>
  <c r="D298" i="9"/>
  <c r="G256" i="9"/>
  <c r="G217" i="9"/>
  <c r="G182" i="9"/>
  <c r="G143" i="9"/>
  <c r="G108" i="9"/>
  <c r="G69" i="9"/>
  <c r="I7" i="9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G34" i="9"/>
  <c r="G291" i="9"/>
  <c r="G298" i="9" s="1"/>
  <c r="H309" i="9"/>
  <c r="F309" i="9"/>
  <c r="H672" i="8"/>
  <c r="H664" i="8"/>
  <c r="D664" i="8"/>
  <c r="C664" i="8"/>
  <c r="G664" i="8"/>
  <c r="H629" i="8"/>
  <c r="D629" i="8"/>
  <c r="C629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H590" i="8"/>
  <c r="D590" i="8"/>
  <c r="C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H555" i="8"/>
  <c r="D555" i="8"/>
  <c r="C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K523" i="8"/>
  <c r="A523" i="8"/>
  <c r="H515" i="8"/>
  <c r="D515" i="8"/>
  <c r="C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K483" i="8"/>
  <c r="A483" i="8"/>
  <c r="H480" i="8"/>
  <c r="D480" i="8"/>
  <c r="C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K448" i="8"/>
  <c r="A448" i="8"/>
  <c r="H441" i="8"/>
  <c r="D441" i="8"/>
  <c r="C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K409" i="8"/>
  <c r="A409" i="8"/>
  <c r="H406" i="8"/>
  <c r="D406" i="8"/>
  <c r="C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K374" i="8"/>
  <c r="A374" i="8"/>
  <c r="H366" i="8"/>
  <c r="D366" i="8"/>
  <c r="C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K334" i="8"/>
  <c r="A334" i="8"/>
  <c r="H331" i="8"/>
  <c r="D331" i="8"/>
  <c r="C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K299" i="8"/>
  <c r="A299" i="8"/>
  <c r="H291" i="8"/>
  <c r="D291" i="8"/>
  <c r="C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K259" i="8"/>
  <c r="A259" i="8"/>
  <c r="H256" i="8"/>
  <c r="D256" i="8"/>
  <c r="C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K224" i="8"/>
  <c r="A224" i="8"/>
  <c r="H217" i="8"/>
  <c r="D217" i="8"/>
  <c r="C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K185" i="8"/>
  <c r="A185" i="8"/>
  <c r="H182" i="8"/>
  <c r="D182" i="8"/>
  <c r="C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K150" i="8"/>
  <c r="A150" i="8"/>
  <c r="H143" i="8"/>
  <c r="D143" i="8"/>
  <c r="C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K111" i="8"/>
  <c r="K632" i="8" s="1"/>
  <c r="A111" i="8"/>
  <c r="A632" i="8" s="1"/>
  <c r="H108" i="8"/>
  <c r="D108" i="8"/>
  <c r="C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K76" i="8"/>
  <c r="K597" i="8" s="1"/>
  <c r="A76" i="8"/>
  <c r="A597" i="8" s="1"/>
  <c r="H69" i="8"/>
  <c r="D69" i="8"/>
  <c r="C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K37" i="8"/>
  <c r="K558" i="8" s="1"/>
  <c r="A37" i="8"/>
  <c r="A558" i="8" s="1"/>
  <c r="H34" i="8"/>
  <c r="D34" i="8"/>
  <c r="C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I7" i="8" s="1"/>
  <c r="E7" i="8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431" i="8" s="1"/>
  <c r="E432" i="8" s="1"/>
  <c r="E433" i="8" s="1"/>
  <c r="E434" i="8" s="1"/>
  <c r="E435" i="8" s="1"/>
  <c r="E436" i="8" s="1"/>
  <c r="E437" i="8" s="1"/>
  <c r="E438" i="8" s="1"/>
  <c r="E439" i="8" s="1"/>
  <c r="E440" i="8" s="1"/>
  <c r="E454" i="8" s="1"/>
  <c r="E455" i="8" s="1"/>
  <c r="E456" i="8" s="1"/>
  <c r="E457" i="8" s="1"/>
  <c r="E458" i="8" s="1"/>
  <c r="E459" i="8" s="1"/>
  <c r="E460" i="8" s="1"/>
  <c r="E461" i="8" s="1"/>
  <c r="E462" i="8" s="1"/>
  <c r="E463" i="8" s="1"/>
  <c r="E464" i="8" s="1"/>
  <c r="E465" i="8" s="1"/>
  <c r="E466" i="8" s="1"/>
  <c r="E467" i="8" s="1"/>
  <c r="E468" i="8" s="1"/>
  <c r="E469" i="8" s="1"/>
  <c r="E470" i="8" s="1"/>
  <c r="E471" i="8" s="1"/>
  <c r="E472" i="8" s="1"/>
  <c r="E473" i="8" s="1"/>
  <c r="E474" i="8" s="1"/>
  <c r="E475" i="8" s="1"/>
  <c r="E476" i="8" s="1"/>
  <c r="E477" i="8" s="1"/>
  <c r="E478" i="8" s="1"/>
  <c r="E479" i="8" s="1"/>
  <c r="E489" i="8" s="1"/>
  <c r="E490" i="8" s="1"/>
  <c r="E491" i="8" s="1"/>
  <c r="E492" i="8" s="1"/>
  <c r="E493" i="8" s="1"/>
  <c r="E494" i="8" s="1"/>
  <c r="E495" i="8" s="1"/>
  <c r="E496" i="8" s="1"/>
  <c r="E497" i="8" s="1"/>
  <c r="E498" i="8" s="1"/>
  <c r="E499" i="8" s="1"/>
  <c r="E500" i="8" s="1"/>
  <c r="E501" i="8" s="1"/>
  <c r="E502" i="8" s="1"/>
  <c r="E503" i="8" s="1"/>
  <c r="E504" i="8" s="1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64" i="8" s="1"/>
  <c r="E565" i="8" s="1"/>
  <c r="E566" i="8" s="1"/>
  <c r="E567" i="8" s="1"/>
  <c r="E568" i="8" s="1"/>
  <c r="E569" i="8" s="1"/>
  <c r="E570" i="8" s="1"/>
  <c r="E571" i="8" s="1"/>
  <c r="E572" i="8" s="1"/>
  <c r="E573" i="8" s="1"/>
  <c r="E574" i="8" s="1"/>
  <c r="E575" i="8" s="1"/>
  <c r="E576" i="8" s="1"/>
  <c r="E577" i="8" s="1"/>
  <c r="E578" i="8" s="1"/>
  <c r="E579" i="8" s="1"/>
  <c r="E580" i="8" s="1"/>
  <c r="E581" i="8" s="1"/>
  <c r="E582" i="8" s="1"/>
  <c r="E583" i="8" s="1"/>
  <c r="E584" i="8" s="1"/>
  <c r="E585" i="8" s="1"/>
  <c r="E586" i="8" s="1"/>
  <c r="E587" i="8" s="1"/>
  <c r="E588" i="8" s="1"/>
  <c r="E589" i="8" s="1"/>
  <c r="E603" i="8" s="1"/>
  <c r="E604" i="8" s="1"/>
  <c r="E605" i="8" s="1"/>
  <c r="E606" i="8" s="1"/>
  <c r="E607" i="8" s="1"/>
  <c r="E608" i="8" s="1"/>
  <c r="E609" i="8" s="1"/>
  <c r="E610" i="8" s="1"/>
  <c r="E611" i="8" s="1"/>
  <c r="E612" i="8" s="1"/>
  <c r="E613" i="8" s="1"/>
  <c r="E614" i="8" s="1"/>
  <c r="E615" i="8" s="1"/>
  <c r="E616" i="8" s="1"/>
  <c r="E617" i="8" s="1"/>
  <c r="E618" i="8" s="1"/>
  <c r="E619" i="8" s="1"/>
  <c r="E620" i="8" s="1"/>
  <c r="E621" i="8" s="1"/>
  <c r="E622" i="8" s="1"/>
  <c r="E623" i="8" s="1"/>
  <c r="E624" i="8" s="1"/>
  <c r="E625" i="8" s="1"/>
  <c r="G256" i="8" l="1"/>
  <c r="G406" i="8"/>
  <c r="K299" i="9"/>
  <c r="I43" i="9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80" i="9" s="1"/>
  <c r="I181" i="9" s="1"/>
  <c r="I191" i="9" s="1"/>
  <c r="I192" i="9" s="1"/>
  <c r="I193" i="9" s="1"/>
  <c r="I194" i="9" s="1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65" i="9" s="1"/>
  <c r="I266" i="9" s="1"/>
  <c r="I267" i="9" s="1"/>
  <c r="I268" i="9" s="1"/>
  <c r="I34" i="9"/>
  <c r="F312" i="9"/>
  <c r="H308" i="9"/>
  <c r="H312" i="9" s="1"/>
  <c r="G441" i="8"/>
  <c r="G331" i="8"/>
  <c r="G366" i="8"/>
  <c r="G34" i="8"/>
  <c r="I8" i="8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17" i="8" s="1"/>
  <c r="I118" i="8" s="1"/>
  <c r="I119" i="8" s="1"/>
  <c r="I120" i="8" s="1"/>
  <c r="I121" i="8" s="1"/>
  <c r="I122" i="8" s="1"/>
  <c r="I123" i="8" s="1"/>
  <c r="I124" i="8" s="1"/>
  <c r="I125" i="8" s="1"/>
  <c r="I126" i="8" s="1"/>
  <c r="I127" i="8" s="1"/>
  <c r="I128" i="8" s="1"/>
  <c r="I129" i="8" s="1"/>
  <c r="I130" i="8" s="1"/>
  <c r="I131" i="8" s="1"/>
  <c r="I132" i="8" s="1"/>
  <c r="I133" i="8" s="1"/>
  <c r="I134" i="8" s="1"/>
  <c r="I135" i="8" s="1"/>
  <c r="I136" i="8" s="1"/>
  <c r="I137" i="8" s="1"/>
  <c r="I138" i="8" s="1"/>
  <c r="I139" i="8" s="1"/>
  <c r="I140" i="8" s="1"/>
  <c r="I141" i="8" s="1"/>
  <c r="I142" i="8" s="1"/>
  <c r="I156" i="8" s="1"/>
  <c r="I157" i="8" s="1"/>
  <c r="I158" i="8" s="1"/>
  <c r="I159" i="8" s="1"/>
  <c r="I160" i="8" s="1"/>
  <c r="I161" i="8" s="1"/>
  <c r="I162" i="8" s="1"/>
  <c r="I163" i="8" s="1"/>
  <c r="I164" i="8" s="1"/>
  <c r="I165" i="8" s="1"/>
  <c r="I166" i="8" s="1"/>
  <c r="I167" i="8" s="1"/>
  <c r="I168" i="8" s="1"/>
  <c r="I169" i="8" s="1"/>
  <c r="I170" i="8" s="1"/>
  <c r="I171" i="8" s="1"/>
  <c r="I172" i="8" s="1"/>
  <c r="I173" i="8" s="1"/>
  <c r="I174" i="8" s="1"/>
  <c r="I175" i="8" s="1"/>
  <c r="I176" i="8" s="1"/>
  <c r="I177" i="8" s="1"/>
  <c r="I178" i="8" s="1"/>
  <c r="I179" i="8" s="1"/>
  <c r="I180" i="8" s="1"/>
  <c r="I181" i="8" s="1"/>
  <c r="I191" i="8" s="1"/>
  <c r="I192" i="8" s="1"/>
  <c r="I193" i="8" s="1"/>
  <c r="I194" i="8" s="1"/>
  <c r="I195" i="8" s="1"/>
  <c r="I196" i="8" s="1"/>
  <c r="I197" i="8" s="1"/>
  <c r="I198" i="8" s="1"/>
  <c r="I199" i="8" s="1"/>
  <c r="I200" i="8" s="1"/>
  <c r="I201" i="8" s="1"/>
  <c r="I202" i="8" s="1"/>
  <c r="I203" i="8" s="1"/>
  <c r="I204" i="8" s="1"/>
  <c r="I205" i="8" s="1"/>
  <c r="I206" i="8" s="1"/>
  <c r="I207" i="8" s="1"/>
  <c r="I208" i="8" s="1"/>
  <c r="I209" i="8" s="1"/>
  <c r="I210" i="8" s="1"/>
  <c r="I211" i="8" s="1"/>
  <c r="I212" i="8" s="1"/>
  <c r="I213" i="8" s="1"/>
  <c r="I214" i="8" s="1"/>
  <c r="I215" i="8" s="1"/>
  <c r="I216" i="8" s="1"/>
  <c r="I230" i="8" s="1"/>
  <c r="I231" i="8" s="1"/>
  <c r="I232" i="8" s="1"/>
  <c r="I233" i="8" s="1"/>
  <c r="I234" i="8" s="1"/>
  <c r="I235" i="8" s="1"/>
  <c r="I236" i="8" s="1"/>
  <c r="I237" i="8" s="1"/>
  <c r="I238" i="8" s="1"/>
  <c r="I239" i="8" s="1"/>
  <c r="I240" i="8" s="1"/>
  <c r="I241" i="8" s="1"/>
  <c r="I242" i="8" s="1"/>
  <c r="I243" i="8" s="1"/>
  <c r="I244" i="8" s="1"/>
  <c r="I245" i="8" s="1"/>
  <c r="I246" i="8" s="1"/>
  <c r="I247" i="8" s="1"/>
  <c r="I248" i="8" s="1"/>
  <c r="I249" i="8" s="1"/>
  <c r="I250" i="8" s="1"/>
  <c r="I251" i="8" s="1"/>
  <c r="I252" i="8" s="1"/>
  <c r="I253" i="8" s="1"/>
  <c r="I254" i="8" s="1"/>
  <c r="I255" i="8" s="1"/>
  <c r="I265" i="8" s="1"/>
  <c r="I266" i="8" s="1"/>
  <c r="I267" i="8" s="1"/>
  <c r="I268" i="8" s="1"/>
  <c r="I269" i="8" s="1"/>
  <c r="I270" i="8" s="1"/>
  <c r="I271" i="8" s="1"/>
  <c r="I272" i="8" s="1"/>
  <c r="I273" i="8" s="1"/>
  <c r="I274" i="8" s="1"/>
  <c r="I275" i="8" s="1"/>
  <c r="I276" i="8" s="1"/>
  <c r="I277" i="8" s="1"/>
  <c r="I278" i="8" s="1"/>
  <c r="I279" i="8" s="1"/>
  <c r="I280" i="8" s="1"/>
  <c r="I281" i="8" s="1"/>
  <c r="I282" i="8" s="1"/>
  <c r="I283" i="8" s="1"/>
  <c r="I284" i="8" s="1"/>
  <c r="I285" i="8" s="1"/>
  <c r="I286" i="8" s="1"/>
  <c r="I287" i="8" s="1"/>
  <c r="I288" i="8" s="1"/>
  <c r="I289" i="8" s="1"/>
  <c r="I290" i="8" s="1"/>
  <c r="I305" i="8" s="1"/>
  <c r="I306" i="8" s="1"/>
  <c r="I307" i="8" s="1"/>
  <c r="I308" i="8" s="1"/>
  <c r="I309" i="8" s="1"/>
  <c r="I310" i="8" s="1"/>
  <c r="I311" i="8" s="1"/>
  <c r="I312" i="8" s="1"/>
  <c r="I313" i="8" s="1"/>
  <c r="I314" i="8" s="1"/>
  <c r="I315" i="8" s="1"/>
  <c r="I316" i="8" s="1"/>
  <c r="I317" i="8" s="1"/>
  <c r="I318" i="8" s="1"/>
  <c r="I319" i="8" s="1"/>
  <c r="I320" i="8" s="1"/>
  <c r="I321" i="8" s="1"/>
  <c r="I322" i="8" s="1"/>
  <c r="I323" i="8" s="1"/>
  <c r="I324" i="8" s="1"/>
  <c r="I325" i="8" s="1"/>
  <c r="I326" i="8" s="1"/>
  <c r="I327" i="8" s="1"/>
  <c r="I328" i="8" s="1"/>
  <c r="I329" i="8" s="1"/>
  <c r="I330" i="8" s="1"/>
  <c r="I340" i="8" s="1"/>
  <c r="I341" i="8" s="1"/>
  <c r="I342" i="8" s="1"/>
  <c r="I343" i="8" s="1"/>
  <c r="I344" i="8" s="1"/>
  <c r="I345" i="8" s="1"/>
  <c r="I346" i="8" s="1"/>
  <c r="I347" i="8" s="1"/>
  <c r="I348" i="8" s="1"/>
  <c r="I349" i="8" s="1"/>
  <c r="I350" i="8" s="1"/>
  <c r="I351" i="8" s="1"/>
  <c r="I352" i="8" s="1"/>
  <c r="I353" i="8" s="1"/>
  <c r="I354" i="8" s="1"/>
  <c r="I355" i="8" s="1"/>
  <c r="I356" i="8" s="1"/>
  <c r="I357" i="8" s="1"/>
  <c r="I358" i="8" s="1"/>
  <c r="I359" i="8" s="1"/>
  <c r="I360" i="8" s="1"/>
  <c r="I361" i="8" s="1"/>
  <c r="I362" i="8" s="1"/>
  <c r="I363" i="8" s="1"/>
  <c r="I364" i="8" s="1"/>
  <c r="I365" i="8" s="1"/>
  <c r="I380" i="8" s="1"/>
  <c r="I381" i="8" s="1"/>
  <c r="I382" i="8" s="1"/>
  <c r="I383" i="8" s="1"/>
  <c r="I384" i="8" s="1"/>
  <c r="I385" i="8" s="1"/>
  <c r="I386" i="8" s="1"/>
  <c r="I387" i="8" s="1"/>
  <c r="I388" i="8" s="1"/>
  <c r="I389" i="8" s="1"/>
  <c r="I390" i="8" s="1"/>
  <c r="I391" i="8" s="1"/>
  <c r="I392" i="8" s="1"/>
  <c r="I393" i="8" s="1"/>
  <c r="I394" i="8" s="1"/>
  <c r="I395" i="8" s="1"/>
  <c r="I396" i="8" s="1"/>
  <c r="I397" i="8" s="1"/>
  <c r="I398" i="8" s="1"/>
  <c r="I399" i="8" s="1"/>
  <c r="I400" i="8" s="1"/>
  <c r="I401" i="8" s="1"/>
  <c r="I402" i="8" s="1"/>
  <c r="I403" i="8" s="1"/>
  <c r="I404" i="8" s="1"/>
  <c r="I405" i="8" s="1"/>
  <c r="I415" i="8" s="1"/>
  <c r="I416" i="8" s="1"/>
  <c r="I417" i="8" s="1"/>
  <c r="I418" i="8" s="1"/>
  <c r="I419" i="8" s="1"/>
  <c r="I420" i="8" s="1"/>
  <c r="I421" i="8" s="1"/>
  <c r="I422" i="8" s="1"/>
  <c r="I423" i="8" s="1"/>
  <c r="I424" i="8" s="1"/>
  <c r="I425" i="8" s="1"/>
  <c r="I426" i="8" s="1"/>
  <c r="I427" i="8" s="1"/>
  <c r="I428" i="8" s="1"/>
  <c r="I429" i="8" s="1"/>
  <c r="I430" i="8" s="1"/>
  <c r="I431" i="8" s="1"/>
  <c r="I432" i="8" s="1"/>
  <c r="I433" i="8" s="1"/>
  <c r="I434" i="8" s="1"/>
  <c r="I435" i="8" s="1"/>
  <c r="I436" i="8" s="1"/>
  <c r="I437" i="8" s="1"/>
  <c r="I438" i="8" s="1"/>
  <c r="I439" i="8" s="1"/>
  <c r="I440" i="8" s="1"/>
  <c r="I454" i="8" s="1"/>
  <c r="I455" i="8" s="1"/>
  <c r="I456" i="8" s="1"/>
  <c r="I457" i="8" s="1"/>
  <c r="I458" i="8" s="1"/>
  <c r="I459" i="8" s="1"/>
  <c r="I460" i="8" s="1"/>
  <c r="I461" i="8" s="1"/>
  <c r="I462" i="8" s="1"/>
  <c r="I463" i="8" s="1"/>
  <c r="I464" i="8" s="1"/>
  <c r="I465" i="8" s="1"/>
  <c r="I466" i="8" s="1"/>
  <c r="I467" i="8" s="1"/>
  <c r="I468" i="8" s="1"/>
  <c r="I469" i="8" s="1"/>
  <c r="I470" i="8" s="1"/>
  <c r="I471" i="8" s="1"/>
  <c r="I472" i="8" s="1"/>
  <c r="I473" i="8" s="1"/>
  <c r="I474" i="8" s="1"/>
  <c r="I475" i="8" s="1"/>
  <c r="I476" i="8" s="1"/>
  <c r="I477" i="8" s="1"/>
  <c r="I478" i="8" s="1"/>
  <c r="I479" i="8" s="1"/>
  <c r="I489" i="8" s="1"/>
  <c r="I490" i="8" s="1"/>
  <c r="I491" i="8" s="1"/>
  <c r="I492" i="8" s="1"/>
  <c r="I493" i="8" s="1"/>
  <c r="I494" i="8" s="1"/>
  <c r="I495" i="8" s="1"/>
  <c r="I496" i="8" s="1"/>
  <c r="I497" i="8" s="1"/>
  <c r="I498" i="8" s="1"/>
  <c r="I499" i="8" s="1"/>
  <c r="I500" i="8" s="1"/>
  <c r="I501" i="8" s="1"/>
  <c r="I502" i="8" s="1"/>
  <c r="I503" i="8" s="1"/>
  <c r="I504" i="8" s="1"/>
  <c r="I505" i="8" s="1"/>
  <c r="I506" i="8" s="1"/>
  <c r="I507" i="8" s="1"/>
  <c r="I508" i="8" s="1"/>
  <c r="I509" i="8" s="1"/>
  <c r="I510" i="8" s="1"/>
  <c r="I511" i="8" s="1"/>
  <c r="I512" i="8" s="1"/>
  <c r="I513" i="8" s="1"/>
  <c r="I514" i="8" s="1"/>
  <c r="I529" i="8" s="1"/>
  <c r="I530" i="8" s="1"/>
  <c r="I531" i="8" s="1"/>
  <c r="I532" i="8" s="1"/>
  <c r="I533" i="8" s="1"/>
  <c r="I534" i="8" s="1"/>
  <c r="I535" i="8" s="1"/>
  <c r="I536" i="8" s="1"/>
  <c r="I537" i="8" s="1"/>
  <c r="I538" i="8" s="1"/>
  <c r="I539" i="8" s="1"/>
  <c r="I540" i="8" s="1"/>
  <c r="I541" i="8" s="1"/>
  <c r="I542" i="8" s="1"/>
  <c r="I543" i="8" s="1"/>
  <c r="I544" i="8" s="1"/>
  <c r="I545" i="8" s="1"/>
  <c r="I546" i="8" s="1"/>
  <c r="I547" i="8" s="1"/>
  <c r="I548" i="8" s="1"/>
  <c r="I549" i="8" s="1"/>
  <c r="I550" i="8" s="1"/>
  <c r="I551" i="8" s="1"/>
  <c r="I552" i="8" s="1"/>
  <c r="I553" i="8" s="1"/>
  <c r="I554" i="8" s="1"/>
  <c r="I564" i="8" s="1"/>
  <c r="I565" i="8" s="1"/>
  <c r="I566" i="8" s="1"/>
  <c r="I567" i="8" s="1"/>
  <c r="I568" i="8" s="1"/>
  <c r="I569" i="8" s="1"/>
  <c r="I570" i="8" s="1"/>
  <c r="I571" i="8" s="1"/>
  <c r="I572" i="8" s="1"/>
  <c r="I573" i="8" s="1"/>
  <c r="I574" i="8" s="1"/>
  <c r="I575" i="8" s="1"/>
  <c r="I576" i="8" s="1"/>
  <c r="I577" i="8" s="1"/>
  <c r="I578" i="8" s="1"/>
  <c r="I579" i="8" s="1"/>
  <c r="I580" i="8" s="1"/>
  <c r="I581" i="8" s="1"/>
  <c r="I582" i="8" s="1"/>
  <c r="I583" i="8" s="1"/>
  <c r="I584" i="8" s="1"/>
  <c r="I585" i="8" s="1"/>
  <c r="I586" i="8" s="1"/>
  <c r="I587" i="8" s="1"/>
  <c r="I588" i="8" s="1"/>
  <c r="I589" i="8" s="1"/>
  <c r="I603" i="8" s="1"/>
  <c r="I604" i="8" s="1"/>
  <c r="I605" i="8" s="1"/>
  <c r="I606" i="8" s="1"/>
  <c r="I607" i="8" s="1"/>
  <c r="I608" i="8" s="1"/>
  <c r="I609" i="8" s="1"/>
  <c r="I610" i="8" s="1"/>
  <c r="I611" i="8" s="1"/>
  <c r="I612" i="8" s="1"/>
  <c r="I613" i="8" s="1"/>
  <c r="I614" i="8" s="1"/>
  <c r="I615" i="8" s="1"/>
  <c r="I616" i="8" s="1"/>
  <c r="I617" i="8" s="1"/>
  <c r="I618" i="8" s="1"/>
  <c r="I619" i="8" s="1"/>
  <c r="I620" i="8" s="1"/>
  <c r="I621" i="8" s="1"/>
  <c r="I622" i="8" s="1"/>
  <c r="I623" i="8" s="1"/>
  <c r="I624" i="8" s="1"/>
  <c r="I625" i="8" s="1"/>
  <c r="G108" i="8"/>
  <c r="G182" i="8"/>
  <c r="G143" i="8"/>
  <c r="G69" i="8"/>
  <c r="G217" i="8"/>
  <c r="G291" i="8"/>
  <c r="G590" i="8"/>
  <c r="D667" i="8"/>
  <c r="F673" i="8" s="1"/>
  <c r="F676" i="8" s="1"/>
  <c r="G515" i="8"/>
  <c r="H667" i="8"/>
  <c r="H673" i="8" s="1"/>
  <c r="H676" i="8" s="1"/>
  <c r="G480" i="8"/>
  <c r="G555" i="8"/>
  <c r="G629" i="8"/>
  <c r="C667" i="8"/>
  <c r="I676" i="8" l="1"/>
  <c r="C679" i="8" s="1"/>
  <c r="H679" i="8" s="1"/>
  <c r="I312" i="9"/>
  <c r="C315" i="9" s="1"/>
  <c r="H315" i="9" s="1"/>
  <c r="G667" i="8"/>
  <c r="I34" i="8"/>
  <c r="H8" i="7" l="1"/>
  <c r="H7" i="7"/>
  <c r="H6" i="7"/>
  <c r="H5" i="7"/>
  <c r="H4" i="7"/>
  <c r="H3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H661" i="6"/>
  <c r="D661" i="6"/>
  <c r="C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H626" i="6"/>
  <c r="D626" i="6"/>
  <c r="C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H587" i="6"/>
  <c r="D587" i="6"/>
  <c r="C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26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487" i="6"/>
  <c r="G423" i="6"/>
  <c r="G661" i="6" l="1"/>
  <c r="G626" i="6"/>
  <c r="G587" i="6"/>
  <c r="G319" i="6"/>
  <c r="H552" i="6" l="1"/>
  <c r="G552" i="6"/>
  <c r="D552" i="6"/>
  <c r="C552" i="6"/>
  <c r="K520" i="6"/>
  <c r="A520" i="6"/>
  <c r="H513" i="6"/>
  <c r="G513" i="6"/>
  <c r="D513" i="6"/>
  <c r="C513" i="6"/>
  <c r="K481" i="6"/>
  <c r="A481" i="6"/>
  <c r="H478" i="6"/>
  <c r="D478" i="6"/>
  <c r="C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K446" i="6"/>
  <c r="A446" i="6"/>
  <c r="H439" i="6"/>
  <c r="D439" i="6"/>
  <c r="C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2" i="6"/>
  <c r="G421" i="6"/>
  <c r="G420" i="6"/>
  <c r="G419" i="6"/>
  <c r="G418" i="6"/>
  <c r="G417" i="6"/>
  <c r="G416" i="6"/>
  <c r="G415" i="6"/>
  <c r="G414" i="6"/>
  <c r="G413" i="6"/>
  <c r="K407" i="6"/>
  <c r="A407" i="6"/>
  <c r="H404" i="6"/>
  <c r="D404" i="6"/>
  <c r="C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K372" i="6"/>
  <c r="A372" i="6"/>
  <c r="H365" i="6"/>
  <c r="D365" i="6"/>
  <c r="C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K333" i="6"/>
  <c r="A333" i="6"/>
  <c r="H330" i="6"/>
  <c r="D330" i="6"/>
  <c r="C330" i="6"/>
  <c r="G329" i="6"/>
  <c r="G328" i="6"/>
  <c r="G327" i="6"/>
  <c r="G326" i="6"/>
  <c r="G325" i="6"/>
  <c r="G324" i="6"/>
  <c r="G323" i="6"/>
  <c r="G322" i="6"/>
  <c r="G321" i="6"/>
  <c r="G320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K298" i="6"/>
  <c r="A298" i="6"/>
  <c r="H291" i="6"/>
  <c r="D291" i="6"/>
  <c r="C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K259" i="6"/>
  <c r="A259" i="6"/>
  <c r="H256" i="6"/>
  <c r="D256" i="6"/>
  <c r="C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K224" i="6"/>
  <c r="A224" i="6"/>
  <c r="H217" i="6"/>
  <c r="D217" i="6"/>
  <c r="C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K185" i="6"/>
  <c r="A185" i="6"/>
  <c r="H182" i="6"/>
  <c r="D182" i="6"/>
  <c r="C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K150" i="6"/>
  <c r="A150" i="6"/>
  <c r="H143" i="6"/>
  <c r="D143" i="6"/>
  <c r="C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K111" i="6"/>
  <c r="K629" i="6" s="1"/>
  <c r="A111" i="6"/>
  <c r="A629" i="6" s="1"/>
  <c r="H108" i="6"/>
  <c r="D108" i="6"/>
  <c r="C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K76" i="6"/>
  <c r="K594" i="6" s="1"/>
  <c r="A76" i="6"/>
  <c r="A594" i="6" s="1"/>
  <c r="H69" i="6"/>
  <c r="D69" i="6"/>
  <c r="C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K37" i="6"/>
  <c r="K555" i="6" s="1"/>
  <c r="A37" i="6"/>
  <c r="A555" i="6" s="1"/>
  <c r="H34" i="6"/>
  <c r="D34" i="6"/>
  <c r="C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I7" i="6" s="1"/>
  <c r="I8" i="6" s="1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E99" i="6" s="1"/>
  <c r="E100" i="6" s="1"/>
  <c r="E101" i="6" s="1"/>
  <c r="E102" i="6" s="1"/>
  <c r="E103" i="6" s="1"/>
  <c r="E104" i="6" s="1"/>
  <c r="E105" i="6" s="1"/>
  <c r="E106" i="6" s="1"/>
  <c r="E107" i="6" s="1"/>
  <c r="E117" i="6" s="1"/>
  <c r="E118" i="6" s="1"/>
  <c r="E119" i="6" s="1"/>
  <c r="E120" i="6" s="1"/>
  <c r="E121" i="6" s="1"/>
  <c r="E122" i="6" s="1"/>
  <c r="E123" i="6" s="1"/>
  <c r="E124" i="6" s="1"/>
  <c r="E125" i="6" s="1"/>
  <c r="E126" i="6" s="1"/>
  <c r="E127" i="6" s="1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65" i="6" s="1"/>
  <c r="E266" i="6" s="1"/>
  <c r="E267" i="6" s="1"/>
  <c r="E268" i="6" s="1"/>
  <c r="E269" i="6" s="1"/>
  <c r="E270" i="6" s="1"/>
  <c r="E271" i="6" s="1"/>
  <c r="E272" i="6" s="1"/>
  <c r="E273" i="6" s="1"/>
  <c r="E274" i="6" s="1"/>
  <c r="E275" i="6" s="1"/>
  <c r="E276" i="6" s="1"/>
  <c r="E277" i="6" s="1"/>
  <c r="E278" i="6" s="1"/>
  <c r="E279" i="6" s="1"/>
  <c r="E280" i="6" s="1"/>
  <c r="E281" i="6" s="1"/>
  <c r="E282" i="6" s="1"/>
  <c r="E283" i="6" s="1"/>
  <c r="E284" i="6" s="1"/>
  <c r="E285" i="6" s="1"/>
  <c r="E286" i="6" s="1"/>
  <c r="E287" i="6" s="1"/>
  <c r="E288" i="6" s="1"/>
  <c r="E289" i="6" s="1"/>
  <c r="E290" i="6" s="1"/>
  <c r="E304" i="6" s="1"/>
  <c r="E305" i="6" s="1"/>
  <c r="E306" i="6" s="1"/>
  <c r="E307" i="6" s="1"/>
  <c r="E308" i="6" s="1"/>
  <c r="E309" i="6" s="1"/>
  <c r="E310" i="6" s="1"/>
  <c r="E311" i="6" s="1"/>
  <c r="E312" i="6" s="1"/>
  <c r="E313" i="6" s="1"/>
  <c r="E314" i="6" s="1"/>
  <c r="E315" i="6" s="1"/>
  <c r="E316" i="6" s="1"/>
  <c r="E317" i="6" s="1"/>
  <c r="E318" i="6" s="1"/>
  <c r="D664" i="6" l="1"/>
  <c r="F670" i="6" s="1"/>
  <c r="H664" i="6"/>
  <c r="H670" i="6" s="1"/>
  <c r="C664" i="6"/>
  <c r="E319" i="6"/>
  <c r="E320" i="6" s="1"/>
  <c r="E321" i="6" s="1"/>
  <c r="E322" i="6" s="1"/>
  <c r="E323" i="6" s="1"/>
  <c r="E324" i="6" s="1"/>
  <c r="E325" i="6" s="1"/>
  <c r="E326" i="6" s="1"/>
  <c r="E327" i="6" s="1"/>
  <c r="E328" i="6" s="1"/>
  <c r="E329" i="6" s="1"/>
  <c r="E339" i="6" s="1"/>
  <c r="E340" i="6" s="1"/>
  <c r="E341" i="6" s="1"/>
  <c r="E342" i="6" s="1"/>
  <c r="E343" i="6" s="1"/>
  <c r="E344" i="6" s="1"/>
  <c r="E345" i="6" s="1"/>
  <c r="E346" i="6" s="1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G439" i="6"/>
  <c r="G365" i="6"/>
  <c r="G256" i="6"/>
  <c r="G217" i="6"/>
  <c r="G182" i="6"/>
  <c r="G143" i="6"/>
  <c r="G108" i="6"/>
  <c r="G69" i="6"/>
  <c r="I9" i="6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65" i="6" s="1"/>
  <c r="I266" i="6" s="1"/>
  <c r="I267" i="6" s="1"/>
  <c r="I268" i="6" s="1"/>
  <c r="I269" i="6" s="1"/>
  <c r="I270" i="6" s="1"/>
  <c r="I271" i="6" s="1"/>
  <c r="I272" i="6" s="1"/>
  <c r="I273" i="6" s="1"/>
  <c r="I274" i="6" s="1"/>
  <c r="I275" i="6" s="1"/>
  <c r="G34" i="6"/>
  <c r="G404" i="6"/>
  <c r="G478" i="6"/>
  <c r="G291" i="6"/>
  <c r="G330" i="6"/>
  <c r="G664" i="6" l="1"/>
  <c r="E423" i="6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I276" i="6"/>
  <c r="I277" i="6" s="1"/>
  <c r="I278" i="6" s="1"/>
  <c r="I279" i="6" s="1"/>
  <c r="I280" i="6" s="1"/>
  <c r="I281" i="6" s="1"/>
  <c r="I282" i="6" s="1"/>
  <c r="I283" i="6" s="1"/>
  <c r="I284" i="6" s="1"/>
  <c r="I285" i="6" s="1"/>
  <c r="I286" i="6" s="1"/>
  <c r="I287" i="6" s="1"/>
  <c r="I288" i="6" s="1"/>
  <c r="I289" i="6" s="1"/>
  <c r="I290" i="6" s="1"/>
  <c r="I304" i="6" s="1"/>
  <c r="I305" i="6" s="1"/>
  <c r="I306" i="6" s="1"/>
  <c r="I307" i="6" s="1"/>
  <c r="I308" i="6" s="1"/>
  <c r="I309" i="6" s="1"/>
  <c r="I310" i="6" s="1"/>
  <c r="I311" i="6" s="1"/>
  <c r="I312" i="6" s="1"/>
  <c r="I313" i="6" s="1"/>
  <c r="I314" i="6" s="1"/>
  <c r="I315" i="6" s="1"/>
  <c r="I316" i="6" s="1"/>
  <c r="I317" i="6" s="1"/>
  <c r="I318" i="6" s="1"/>
  <c r="I34" i="6"/>
  <c r="H669" i="6"/>
  <c r="H673" i="6" s="1"/>
  <c r="F673" i="6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24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785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50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11" i="5"/>
  <c r="I319" i="6" l="1"/>
  <c r="I320" i="6" s="1"/>
  <c r="I321" i="6" s="1"/>
  <c r="I322" i="6" s="1"/>
  <c r="I323" i="6" s="1"/>
  <c r="I324" i="6" s="1"/>
  <c r="I325" i="6" s="1"/>
  <c r="I326" i="6" s="1"/>
  <c r="I327" i="6" s="1"/>
  <c r="I328" i="6" s="1"/>
  <c r="I329" i="6" s="1"/>
  <c r="I339" i="6" s="1"/>
  <c r="I340" i="6" s="1"/>
  <c r="I341" i="6" s="1"/>
  <c r="I342" i="6" s="1"/>
  <c r="I343" i="6" s="1"/>
  <c r="I344" i="6" s="1"/>
  <c r="I345" i="6" s="1"/>
  <c r="I346" i="6" s="1"/>
  <c r="I347" i="6" s="1"/>
  <c r="I348" i="6" s="1"/>
  <c r="I349" i="6" s="1"/>
  <c r="I350" i="6" s="1"/>
  <c r="I351" i="6" s="1"/>
  <c r="I352" i="6" s="1"/>
  <c r="I353" i="6" s="1"/>
  <c r="I354" i="6" s="1"/>
  <c r="I355" i="6" s="1"/>
  <c r="I356" i="6" s="1"/>
  <c r="I357" i="6" s="1"/>
  <c r="I358" i="6" s="1"/>
  <c r="I359" i="6" s="1"/>
  <c r="I360" i="6" s="1"/>
  <c r="I361" i="6" s="1"/>
  <c r="I362" i="6" s="1"/>
  <c r="I363" i="6" s="1"/>
  <c r="I364" i="6" s="1"/>
  <c r="I378" i="6" s="1"/>
  <c r="I379" i="6" s="1"/>
  <c r="I380" i="6" s="1"/>
  <c r="I381" i="6" s="1"/>
  <c r="I382" i="6" s="1"/>
  <c r="I383" i="6" s="1"/>
  <c r="I384" i="6" s="1"/>
  <c r="I385" i="6" s="1"/>
  <c r="I386" i="6" s="1"/>
  <c r="I387" i="6" s="1"/>
  <c r="I388" i="6" s="1"/>
  <c r="I389" i="6" s="1"/>
  <c r="I390" i="6" s="1"/>
  <c r="I391" i="6" s="1"/>
  <c r="I392" i="6" s="1"/>
  <c r="I393" i="6" s="1"/>
  <c r="I394" i="6" s="1"/>
  <c r="I395" i="6" s="1"/>
  <c r="I396" i="6" s="1"/>
  <c r="I397" i="6" s="1"/>
  <c r="I398" i="6" s="1"/>
  <c r="I399" i="6" s="1"/>
  <c r="I400" i="6" s="1"/>
  <c r="I401" i="6" s="1"/>
  <c r="I402" i="6" s="1"/>
  <c r="I403" i="6" s="1"/>
  <c r="I413" i="6" s="1"/>
  <c r="I414" i="6" s="1"/>
  <c r="I415" i="6" s="1"/>
  <c r="I416" i="6" s="1"/>
  <c r="I417" i="6" s="1"/>
  <c r="I418" i="6" s="1"/>
  <c r="I419" i="6" s="1"/>
  <c r="I420" i="6" s="1"/>
  <c r="I421" i="6" s="1"/>
  <c r="I422" i="6" s="1"/>
  <c r="E549" i="6"/>
  <c r="E550" i="6" s="1"/>
  <c r="E551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I673" i="6"/>
  <c r="C676" i="6" s="1"/>
  <c r="H676" i="6" s="1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676" i="5"/>
  <c r="A818" i="5"/>
  <c r="A779" i="5"/>
  <c r="A744" i="5"/>
  <c r="A705" i="5"/>
  <c r="A670" i="5"/>
  <c r="A631" i="5"/>
  <c r="A596" i="5"/>
  <c r="A55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37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02" i="5"/>
  <c r="G571" i="5"/>
  <c r="G564" i="5"/>
  <c r="G565" i="5"/>
  <c r="G566" i="5"/>
  <c r="G567" i="5"/>
  <c r="G568" i="5"/>
  <c r="G569" i="5"/>
  <c r="G570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63" i="5"/>
  <c r="E623" i="6" l="1"/>
  <c r="E624" i="6" s="1"/>
  <c r="E625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I423" i="6"/>
  <c r="I424" i="6" s="1"/>
  <c r="I425" i="6" s="1"/>
  <c r="I426" i="6" s="1"/>
  <c r="I427" i="6" s="1"/>
  <c r="I428" i="6" s="1"/>
  <c r="I429" i="6" s="1"/>
  <c r="I430" i="6" s="1"/>
  <c r="I431" i="6" s="1"/>
  <c r="I432" i="6" s="1"/>
  <c r="I433" i="6" s="1"/>
  <c r="I434" i="6" s="1"/>
  <c r="I435" i="6" s="1"/>
  <c r="I436" i="6" s="1"/>
  <c r="I437" i="6" s="1"/>
  <c r="I438" i="6" s="1"/>
  <c r="I452" i="6" s="1"/>
  <c r="I453" i="6" s="1"/>
  <c r="I454" i="6" s="1"/>
  <c r="I455" i="6" s="1"/>
  <c r="I456" i="6" s="1"/>
  <c r="I457" i="6" s="1"/>
  <c r="I458" i="6" s="1"/>
  <c r="I459" i="6" s="1"/>
  <c r="I460" i="6" s="1"/>
  <c r="I461" i="6" s="1"/>
  <c r="I462" i="6" s="1"/>
  <c r="I463" i="6" s="1"/>
  <c r="I464" i="6" s="1"/>
  <c r="I465" i="6" s="1"/>
  <c r="I466" i="6" s="1"/>
  <c r="I467" i="6" s="1"/>
  <c r="I468" i="6" s="1"/>
  <c r="I469" i="6" s="1"/>
  <c r="I470" i="6" s="1"/>
  <c r="I471" i="6" s="1"/>
  <c r="I472" i="6" s="1"/>
  <c r="I473" i="6" s="1"/>
  <c r="I474" i="6" s="1"/>
  <c r="I475" i="6" s="1"/>
  <c r="I476" i="6" s="1"/>
  <c r="I477" i="6" s="1"/>
  <c r="I487" i="6" s="1"/>
  <c r="I488" i="6" s="1"/>
  <c r="I489" i="6" s="1"/>
  <c r="I490" i="6" s="1"/>
  <c r="I491" i="6" s="1"/>
  <c r="I492" i="6" s="1"/>
  <c r="I493" i="6" s="1"/>
  <c r="I494" i="6" s="1"/>
  <c r="I495" i="6" s="1"/>
  <c r="I496" i="6" s="1"/>
  <c r="I497" i="6" s="1"/>
  <c r="I498" i="6" s="1"/>
  <c r="I499" i="6" s="1"/>
  <c r="I500" i="6" s="1"/>
  <c r="I501" i="6" s="1"/>
  <c r="I502" i="6" s="1"/>
  <c r="I503" i="6" s="1"/>
  <c r="I504" i="6" s="1"/>
  <c r="I505" i="6" s="1"/>
  <c r="I506" i="6" s="1"/>
  <c r="I507" i="6" s="1"/>
  <c r="I508" i="6" s="1"/>
  <c r="I509" i="6" s="1"/>
  <c r="I510" i="6" s="1"/>
  <c r="I511" i="6" s="1"/>
  <c r="I512" i="6" s="1"/>
  <c r="I526" i="6" s="1"/>
  <c r="I527" i="6" s="1"/>
  <c r="I528" i="6" s="1"/>
  <c r="I529" i="6" s="1"/>
  <c r="I530" i="6" s="1"/>
  <c r="I531" i="6" s="1"/>
  <c r="I532" i="6" s="1"/>
  <c r="I533" i="6" s="1"/>
  <c r="I534" i="6" s="1"/>
  <c r="I535" i="6" s="1"/>
  <c r="I536" i="6" s="1"/>
  <c r="I537" i="6" s="1"/>
  <c r="I538" i="6" s="1"/>
  <c r="I539" i="6" s="1"/>
  <c r="I540" i="6" s="1"/>
  <c r="I541" i="6" s="1"/>
  <c r="I542" i="6" s="1"/>
  <c r="I543" i="6" s="1"/>
  <c r="I544" i="6" s="1"/>
  <c r="I545" i="6" s="1"/>
  <c r="I546" i="6" s="1"/>
  <c r="I547" i="6" s="1"/>
  <c r="I548" i="6" s="1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28" i="5"/>
  <c r="H850" i="5"/>
  <c r="G850" i="5"/>
  <c r="D850" i="5"/>
  <c r="C850" i="5"/>
  <c r="H811" i="5"/>
  <c r="G811" i="5"/>
  <c r="D811" i="5"/>
  <c r="C811" i="5"/>
  <c r="H776" i="5"/>
  <c r="G776" i="5"/>
  <c r="D776" i="5"/>
  <c r="C776" i="5"/>
  <c r="H737" i="5"/>
  <c r="G737" i="5"/>
  <c r="D737" i="5"/>
  <c r="C737" i="5"/>
  <c r="H702" i="5"/>
  <c r="G702" i="5"/>
  <c r="D702" i="5"/>
  <c r="C702" i="5"/>
  <c r="H663" i="5"/>
  <c r="G663" i="5"/>
  <c r="D663" i="5"/>
  <c r="C663" i="5"/>
  <c r="H628" i="5"/>
  <c r="G628" i="5"/>
  <c r="D628" i="5"/>
  <c r="C628" i="5"/>
  <c r="H589" i="5"/>
  <c r="G589" i="5"/>
  <c r="D589" i="5"/>
  <c r="C589" i="5"/>
  <c r="I549" i="6" l="1"/>
  <c r="I550" i="6" s="1"/>
  <c r="I551" i="6" s="1"/>
  <c r="I561" i="6" s="1"/>
  <c r="I562" i="6" s="1"/>
  <c r="I563" i="6" s="1"/>
  <c r="I564" i="6" s="1"/>
  <c r="I565" i="6" s="1"/>
  <c r="I566" i="6" s="1"/>
  <c r="I567" i="6" s="1"/>
  <c r="I568" i="6" s="1"/>
  <c r="I569" i="6" s="1"/>
  <c r="I570" i="6" s="1"/>
  <c r="I571" i="6" s="1"/>
  <c r="I572" i="6" s="1"/>
  <c r="I573" i="6" s="1"/>
  <c r="I574" i="6" s="1"/>
  <c r="I575" i="6" s="1"/>
  <c r="I576" i="6" s="1"/>
  <c r="I577" i="6" s="1"/>
  <c r="I578" i="6" s="1"/>
  <c r="I579" i="6" s="1"/>
  <c r="I580" i="6" s="1"/>
  <c r="I581" i="6" s="1"/>
  <c r="I582" i="6" s="1"/>
  <c r="I583" i="6" s="1"/>
  <c r="I584" i="6" s="1"/>
  <c r="I585" i="6" s="1"/>
  <c r="I586" i="6" s="1"/>
  <c r="I600" i="6" s="1"/>
  <c r="I601" i="6" s="1"/>
  <c r="I602" i="6" s="1"/>
  <c r="I603" i="6" s="1"/>
  <c r="I604" i="6" s="1"/>
  <c r="I605" i="6" s="1"/>
  <c r="I606" i="6" s="1"/>
  <c r="I607" i="6" s="1"/>
  <c r="I608" i="6" s="1"/>
  <c r="I609" i="6" s="1"/>
  <c r="I610" i="6" s="1"/>
  <c r="I611" i="6" s="1"/>
  <c r="I612" i="6" s="1"/>
  <c r="I613" i="6" s="1"/>
  <c r="I614" i="6" s="1"/>
  <c r="I615" i="6" s="1"/>
  <c r="I616" i="6" s="1"/>
  <c r="I617" i="6" s="1"/>
  <c r="I618" i="6" s="1"/>
  <c r="I619" i="6" s="1"/>
  <c r="I620" i="6" s="1"/>
  <c r="I621" i="6" s="1"/>
  <c r="I622" i="6" s="1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488" i="5"/>
  <c r="I623" i="6" l="1"/>
  <c r="I624" i="6" s="1"/>
  <c r="I625" i="6" s="1"/>
  <c r="I635" i="6" s="1"/>
  <c r="I636" i="6"/>
  <c r="I637" i="6" s="1"/>
  <c r="I638" i="6" s="1"/>
  <c r="I639" i="6" s="1"/>
  <c r="I640" i="6" s="1"/>
  <c r="I641" i="6" s="1"/>
  <c r="I642" i="6" s="1"/>
  <c r="I643" i="6" s="1"/>
  <c r="I644" i="6" s="1"/>
  <c r="I645" i="6" s="1"/>
  <c r="I646" i="6" s="1"/>
  <c r="I647" i="6" s="1"/>
  <c r="I648" i="6" s="1"/>
  <c r="I649" i="6" s="1"/>
  <c r="I650" i="6" s="1"/>
  <c r="I651" i="6" s="1"/>
  <c r="I652" i="6" s="1"/>
  <c r="I653" i="6" s="1"/>
  <c r="I654" i="6" s="1"/>
  <c r="I655" i="6" s="1"/>
  <c r="I656" i="6" s="1"/>
  <c r="I657" i="6" s="1"/>
  <c r="I658" i="6" s="1"/>
  <c r="I659" i="6" s="1"/>
  <c r="I660" i="6" s="1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14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H554" i="5" l="1"/>
  <c r="G554" i="5"/>
  <c r="D554" i="5"/>
  <c r="C554" i="5"/>
  <c r="K522" i="5"/>
  <c r="A522" i="5"/>
  <c r="H514" i="5"/>
  <c r="G514" i="5"/>
  <c r="D514" i="5"/>
  <c r="C514" i="5"/>
  <c r="K482" i="5"/>
  <c r="A482" i="5"/>
  <c r="H479" i="5"/>
  <c r="D479" i="5"/>
  <c r="C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K447" i="5"/>
  <c r="A447" i="5"/>
  <c r="H440" i="5"/>
  <c r="G440" i="5"/>
  <c r="D440" i="5"/>
  <c r="C440" i="5"/>
  <c r="K408" i="5"/>
  <c r="A408" i="5"/>
  <c r="H405" i="5"/>
  <c r="D405" i="5"/>
  <c r="C405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K373" i="5"/>
  <c r="A373" i="5"/>
  <c r="H365" i="5"/>
  <c r="D365" i="5"/>
  <c r="C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K333" i="5"/>
  <c r="A333" i="5"/>
  <c r="H330" i="5"/>
  <c r="D330" i="5"/>
  <c r="C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K298" i="5"/>
  <c r="A298" i="5"/>
  <c r="H291" i="5"/>
  <c r="D291" i="5"/>
  <c r="C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K259" i="5"/>
  <c r="A259" i="5"/>
  <c r="H256" i="5"/>
  <c r="D256" i="5"/>
  <c r="C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K224" i="5"/>
  <c r="A224" i="5"/>
  <c r="H217" i="5"/>
  <c r="D217" i="5"/>
  <c r="C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K185" i="5"/>
  <c r="A185" i="5"/>
  <c r="H182" i="5"/>
  <c r="D182" i="5"/>
  <c r="C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K150" i="5"/>
  <c r="A150" i="5"/>
  <c r="H143" i="5"/>
  <c r="D143" i="5"/>
  <c r="C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K111" i="5"/>
  <c r="A111" i="5"/>
  <c r="H108" i="5"/>
  <c r="D108" i="5"/>
  <c r="C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K76" i="5"/>
  <c r="A76" i="5"/>
  <c r="H69" i="5"/>
  <c r="D69" i="5"/>
  <c r="C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K37" i="5"/>
  <c r="A37" i="5"/>
  <c r="H34" i="5"/>
  <c r="D34" i="5"/>
  <c r="C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I7" i="5" s="1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C853" i="5" l="1"/>
  <c r="D853" i="5"/>
  <c r="H853" i="5"/>
  <c r="H864" i="5" s="1"/>
  <c r="F863" i="5"/>
  <c r="I8" i="5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G365" i="5"/>
  <c r="G291" i="5"/>
  <c r="G256" i="5"/>
  <c r="G217" i="5"/>
  <c r="G143" i="5"/>
  <c r="G108" i="5"/>
  <c r="G69" i="5"/>
  <c r="G34" i="5"/>
  <c r="G182" i="5"/>
  <c r="G479" i="5"/>
  <c r="G330" i="5"/>
  <c r="G405" i="5"/>
  <c r="H552" i="4"/>
  <c r="G552" i="4"/>
  <c r="D552" i="4"/>
  <c r="C552" i="4"/>
  <c r="K520" i="4"/>
  <c r="A520" i="4"/>
  <c r="H513" i="4"/>
  <c r="G513" i="4"/>
  <c r="D513" i="4"/>
  <c r="C513" i="4"/>
  <c r="K481" i="4"/>
  <c r="A481" i="4"/>
  <c r="H478" i="4"/>
  <c r="D478" i="4"/>
  <c r="C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K446" i="4"/>
  <c r="A446" i="4"/>
  <c r="H439" i="4"/>
  <c r="G439" i="4"/>
  <c r="D439" i="4"/>
  <c r="C439" i="4"/>
  <c r="K407" i="4"/>
  <c r="A407" i="4"/>
  <c r="H404" i="4"/>
  <c r="D404" i="4"/>
  <c r="C404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K372" i="4"/>
  <c r="A372" i="4"/>
  <c r="H365" i="4"/>
  <c r="D365" i="4"/>
  <c r="C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K333" i="4"/>
  <c r="A333" i="4"/>
  <c r="H330" i="4"/>
  <c r="D330" i="4"/>
  <c r="C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K298" i="4"/>
  <c r="A298" i="4"/>
  <c r="H291" i="4"/>
  <c r="D291" i="4"/>
  <c r="C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K259" i="4"/>
  <c r="A259" i="4"/>
  <c r="H256" i="4"/>
  <c r="D256" i="4"/>
  <c r="C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K224" i="4"/>
  <c r="A224" i="4"/>
  <c r="H217" i="4"/>
  <c r="D217" i="4"/>
  <c r="C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K185" i="4"/>
  <c r="A185" i="4"/>
  <c r="H182" i="4"/>
  <c r="D182" i="4"/>
  <c r="C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K150" i="4"/>
  <c r="A150" i="4"/>
  <c r="H143" i="4"/>
  <c r="D143" i="4"/>
  <c r="C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K111" i="4"/>
  <c r="A111" i="4"/>
  <c r="H108" i="4"/>
  <c r="D108" i="4"/>
  <c r="C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K76" i="4"/>
  <c r="A76" i="4"/>
  <c r="H69" i="4"/>
  <c r="D69" i="4"/>
  <c r="C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K37" i="4"/>
  <c r="A37" i="4"/>
  <c r="H34" i="4"/>
  <c r="D34" i="4"/>
  <c r="C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I7" i="4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G291" i="4" l="1"/>
  <c r="G217" i="4"/>
  <c r="I8" i="4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G853" i="5"/>
  <c r="G330" i="4"/>
  <c r="G143" i="4"/>
  <c r="H863" i="5"/>
  <c r="F867" i="5"/>
  <c r="K854" i="5"/>
  <c r="I34" i="5"/>
  <c r="H867" i="5"/>
  <c r="I43" i="4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C556" i="4"/>
  <c r="F566" i="4" s="1"/>
  <c r="G404" i="4"/>
  <c r="G478" i="4"/>
  <c r="G34" i="4"/>
  <c r="I34" i="4" s="1"/>
  <c r="G69" i="4"/>
  <c r="D556" i="4"/>
  <c r="F567" i="4" s="1"/>
  <c r="G108" i="4"/>
  <c r="G182" i="4"/>
  <c r="G256" i="4"/>
  <c r="G365" i="4"/>
  <c r="H556" i="4"/>
  <c r="H567" i="4" s="1"/>
  <c r="I867" i="5" l="1"/>
  <c r="C870" i="5" s="1"/>
  <c r="H870" i="5" s="1"/>
  <c r="G556" i="4"/>
  <c r="K557" i="4" s="1"/>
  <c r="F570" i="4"/>
  <c r="H566" i="4"/>
  <c r="H570" i="4" s="1"/>
  <c r="I570" i="4" l="1"/>
  <c r="C573" i="4" s="1"/>
  <c r="H573" i="4" s="1"/>
  <c r="H552" i="3" l="1"/>
  <c r="G552" i="3"/>
  <c r="D552" i="3"/>
  <c r="C552" i="3"/>
  <c r="K520" i="3"/>
  <c r="A520" i="3"/>
  <c r="H513" i="3"/>
  <c r="G513" i="3"/>
  <c r="D513" i="3"/>
  <c r="C513" i="3"/>
  <c r="K481" i="3"/>
  <c r="A481" i="3"/>
  <c r="H478" i="3"/>
  <c r="D478" i="3"/>
  <c r="C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K446" i="3"/>
  <c r="A446" i="3"/>
  <c r="H439" i="3"/>
  <c r="D439" i="3"/>
  <c r="C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K407" i="3"/>
  <c r="A407" i="3"/>
  <c r="H404" i="3"/>
  <c r="D404" i="3"/>
  <c r="C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K372" i="3"/>
  <c r="A372" i="3"/>
  <c r="H365" i="3"/>
  <c r="D365" i="3"/>
  <c r="C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K333" i="3"/>
  <c r="A333" i="3"/>
  <c r="H330" i="3"/>
  <c r="D330" i="3"/>
  <c r="C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K298" i="3"/>
  <c r="A298" i="3"/>
  <c r="H291" i="3"/>
  <c r="D291" i="3"/>
  <c r="C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K259" i="3"/>
  <c r="A259" i="3"/>
  <c r="H256" i="3"/>
  <c r="D256" i="3"/>
  <c r="C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K224" i="3"/>
  <c r="A224" i="3"/>
  <c r="H217" i="3"/>
  <c r="D217" i="3"/>
  <c r="C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K185" i="3"/>
  <c r="A185" i="3"/>
  <c r="H182" i="3"/>
  <c r="D182" i="3"/>
  <c r="C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K150" i="3"/>
  <c r="A150" i="3"/>
  <c r="H143" i="3"/>
  <c r="D143" i="3"/>
  <c r="C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K111" i="3"/>
  <c r="A111" i="3"/>
  <c r="H108" i="3"/>
  <c r="D108" i="3"/>
  <c r="C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K76" i="3"/>
  <c r="A76" i="3"/>
  <c r="H69" i="3"/>
  <c r="D69" i="3"/>
  <c r="C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K37" i="3"/>
  <c r="A37" i="3"/>
  <c r="H34" i="3"/>
  <c r="D34" i="3"/>
  <c r="C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I7" i="3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G478" i="3" l="1"/>
  <c r="G365" i="3"/>
  <c r="G330" i="3"/>
  <c r="G291" i="3"/>
  <c r="G217" i="3"/>
  <c r="G182" i="3"/>
  <c r="G143" i="3"/>
  <c r="G108" i="3"/>
  <c r="G69" i="3"/>
  <c r="G34" i="3"/>
  <c r="C556" i="3"/>
  <c r="F566" i="3" s="1"/>
  <c r="H566" i="3" s="1"/>
  <c r="G439" i="3"/>
  <c r="I8" i="3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G256" i="3"/>
  <c r="H556" i="3"/>
  <c r="H567" i="3" s="1"/>
  <c r="G404" i="3"/>
  <c r="D556" i="3"/>
  <c r="F567" i="3" s="1"/>
  <c r="H552" i="2"/>
  <c r="G552" i="2"/>
  <c r="D552" i="2"/>
  <c r="C552" i="2"/>
  <c r="K520" i="2"/>
  <c r="A520" i="2"/>
  <c r="H513" i="2"/>
  <c r="G513" i="2"/>
  <c r="D513" i="2"/>
  <c r="C513" i="2"/>
  <c r="K481" i="2"/>
  <c r="A481" i="2"/>
  <c r="H478" i="2"/>
  <c r="D478" i="2"/>
  <c r="C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K446" i="2"/>
  <c r="A446" i="2"/>
  <c r="H439" i="2"/>
  <c r="D439" i="2"/>
  <c r="C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K407" i="2"/>
  <c r="A407" i="2"/>
  <c r="H404" i="2"/>
  <c r="D404" i="2"/>
  <c r="C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K372" i="2"/>
  <c r="A372" i="2"/>
  <c r="H365" i="2"/>
  <c r="D365" i="2"/>
  <c r="C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K333" i="2"/>
  <c r="A333" i="2"/>
  <c r="H330" i="2"/>
  <c r="D330" i="2"/>
  <c r="C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K298" i="2"/>
  <c r="A298" i="2"/>
  <c r="H291" i="2"/>
  <c r="D291" i="2"/>
  <c r="C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K259" i="2"/>
  <c r="A259" i="2"/>
  <c r="H256" i="2"/>
  <c r="D256" i="2"/>
  <c r="C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K224" i="2"/>
  <c r="A224" i="2"/>
  <c r="H217" i="2"/>
  <c r="D217" i="2"/>
  <c r="C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K185" i="2"/>
  <c r="A185" i="2"/>
  <c r="H182" i="2"/>
  <c r="D182" i="2"/>
  <c r="C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K150" i="2"/>
  <c r="A150" i="2"/>
  <c r="H143" i="2"/>
  <c r="D143" i="2"/>
  <c r="C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K111" i="2"/>
  <c r="A111" i="2"/>
  <c r="H108" i="2"/>
  <c r="D108" i="2"/>
  <c r="C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K76" i="2"/>
  <c r="A76" i="2"/>
  <c r="H69" i="2"/>
  <c r="D69" i="2"/>
  <c r="C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K37" i="2"/>
  <c r="A37" i="2"/>
  <c r="H34" i="2"/>
  <c r="D34" i="2"/>
  <c r="C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G439" i="2" l="1"/>
  <c r="G182" i="2"/>
  <c r="G478" i="2"/>
  <c r="G404" i="2"/>
  <c r="G556" i="3"/>
  <c r="K557" i="3" s="1"/>
  <c r="F570" i="3"/>
  <c r="I43" i="3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17" i="3" s="1"/>
  <c r="I118" i="3" s="1"/>
  <c r="I119" i="3" s="1"/>
  <c r="I120" i="3" s="1"/>
  <c r="I121" i="3" s="1"/>
  <c r="I122" i="3" s="1"/>
  <c r="I123" i="3" s="1"/>
  <c r="I124" i="3" s="1"/>
  <c r="I125" i="3" s="1"/>
  <c r="I34" i="3"/>
  <c r="H570" i="3"/>
  <c r="G69" i="2"/>
  <c r="G108" i="2"/>
  <c r="G143" i="2"/>
  <c r="G34" i="2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G217" i="2"/>
  <c r="G256" i="2"/>
  <c r="G291" i="2"/>
  <c r="G330" i="2"/>
  <c r="G365" i="2"/>
  <c r="H556" i="2"/>
  <c r="H567" i="2" s="1"/>
  <c r="C556" i="2"/>
  <c r="F566" i="2" s="1"/>
  <c r="D556" i="2"/>
  <c r="F567" i="2" s="1"/>
  <c r="H552" i="1"/>
  <c r="G552" i="1"/>
  <c r="D552" i="1"/>
  <c r="C552" i="1"/>
  <c r="K520" i="1"/>
  <c r="A520" i="1"/>
  <c r="H513" i="1"/>
  <c r="G513" i="1"/>
  <c r="D513" i="1"/>
  <c r="C513" i="1"/>
  <c r="K481" i="1"/>
  <c r="A481" i="1"/>
  <c r="H478" i="1"/>
  <c r="D478" i="1"/>
  <c r="C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K446" i="1"/>
  <c r="A446" i="1"/>
  <c r="H439" i="1"/>
  <c r="D439" i="1"/>
  <c r="C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K407" i="1"/>
  <c r="A407" i="1"/>
  <c r="H404" i="1"/>
  <c r="D404" i="1"/>
  <c r="C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K372" i="1"/>
  <c r="A372" i="1"/>
  <c r="H365" i="1"/>
  <c r="D365" i="1"/>
  <c r="C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K333" i="1"/>
  <c r="A333" i="1"/>
  <c r="H330" i="1"/>
  <c r="D330" i="1"/>
  <c r="C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K298" i="1"/>
  <c r="A298" i="1"/>
  <c r="H291" i="1"/>
  <c r="D291" i="1"/>
  <c r="C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K259" i="1"/>
  <c r="A259" i="1"/>
  <c r="H256" i="1"/>
  <c r="D256" i="1"/>
  <c r="C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K224" i="1"/>
  <c r="A224" i="1"/>
  <c r="H217" i="1"/>
  <c r="D217" i="1"/>
  <c r="C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K185" i="1"/>
  <c r="A185" i="1"/>
  <c r="H182" i="1"/>
  <c r="D182" i="1"/>
  <c r="C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K150" i="1"/>
  <c r="A150" i="1"/>
  <c r="H143" i="1"/>
  <c r="D143" i="1"/>
  <c r="C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K111" i="1"/>
  <c r="A111" i="1"/>
  <c r="H108" i="1"/>
  <c r="D108" i="1"/>
  <c r="C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K76" i="1"/>
  <c r="A76" i="1"/>
  <c r="H69" i="1"/>
  <c r="D69" i="1"/>
  <c r="C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K37" i="1"/>
  <c r="A37" i="1"/>
  <c r="H34" i="1"/>
  <c r="D34" i="1"/>
  <c r="C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G108" i="1" l="1"/>
  <c r="G34" i="1"/>
  <c r="G478" i="1"/>
  <c r="G143" i="1"/>
  <c r="G256" i="1"/>
  <c r="G291" i="1"/>
  <c r="G182" i="1"/>
  <c r="G365" i="1"/>
  <c r="G217" i="1"/>
  <c r="I126" i="3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70" i="3"/>
  <c r="C573" i="3" s="1"/>
  <c r="H573" i="3" s="1"/>
  <c r="G556" i="2"/>
  <c r="K557" i="2" s="1"/>
  <c r="F570" i="2"/>
  <c r="H566" i="2"/>
  <c r="H570" i="2" s="1"/>
  <c r="I43" i="2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34" i="2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G69" i="1"/>
  <c r="G330" i="1"/>
  <c r="G404" i="1"/>
  <c r="H556" i="1"/>
  <c r="H567" i="1" s="1"/>
  <c r="G439" i="1"/>
  <c r="C556" i="1"/>
  <c r="F566" i="1" s="1"/>
  <c r="D556" i="1"/>
  <c r="F567" i="1" s="1"/>
  <c r="G556" i="1" l="1"/>
  <c r="K557" i="1" s="1"/>
  <c r="I570" i="2"/>
  <c r="C573" i="2" s="1"/>
  <c r="H573" i="2" s="1"/>
  <c r="F570" i="1"/>
  <c r="H566" i="1"/>
  <c r="H570" i="1" s="1"/>
  <c r="I570" i="1" s="1"/>
  <c r="C573" i="1" s="1"/>
  <c r="H573" i="1" s="1"/>
  <c r="I43" i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34" i="1"/>
</calcChain>
</file>

<file path=xl/sharedStrings.xml><?xml version="1.0" encoding="utf-8"?>
<sst xmlns="http://schemas.openxmlformats.org/spreadsheetml/2006/main" count="9573" uniqueCount="1446">
  <si>
    <t>1ST DAY OF SERVICE:</t>
  </si>
  <si>
    <t>PERIOD</t>
  </si>
  <si>
    <t>PARTICULARS</t>
  </si>
  <si>
    <t>VACATION LEAVE</t>
  </si>
  <si>
    <t>SICK LEEAVE</t>
  </si>
  <si>
    <t>DATE &amp; ACTION</t>
  </si>
  <si>
    <t>EARNED</t>
  </si>
  <si>
    <t>ABS</t>
  </si>
  <si>
    <t>BAL</t>
  </si>
  <si>
    <t>TAKEN ON</t>
  </si>
  <si>
    <t>UND</t>
  </si>
  <si>
    <t xml:space="preserve"> APPLICATION</t>
  </si>
  <si>
    <t>W/P</t>
  </si>
  <si>
    <t>WOP</t>
  </si>
  <si>
    <t>FOR LEAVE</t>
  </si>
  <si>
    <t>Total</t>
  </si>
  <si>
    <t>Page  1</t>
  </si>
  <si>
    <t xml:space="preserve">  </t>
  </si>
  <si>
    <t>Page 2</t>
  </si>
  <si>
    <t>Page  3</t>
  </si>
  <si>
    <t>Page 4</t>
  </si>
  <si>
    <t>Page 5</t>
  </si>
  <si>
    <t>Page 6</t>
  </si>
  <si>
    <t xml:space="preserve"> 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</si>
  <si>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</si>
  <si>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</si>
  <si>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</si>
  <si>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</si>
  <si>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</si>
  <si>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</si>
  <si>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</si>
  <si>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</si>
  <si>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</si>
  <si>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Total Vacation/Sick Leave Earned</t>
  </si>
  <si>
    <t xml:space="preserve">Less:  VL/SL Enjoyed </t>
  </si>
  <si>
    <t xml:space="preserve">          Monetization </t>
  </si>
  <si>
    <t xml:space="preserve">         Undertime/Tardiness</t>
  </si>
  <si>
    <t>Total Balance: VL/SL</t>
  </si>
  <si>
    <t>RATE</t>
  </si>
  <si>
    <t>LEAVE CREDITS</t>
  </si>
  <si>
    <t>CONSTANT FACTOR</t>
  </si>
  <si>
    <t>TERMINAL LEAVE</t>
  </si>
  <si>
    <t>STEPHANINE ANN C. TOLENTINO</t>
  </si>
  <si>
    <t>3/25/2010</t>
  </si>
  <si>
    <t>6 DAYS</t>
  </si>
  <si>
    <t>(01-00-00) SPL-FO</t>
  </si>
  <si>
    <t>5/24/2010</t>
  </si>
  <si>
    <t>(01-00-00) SL</t>
  </si>
  <si>
    <t>8/19/2010</t>
  </si>
  <si>
    <t>9/20-21/2010</t>
  </si>
  <si>
    <t>(02-00-00) SPL-PM</t>
  </si>
  <si>
    <t>10/4-5/2010</t>
  </si>
  <si>
    <t>(02-00-00) SL</t>
  </si>
  <si>
    <t>NICASIO D. CATAPANG</t>
  </si>
  <si>
    <t>APRIL 15, 1985</t>
  </si>
  <si>
    <t>10/1-4/1985</t>
  </si>
  <si>
    <t>(04-00-00) VL</t>
  </si>
  <si>
    <t>(01-00-00) FL</t>
  </si>
  <si>
    <t>FL 1985</t>
  </si>
  <si>
    <t>3/3-7/1986</t>
  </si>
  <si>
    <t>(05-00-00) VL</t>
  </si>
  <si>
    <t>2/23-27/1987</t>
  </si>
  <si>
    <t>FL 1988</t>
  </si>
  <si>
    <t>10/18-21/1988</t>
  </si>
  <si>
    <t>FL 1989</t>
  </si>
  <si>
    <t>(05-00-00) FL</t>
  </si>
  <si>
    <t>4/6-11/1990</t>
  </si>
  <si>
    <t>(03-00-00) SL</t>
  </si>
  <si>
    <t>FL 1991</t>
  </si>
  <si>
    <t>FL 1992</t>
  </si>
  <si>
    <t>FL 1993</t>
  </si>
  <si>
    <t>FL 1994</t>
  </si>
  <si>
    <t>10/24-27&amp;30/1995</t>
  </si>
  <si>
    <t>3/14/1996</t>
  </si>
  <si>
    <t>(01-00-00) VL</t>
  </si>
  <si>
    <t>4/29-30/1996</t>
  </si>
  <si>
    <t>(02-00-00) VL</t>
  </si>
  <si>
    <t>(02-00-00) FL</t>
  </si>
  <si>
    <t>12/23-24/1996</t>
  </si>
  <si>
    <t>9/17/1997</t>
  </si>
  <si>
    <t>11/13/1997</t>
  </si>
  <si>
    <t>(01-00-00) SPL-PM</t>
  </si>
  <si>
    <t>11/5-6&amp;20/1997</t>
  </si>
  <si>
    <t>FL 1997</t>
  </si>
  <si>
    <t>7/20-22/1998</t>
  </si>
  <si>
    <t>9/28-29/1998</t>
  </si>
  <si>
    <t>FL 1998</t>
  </si>
  <si>
    <t>(03-00-00) FL</t>
  </si>
  <si>
    <t>5/10-12/1999</t>
  </si>
  <si>
    <t>5/13-14/1999</t>
  </si>
  <si>
    <t>(03-00-00) SPL-FO</t>
  </si>
  <si>
    <t>(30-00-00) MONETIZATION LEAVE</t>
  </si>
  <si>
    <t>FL 1999</t>
  </si>
  <si>
    <t>FL 2000</t>
  </si>
  <si>
    <t>10/15-17/2001</t>
  </si>
  <si>
    <t>(03-00-00) VL</t>
  </si>
  <si>
    <t>FL 2001</t>
  </si>
  <si>
    <t>5/16-17/2002</t>
  </si>
  <si>
    <t>FL 2002</t>
  </si>
  <si>
    <t>10/13-14/2003</t>
  </si>
  <si>
    <t>(01-00-00) SPL-BURIAL LEAVE</t>
  </si>
  <si>
    <t>FL 2003</t>
  </si>
  <si>
    <t>6/1&amp;4/2004</t>
  </si>
  <si>
    <t>7/27/2004</t>
  </si>
  <si>
    <t>FL 2004</t>
  </si>
  <si>
    <t>(04-00-00) FL</t>
  </si>
  <si>
    <t>2/21/2005</t>
  </si>
  <si>
    <t>5/9-13/2005</t>
  </si>
  <si>
    <t>8/17-19/2005</t>
  </si>
  <si>
    <t>10/20-21/2005</t>
  </si>
  <si>
    <t>10/14/2005</t>
  </si>
  <si>
    <t>4/26-27/2006</t>
  </si>
  <si>
    <t>6/26/2006</t>
  </si>
  <si>
    <t>8/14/2006</t>
  </si>
  <si>
    <t>11/13/2006</t>
  </si>
  <si>
    <t>11/27/2006</t>
  </si>
  <si>
    <t>FL 2006</t>
  </si>
  <si>
    <t>3/26/2007</t>
  </si>
  <si>
    <t>4/2-4/2007</t>
  </si>
  <si>
    <t>4/19/2007</t>
  </si>
  <si>
    <t>6/25/2007</t>
  </si>
  <si>
    <t>11/13/2007</t>
  </si>
  <si>
    <t>1/24-25/2008</t>
  </si>
  <si>
    <t>1/28-2/1/2008</t>
  </si>
  <si>
    <t>1/4,15-17/2008</t>
  </si>
  <si>
    <t>(04-00-00) SL</t>
  </si>
  <si>
    <t>3/26/2008</t>
  </si>
  <si>
    <t>3/18/2008 AM</t>
  </si>
  <si>
    <t>3/27/2008</t>
  </si>
  <si>
    <t>(00-04-00) SL</t>
  </si>
  <si>
    <t>4/16/2008</t>
  </si>
  <si>
    <t>6/2-4/2008</t>
  </si>
  <si>
    <t>6/5-6/2008</t>
  </si>
  <si>
    <t>(03-00-00) SPL-FUNERAL LEAVE</t>
  </si>
  <si>
    <t>(02-00-00) VL - FUNERAL</t>
  </si>
  <si>
    <t>11/13-14/2008</t>
  </si>
  <si>
    <t xml:space="preserve">(02-00-00) VL </t>
  </si>
  <si>
    <t>5/27/2009</t>
  </si>
  <si>
    <t>6/23/2009</t>
  </si>
  <si>
    <t>8/25/2009</t>
  </si>
  <si>
    <t>10/26/2009</t>
  </si>
  <si>
    <t>10/28/2009</t>
  </si>
  <si>
    <t>FL 2009</t>
  </si>
  <si>
    <t>2/16PM-17/2010</t>
  </si>
  <si>
    <t>(01-04-00) SL</t>
  </si>
  <si>
    <t>4/19-22/2010</t>
  </si>
  <si>
    <t>4/23/2010</t>
  </si>
  <si>
    <t>7/20/2010</t>
  </si>
  <si>
    <t>7/28PM-29/2010</t>
  </si>
  <si>
    <t>FL 2010</t>
  </si>
  <si>
    <t>1/24/2010</t>
  </si>
  <si>
    <t>2/21/2011</t>
  </si>
  <si>
    <t>8/1,3-4/2011</t>
  </si>
  <si>
    <t>8/17/2011</t>
  </si>
  <si>
    <t>10/18/2011</t>
  </si>
  <si>
    <t>11/2-4/2011</t>
  </si>
  <si>
    <t>11/14/2011</t>
  </si>
  <si>
    <t>FL 2011</t>
  </si>
  <si>
    <t>5/7-10/2012</t>
  </si>
  <si>
    <t>11/13/2012</t>
  </si>
  <si>
    <t>11/14/2012</t>
  </si>
  <si>
    <t>FL 2012</t>
  </si>
  <si>
    <t>1/9-10/2013</t>
  </si>
  <si>
    <t>2/4-8/2013</t>
  </si>
  <si>
    <t>11/13/2013</t>
  </si>
  <si>
    <t>04/1&amp;3/2014</t>
  </si>
  <si>
    <t>(02-00-00) SPL-FO</t>
  </si>
  <si>
    <t>11/13/2014</t>
  </si>
  <si>
    <t>11/14/2014</t>
  </si>
  <si>
    <t>12/18-19/2014</t>
  </si>
  <si>
    <t>(02-00-00) FL-DISAPPROVED</t>
  </si>
  <si>
    <t>FL 2014</t>
  </si>
  <si>
    <t>10/23/2015</t>
  </si>
  <si>
    <t>1/15-16/2015</t>
  </si>
  <si>
    <t>FL 2015</t>
  </si>
  <si>
    <t>7/22&amp;25/2016</t>
  </si>
  <si>
    <t>11/8-14/2016</t>
  </si>
  <si>
    <t>1/17/2017</t>
  </si>
  <si>
    <t>5/15-16/2017</t>
  </si>
  <si>
    <t>8/25/2017</t>
  </si>
  <si>
    <t>9/29/2017</t>
  </si>
  <si>
    <t>11/13-14/2017</t>
  </si>
  <si>
    <t>3/12-13/2018</t>
  </si>
  <si>
    <t>3/26-27/2018</t>
  </si>
  <si>
    <t>(10-00-00) MONETIZATION LEAVE</t>
  </si>
  <si>
    <t>11/8-9/2018</t>
  </si>
  <si>
    <t>11/12-14/2018</t>
  </si>
  <si>
    <t>(03-00-00) SPL-PM</t>
  </si>
  <si>
    <t>4/23-25/2019</t>
  </si>
  <si>
    <t>4/26/2019</t>
  </si>
  <si>
    <t>(03-00-00) SPL-BURIAL LEAVE</t>
  </si>
  <si>
    <t>10/31/2019</t>
  </si>
  <si>
    <t>11/13-14/2019</t>
  </si>
  <si>
    <t>12/23,26-27/2019</t>
  </si>
  <si>
    <t>12/11,14-17/2020</t>
  </si>
  <si>
    <t>(05-00-00) FL-DISAPPROVED</t>
  </si>
  <si>
    <t>5/23/2021</t>
  </si>
  <si>
    <t>12/20-24/2021</t>
  </si>
  <si>
    <t>1/5-31/2022</t>
  </si>
  <si>
    <t>(19-00-00) SL</t>
  </si>
  <si>
    <t>12/19-23/2022</t>
  </si>
  <si>
    <t>4/18/2023</t>
  </si>
  <si>
    <t>5/22/2023</t>
  </si>
  <si>
    <t>11/14/2013</t>
  </si>
  <si>
    <t>12/11-14/2023</t>
  </si>
  <si>
    <t>(04-00-00) FL-DISAPPROVED</t>
  </si>
  <si>
    <t>11/4-5/2024</t>
  </si>
  <si>
    <t>11/13-14/2024</t>
  </si>
  <si>
    <t>12/18-19/2024</t>
  </si>
  <si>
    <t>8/18/2025</t>
  </si>
  <si>
    <t>FL 1990 &amp; 1991</t>
  </si>
  <si>
    <t>(10-00-00) FL</t>
  </si>
  <si>
    <t>SEPTEMBER 01, 1995</t>
  </si>
  <si>
    <t>8/21-23/1996</t>
  </si>
  <si>
    <t>1/2-3/1997</t>
  </si>
  <si>
    <t>FL 1996</t>
  </si>
  <si>
    <t>4/22-25/1997</t>
  </si>
  <si>
    <t>7/1-3/1998</t>
  </si>
  <si>
    <t>8/19-21/1998</t>
  </si>
  <si>
    <t>11/24-26/1998</t>
  </si>
  <si>
    <t>2/25/1999</t>
  </si>
  <si>
    <t>10/11-12/1999</t>
  </si>
  <si>
    <t>(23-00-00) MONETIZATION LEAVE</t>
  </si>
  <si>
    <t>3/27-28/2000</t>
  </si>
  <si>
    <t>4/3-4/2000</t>
  </si>
  <si>
    <t>4/13/2000</t>
  </si>
  <si>
    <t>4/17-18/2000</t>
  </si>
  <si>
    <t>5/12&amp;15/2000</t>
  </si>
  <si>
    <t>6/16-19/2000</t>
  </si>
  <si>
    <t>8/8-9/2000</t>
  </si>
  <si>
    <t>8/16-18/2000</t>
  </si>
  <si>
    <t>12/20&amp;22/2000</t>
  </si>
  <si>
    <t>1/10-12/2001</t>
  </si>
  <si>
    <t>2/26/2001</t>
  </si>
  <si>
    <t>5/15/2001</t>
  </si>
  <si>
    <t>6/14/2001</t>
  </si>
  <si>
    <t>6/21-22/2001</t>
  </si>
  <si>
    <t>7/3&amp;6/2001</t>
  </si>
  <si>
    <t>7/16-17/2001</t>
  </si>
  <si>
    <t>8/13-15/2001</t>
  </si>
  <si>
    <t>9/6-7/2001</t>
  </si>
  <si>
    <t>10/22/2001</t>
  </si>
  <si>
    <t>11/19/2001</t>
  </si>
  <si>
    <t>12/13/2001</t>
  </si>
  <si>
    <t>1/7-11;16&amp;21/2002</t>
  </si>
  <si>
    <t>(07-00-00) VL</t>
  </si>
  <si>
    <t>4/1-3/2002</t>
  </si>
  <si>
    <t>2/25/2002</t>
  </si>
  <si>
    <t>(02-04-00) SL</t>
  </si>
  <si>
    <t>4/29/2002</t>
  </si>
  <si>
    <t>5/14-15/2002</t>
  </si>
  <si>
    <t>5/16/2002</t>
  </si>
  <si>
    <t>5/13/2002</t>
  </si>
  <si>
    <t>ONAL, EDMON L.</t>
  </si>
  <si>
    <t>7/2&amp;9/2002</t>
  </si>
  <si>
    <t>7/10-11;16-31/2002</t>
  </si>
  <si>
    <t>(15-00-00) VL</t>
  </si>
  <si>
    <t>8/2,5-6/2002</t>
  </si>
  <si>
    <t>8/23/2002 PM</t>
  </si>
  <si>
    <t>8/27-28/2002</t>
  </si>
  <si>
    <t>9/17/2002</t>
  </si>
  <si>
    <t>9/31/2002</t>
  </si>
  <si>
    <t>11/12002</t>
  </si>
  <si>
    <t>10/28-30/2002</t>
  </si>
  <si>
    <t>UT OCT 2002</t>
  </si>
  <si>
    <t>(00-01-57) UT</t>
  </si>
  <si>
    <t>12/2-3/2002</t>
  </si>
  <si>
    <t>1/20/2003</t>
  </si>
  <si>
    <t>1/24-29/2003</t>
  </si>
  <si>
    <t>2/3-7/2003</t>
  </si>
  <si>
    <t>2/19-21/2003</t>
  </si>
  <si>
    <t>(05-00-00) SL</t>
  </si>
  <si>
    <t>3/27/2003 PM</t>
  </si>
  <si>
    <t>4/10-11&amp;21/2003</t>
  </si>
  <si>
    <t>5/5&amp;8/2003</t>
  </si>
  <si>
    <t>5/15/2003</t>
  </si>
  <si>
    <t>UT JAN-MAY 2003</t>
  </si>
  <si>
    <t>(01-04-36) UT</t>
  </si>
  <si>
    <t>6/5-10/2003</t>
  </si>
  <si>
    <t>6/11-20/2003</t>
  </si>
  <si>
    <t>7/21/2003 PM</t>
  </si>
  <si>
    <t>7/28-30/2003</t>
  </si>
  <si>
    <t>(00-04-00) VL</t>
  </si>
  <si>
    <t>8/13-14/2003</t>
  </si>
  <si>
    <t>8/18-19/2003</t>
  </si>
  <si>
    <t>9/19/2003</t>
  </si>
  <si>
    <t>9/18/2003</t>
  </si>
  <si>
    <t>10/9-10;13-15/2003</t>
  </si>
  <si>
    <t>(04-04-00) SL</t>
  </si>
  <si>
    <t>10/16-17;20-22/2003</t>
  </si>
  <si>
    <t>10/26/2003</t>
  </si>
  <si>
    <t>11/12/2003 AM</t>
  </si>
  <si>
    <t>11/27/2003</t>
  </si>
  <si>
    <t>11/1/2003 AM</t>
  </si>
  <si>
    <t>1/5-9/2004</t>
  </si>
  <si>
    <t>1/15PM&amp;19/2004</t>
  </si>
  <si>
    <t>(01-04-00) VL</t>
  </si>
  <si>
    <t>2/19-20/2004</t>
  </si>
  <si>
    <t>2/25/2004</t>
  </si>
  <si>
    <t>3/15/2004</t>
  </si>
  <si>
    <t>3/29/2004 AM</t>
  </si>
  <si>
    <t>4/1/2004 AM</t>
  </si>
  <si>
    <t>4/19-23/2004</t>
  </si>
  <si>
    <t>4/27/2004</t>
  </si>
  <si>
    <t>5/20/2004 PM</t>
  </si>
  <si>
    <t>5/3-7/2004</t>
  </si>
  <si>
    <t>6/14/2004</t>
  </si>
  <si>
    <t>6/15-16/2004</t>
  </si>
  <si>
    <t>(01-00-00) vL</t>
  </si>
  <si>
    <t>6/22/2004 pm</t>
  </si>
  <si>
    <t>7/20/2004</t>
  </si>
  <si>
    <t>7/8pm-9am/2004</t>
  </si>
  <si>
    <t>8/9-10/2004</t>
  </si>
  <si>
    <t>UT JAN-JUNE 2004</t>
  </si>
  <si>
    <t>(00-04-19) UT</t>
  </si>
  <si>
    <t>8/30-31/2004</t>
  </si>
  <si>
    <t>9/13/2004 PM</t>
  </si>
  <si>
    <t>10/25/2004 PM</t>
  </si>
  <si>
    <t>10/8PM&amp;11/2004</t>
  </si>
  <si>
    <t>11/3&amp;8/2004</t>
  </si>
  <si>
    <t>2/1-2/2005</t>
  </si>
  <si>
    <t>2/21/2005 PM</t>
  </si>
  <si>
    <t>UT JAN-FEB 2005</t>
  </si>
  <si>
    <t>(00-00-28) UT</t>
  </si>
  <si>
    <t>3/11/2005 PM</t>
  </si>
  <si>
    <t>4/18/2005</t>
  </si>
  <si>
    <t>5/12-13/2005</t>
  </si>
  <si>
    <t>8/22-24&amp;26/2005</t>
  </si>
  <si>
    <t>8/16/2005</t>
  </si>
  <si>
    <t>9/5PM-6/2005</t>
  </si>
  <si>
    <t>9/15PM/2005</t>
  </si>
  <si>
    <t>9/19PM/2005</t>
  </si>
  <si>
    <t>9/26/2005</t>
  </si>
  <si>
    <t>4/1,4&amp;18/2005</t>
  </si>
  <si>
    <t>10/13PM/2005</t>
  </si>
  <si>
    <t>10/17/2005</t>
  </si>
  <si>
    <t>10/25PM/2005</t>
  </si>
  <si>
    <t>10/27/2005</t>
  </si>
  <si>
    <t>12/6PM/2005</t>
  </si>
  <si>
    <t>FL 2005</t>
  </si>
  <si>
    <t>1/2-6/2005</t>
  </si>
  <si>
    <t>1/23-24/2006</t>
  </si>
  <si>
    <t>2/24/2006</t>
  </si>
  <si>
    <t>2/10PM/2006</t>
  </si>
  <si>
    <t>3/9-10am/2006</t>
  </si>
  <si>
    <t>3/31/2006</t>
  </si>
  <si>
    <t>4/17pm&amp;20/2006</t>
  </si>
  <si>
    <t>4/25/2006</t>
  </si>
  <si>
    <t>5/2-4AM/2006</t>
  </si>
  <si>
    <t>5/22PM/2006</t>
  </si>
  <si>
    <t>6/2&amp;5/2006</t>
  </si>
  <si>
    <t>6/13/2006</t>
  </si>
  <si>
    <t>6/19/2006</t>
  </si>
  <si>
    <t>6/28PM-30/2006</t>
  </si>
  <si>
    <t>UL/UT- FEB 2006</t>
  </si>
  <si>
    <t>7/20/2006</t>
  </si>
  <si>
    <t>(01-00-14) UT/UL</t>
  </si>
  <si>
    <t>8/7-8/2006</t>
  </si>
  <si>
    <t>8/28/2006</t>
  </si>
  <si>
    <t>9/5-7/2006</t>
  </si>
  <si>
    <t>10/30-31/2006</t>
  </si>
  <si>
    <t>12/3-4/2006</t>
  </si>
  <si>
    <t>12/27/2006</t>
  </si>
  <si>
    <t>2/21-23&amp;26AM/2007</t>
  </si>
  <si>
    <t>(03-04-00) SL</t>
  </si>
  <si>
    <t>3/14-16/2007</t>
  </si>
  <si>
    <t>UT JAN-FMARCH 2007</t>
  </si>
  <si>
    <t>(01-06-16) UT</t>
  </si>
  <si>
    <t>4/4,10&amp;12/2007</t>
  </si>
  <si>
    <t>5/7&amp;9/2007</t>
  </si>
  <si>
    <t>5/15-18/2007</t>
  </si>
  <si>
    <t>5/24-25/2007</t>
  </si>
  <si>
    <t>5/28 TO 6/1/2007</t>
  </si>
  <si>
    <t>7/23-29/2007</t>
  </si>
  <si>
    <t>7/30 TO 8/3/2007</t>
  </si>
  <si>
    <t>6/27-29/2007</t>
  </si>
  <si>
    <t>8/8/2007 PM</t>
  </si>
  <si>
    <t>8/14/2007</t>
  </si>
  <si>
    <t>8/23/2007</t>
  </si>
  <si>
    <t>9/24/2007</t>
  </si>
  <si>
    <t>10/30PM-31AM&amp;11/5/26</t>
  </si>
  <si>
    <t>12/18/2007</t>
  </si>
  <si>
    <t>1/17/2008</t>
  </si>
  <si>
    <t>12/21/2007</t>
  </si>
  <si>
    <t>1/24/2008</t>
  </si>
  <si>
    <t>1/31 TO 2/11/2008</t>
  </si>
  <si>
    <t>2/12-20/2008</t>
  </si>
  <si>
    <t>(08-00-00) SL</t>
  </si>
  <si>
    <t>UT APRIL-DEC 2007</t>
  </si>
  <si>
    <t>(02-00-23) UT</t>
  </si>
  <si>
    <t>3/31,4/14&amp;16/2008</t>
  </si>
  <si>
    <t>5/21-23/2008</t>
  </si>
  <si>
    <t>UT JAN-APRIL 2008</t>
  </si>
  <si>
    <t>(01-01-08) UT</t>
  </si>
  <si>
    <t>7/23&amp;25/2008</t>
  </si>
  <si>
    <t>8/11-12/2008</t>
  </si>
  <si>
    <t>9/12PM/2008</t>
  </si>
  <si>
    <t>10/2-3/2008</t>
  </si>
  <si>
    <t>11/11PM-12/2008</t>
  </si>
  <si>
    <t>11/14/2008</t>
  </si>
  <si>
    <t>12/10PM-11/2008</t>
  </si>
  <si>
    <t>1/26PM-27AM/2009</t>
  </si>
  <si>
    <t>2/25/2009</t>
  </si>
  <si>
    <t>3/30 TO 4/1/2009</t>
  </si>
  <si>
    <t>4/24/2009</t>
  </si>
  <si>
    <t>4/20PM-21AM/2009</t>
  </si>
  <si>
    <t>4/27-30/2009</t>
  </si>
  <si>
    <t>5/8&amp;11/2009</t>
  </si>
  <si>
    <t>5/14-15/2009</t>
  </si>
  <si>
    <t>5/29PM TO 6/3/2009</t>
  </si>
  <si>
    <t>(03-04-00) VL</t>
  </si>
  <si>
    <t>7/2-3/2009</t>
  </si>
  <si>
    <t>7/17/2009</t>
  </si>
  <si>
    <t>8/11PM/2009</t>
  </si>
  <si>
    <t>8/18/2009</t>
  </si>
  <si>
    <t>9/22-25/2009</t>
  </si>
  <si>
    <t>10/14-16/2009</t>
  </si>
  <si>
    <t>11/23,25PM-26/2009</t>
  </si>
  <si>
    <t>12/23/2009</t>
  </si>
  <si>
    <t>1/4-6/2010</t>
  </si>
  <si>
    <t>2/19,22&amp;26/2010</t>
  </si>
  <si>
    <t>2/25/2010</t>
  </si>
  <si>
    <t>3/23&amp;29/2010</t>
  </si>
  <si>
    <t>4/13-15/2010</t>
  </si>
  <si>
    <t>4/22-23/2010</t>
  </si>
  <si>
    <t>4/26-27/2010</t>
  </si>
  <si>
    <t>5/19/2010</t>
  </si>
  <si>
    <t>5/31/2010</t>
  </si>
  <si>
    <t>6/16/2010</t>
  </si>
  <si>
    <t>7/5PM-6/2010</t>
  </si>
  <si>
    <t>7/20,23&amp;26/2010</t>
  </si>
  <si>
    <t>8/2-3/2010</t>
  </si>
  <si>
    <t>8/16/2010</t>
  </si>
  <si>
    <t>9/15-17/2010</t>
  </si>
  <si>
    <t>5/3-5/2011</t>
  </si>
  <si>
    <t>7/22/2011</t>
  </si>
  <si>
    <t>11/8-11/2011</t>
  </si>
  <si>
    <t>11/21-15/2011</t>
  </si>
  <si>
    <t>1/9-11/2012</t>
  </si>
  <si>
    <t>2/27/2012</t>
  </si>
  <si>
    <t>5/2-3/2012</t>
  </si>
  <si>
    <t>5/7-13/2012</t>
  </si>
  <si>
    <t>5/14-18/2012</t>
  </si>
  <si>
    <t>5/30 TO 6/1/2012</t>
  </si>
  <si>
    <t>(07-00-00) PETERNITY LEAVE</t>
  </si>
  <si>
    <t>9/17/2012</t>
  </si>
  <si>
    <t>9/19/2012</t>
  </si>
  <si>
    <t>10/8-9/2012</t>
  </si>
  <si>
    <t>12/16&amp;20/2013</t>
  </si>
  <si>
    <t>1/3&amp;6/2014</t>
  </si>
  <si>
    <t>1/29 TO 2/1/2013</t>
  </si>
  <si>
    <t>4/11-13/2013</t>
  </si>
  <si>
    <t>5/23-24/2013</t>
  </si>
  <si>
    <t>7/31/2013</t>
  </si>
  <si>
    <t>10/16-18/2013</t>
  </si>
  <si>
    <t>11/18,21-22/2013</t>
  </si>
  <si>
    <t>12/11-13/2013</t>
  </si>
  <si>
    <t>1/27/2014</t>
  </si>
  <si>
    <t>2/25-26/2014</t>
  </si>
  <si>
    <t>4/28/2014</t>
  </si>
  <si>
    <t>5/13-14/2014</t>
  </si>
  <si>
    <t>6/2-4/2014</t>
  </si>
  <si>
    <t>6/20/2014</t>
  </si>
  <si>
    <t>7/3PM-4/2014</t>
  </si>
  <si>
    <t>6/23-24&amp;27/2014</t>
  </si>
  <si>
    <t>7/21/2014</t>
  </si>
  <si>
    <t>8/11-12/2014</t>
  </si>
  <si>
    <t>8/27-29/2014</t>
  </si>
  <si>
    <t>9/18/2014</t>
  </si>
  <si>
    <t>11/24/2014</t>
  </si>
  <si>
    <t>1/19-23/2015</t>
  </si>
  <si>
    <t>2/20/2015</t>
  </si>
  <si>
    <t>2/17/2015</t>
  </si>
  <si>
    <t>2/25-27/2015</t>
  </si>
  <si>
    <t>1/5-6,12-13&amp;30/2015</t>
  </si>
  <si>
    <t>3/24-25,30 to 4/1/15</t>
  </si>
  <si>
    <t>4/13&amp;17/2015</t>
  </si>
  <si>
    <t>4/24,29-30/2015</t>
  </si>
  <si>
    <t>5/14,18,21-22/2015</t>
  </si>
  <si>
    <t>Page 16</t>
  </si>
  <si>
    <t>Page 17</t>
  </si>
  <si>
    <t>Page 18</t>
  </si>
  <si>
    <t>Page 19</t>
  </si>
  <si>
    <t>Page 20</t>
  </si>
  <si>
    <t>6/25-26/2015</t>
  </si>
  <si>
    <t>7/9-10/2015</t>
  </si>
  <si>
    <t>7/23/2015</t>
  </si>
  <si>
    <t>1/8&amp;18/2016</t>
  </si>
  <si>
    <t>UT 2015</t>
  </si>
  <si>
    <t>(04-00-85) UT</t>
  </si>
  <si>
    <t>2/9-10/2016</t>
  </si>
  <si>
    <t>6/1-3/2016</t>
  </si>
  <si>
    <t>7/15&amp;20/2016</t>
  </si>
  <si>
    <t>8/15/2016</t>
  </si>
  <si>
    <t>8/25-26/2016</t>
  </si>
  <si>
    <t>11/21/2016</t>
  </si>
  <si>
    <t>11/29/2016</t>
  </si>
  <si>
    <t>12/7-8/2016</t>
  </si>
  <si>
    <t>UT 2016</t>
  </si>
  <si>
    <t>(06-00-48) UT</t>
  </si>
  <si>
    <t>2/13/2017</t>
  </si>
  <si>
    <t>2/27/2017</t>
  </si>
  <si>
    <t>2/3PM,7-8/2017</t>
  </si>
  <si>
    <t>2/22/2017</t>
  </si>
  <si>
    <t>4/24 TO 5/12/2017</t>
  </si>
  <si>
    <t>5/16-19/2017</t>
  </si>
  <si>
    <t>5/29/2017</t>
  </si>
  <si>
    <t>(14-00-00) VL</t>
  </si>
  <si>
    <t>6/14/2017</t>
  </si>
  <si>
    <t>9/22/2017</t>
  </si>
  <si>
    <t>8/25,29-31; 9/4-8/2017</t>
  </si>
  <si>
    <t>(09-00-00) SL</t>
  </si>
  <si>
    <t>1/8-12/2018</t>
  </si>
  <si>
    <t>UT 2017</t>
  </si>
  <si>
    <t>(02-00-83) UT</t>
  </si>
  <si>
    <t>2/23,26-27/2018</t>
  </si>
  <si>
    <t>2/28; 3/1-2,5-9,19-28/18</t>
  </si>
  <si>
    <t>(14-04-00) VSL</t>
  </si>
  <si>
    <t>5/17PM/2018</t>
  </si>
  <si>
    <t>5/25&amp;28/2018</t>
  </si>
  <si>
    <t>6/18/2018</t>
  </si>
  <si>
    <t>6/25-27/2018</t>
  </si>
  <si>
    <t>8/24&amp;31/2018</t>
  </si>
  <si>
    <t>9/17-18/2018</t>
  </si>
  <si>
    <t>11/16PM,19-22/2018</t>
  </si>
  <si>
    <t>1/21-22/2019</t>
  </si>
  <si>
    <t>2/26/2019</t>
  </si>
  <si>
    <t>4/22/2019</t>
  </si>
  <si>
    <t>5/14,24 &amp; 6/3pm/19</t>
  </si>
  <si>
    <t>(02-04-00) VL</t>
  </si>
  <si>
    <t>9/2-4/2019</t>
  </si>
  <si>
    <t>9/20/2019</t>
  </si>
  <si>
    <t>8/22/2019</t>
  </si>
  <si>
    <t>9/25-27/2019</t>
  </si>
  <si>
    <t>10/28/2019</t>
  </si>
  <si>
    <t>11/8,11-12/2019</t>
  </si>
  <si>
    <t>(03-00-00) VSL</t>
  </si>
  <si>
    <t>FL 2019</t>
  </si>
  <si>
    <t>(02-04-00) FL</t>
  </si>
  <si>
    <t>2/26/2020</t>
  </si>
  <si>
    <t>9/25/2020</t>
  </si>
  <si>
    <t>12/14-18/2020</t>
  </si>
  <si>
    <t>1/22/2021</t>
  </si>
  <si>
    <t>2/15/2021</t>
  </si>
  <si>
    <t>2/26/2021</t>
  </si>
  <si>
    <t>2/16/2021</t>
  </si>
  <si>
    <t>12/13-17/2021</t>
  </si>
  <si>
    <t>12/27/2021</t>
  </si>
  <si>
    <t>1/28/2022</t>
  </si>
  <si>
    <t>4/21-22/2022</t>
  </si>
  <si>
    <t>4/29/2022</t>
  </si>
  <si>
    <t>5/20/2022</t>
  </si>
  <si>
    <t>6/29/2022</t>
  </si>
  <si>
    <t>9/6-9/2022</t>
  </si>
  <si>
    <t>2/3,23&amp;27/2023</t>
  </si>
  <si>
    <t>2/6&amp;20/2023</t>
  </si>
  <si>
    <t>8/3-4 &amp; 7-11/2023</t>
  </si>
  <si>
    <t>9/4-6/2023</t>
  </si>
  <si>
    <t>10/13&amp;16/2023</t>
  </si>
  <si>
    <t>11/20/2023</t>
  </si>
  <si>
    <t>1/18-19/2024</t>
  </si>
  <si>
    <t>3/25-26/2024</t>
  </si>
  <si>
    <t>5/14-15/2024</t>
  </si>
  <si>
    <t>5/21/2024</t>
  </si>
  <si>
    <t>5/17,22-24,27-31/24</t>
  </si>
  <si>
    <t>(09-00-00) VL</t>
  </si>
  <si>
    <t>6/3-21&amp;25/2024</t>
  </si>
  <si>
    <t>(14-00-00) SL</t>
  </si>
  <si>
    <t>8/21-22/2024</t>
  </si>
  <si>
    <t>9/2-6&amp;9/2024</t>
  </si>
  <si>
    <t>(06-00-00) VL-FUNERAL LEAVE</t>
  </si>
  <si>
    <t>9/25 TO 10/1/2024</t>
  </si>
  <si>
    <t>7/8-9/2024</t>
  </si>
  <si>
    <t>12/23/2024</t>
  </si>
  <si>
    <t>2/27-28/2025</t>
  </si>
  <si>
    <t>3/3-5/2025</t>
  </si>
  <si>
    <t>2/24-25 &amp; 3/6-14/25</t>
  </si>
  <si>
    <t>3/19 TO 5/30/2025</t>
  </si>
  <si>
    <t>(48-00-00) VSL</t>
  </si>
  <si>
    <t>6/18,20,24-30&amp;7/1-3/25</t>
  </si>
  <si>
    <t>7/21/2025</t>
  </si>
  <si>
    <t>(10-00-00) VSL</t>
  </si>
  <si>
    <t>Page 21</t>
  </si>
  <si>
    <t>Page 22</t>
  </si>
  <si>
    <t>Page 23</t>
  </si>
  <si>
    <t>FL 2025</t>
  </si>
  <si>
    <t>CATAPANG, CRISPIN JR. D.</t>
  </si>
  <si>
    <t>AUGUST 02, 1995</t>
  </si>
  <si>
    <t>3/16-20/1998</t>
  </si>
  <si>
    <t>3/22-24/1999</t>
  </si>
  <si>
    <t>5/3PM-4/1999</t>
  </si>
  <si>
    <t>9/1-2/1999</t>
  </si>
  <si>
    <t>12/20-21/1999</t>
  </si>
  <si>
    <t>12-1999</t>
  </si>
  <si>
    <t>6/13-15/2000</t>
  </si>
  <si>
    <t>2/28 TO 3/2/2001</t>
  </si>
  <si>
    <t>10/15-19/2001</t>
  </si>
  <si>
    <t>2/15&amp;18/2002</t>
  </si>
  <si>
    <t>3/19&amp;26/2002</t>
  </si>
  <si>
    <t>4/2pm/2002</t>
  </si>
  <si>
    <t>5/27/2002</t>
  </si>
  <si>
    <t>7/16-17/2002</t>
  </si>
  <si>
    <t>9/2-3/2002</t>
  </si>
  <si>
    <t>11/14PM-15AM/02</t>
  </si>
  <si>
    <t>6/25-27/2003</t>
  </si>
  <si>
    <t>5/22-23/2003</t>
  </si>
  <si>
    <t>6/7-8/2004</t>
  </si>
  <si>
    <t>8/23-24/2004</t>
  </si>
  <si>
    <t>8/25/2004</t>
  </si>
  <si>
    <t>9/20-22/2004</t>
  </si>
  <si>
    <t>11/23-26/2004</t>
  </si>
  <si>
    <t>UT 2004</t>
  </si>
  <si>
    <t>2/3-4/2005</t>
  </si>
  <si>
    <t>(00-02-00) UT</t>
  </si>
  <si>
    <t>2/23-24/2005</t>
  </si>
  <si>
    <t>7/21-22&amp;25/2005</t>
  </si>
  <si>
    <t>9/21/2005</t>
  </si>
  <si>
    <t>9/27PM-28/2005</t>
  </si>
  <si>
    <t>10/17-21/2005</t>
  </si>
  <si>
    <t>12/28-29/2006</t>
  </si>
  <si>
    <t>4/3-4/2006</t>
  </si>
  <si>
    <t>6/19-23/2006</t>
  </si>
  <si>
    <t>7/24-25/2006</t>
  </si>
  <si>
    <t>9/7-8&amp;11/2006</t>
  </si>
  <si>
    <t>10/9-13/2006</t>
  </si>
  <si>
    <t>UT 2006</t>
  </si>
  <si>
    <t>(00-00-05) UT</t>
  </si>
  <si>
    <t>2/12-142007</t>
  </si>
  <si>
    <t>6/4-5/2007</t>
  </si>
  <si>
    <t>7/6&amp;9/2007</t>
  </si>
  <si>
    <t>7/23/2007</t>
  </si>
  <si>
    <t>9/3PM,4PM-6/2007</t>
  </si>
  <si>
    <t>10/8-16/2007</t>
  </si>
  <si>
    <t>10/17-19/2007</t>
  </si>
  <si>
    <t>11/13PM-16/2007</t>
  </si>
  <si>
    <t>10/30PM TO 11/1/2007</t>
  </si>
  <si>
    <t>12/14&amp;17/2007</t>
  </si>
  <si>
    <t>UT 2007</t>
  </si>
  <si>
    <t>(02-00-32) UT</t>
  </si>
  <si>
    <t>1/7-11/2008</t>
  </si>
  <si>
    <t>1/28/2008</t>
  </si>
  <si>
    <t>3/17-19/2008</t>
  </si>
  <si>
    <t>3/31/2008</t>
  </si>
  <si>
    <t>6/2-3/2008</t>
  </si>
  <si>
    <t>6/23-24/2008</t>
  </si>
  <si>
    <t>7/22/2008</t>
  </si>
  <si>
    <t>8/4 TO 9/8/2008</t>
  </si>
  <si>
    <t>9/26/2008</t>
  </si>
  <si>
    <t>(24-00-00) SL</t>
  </si>
  <si>
    <t>12/9-10/2008</t>
  </si>
  <si>
    <t>UT 2008</t>
  </si>
  <si>
    <t>(00-00-58) UT</t>
  </si>
  <si>
    <t>3/11&amp;13/2009</t>
  </si>
  <si>
    <t>4/20PM-22/2009</t>
  </si>
  <si>
    <t>5/25AM/2009</t>
  </si>
  <si>
    <t>7/13/2009</t>
  </si>
  <si>
    <t>9/17-18/2009</t>
  </si>
  <si>
    <t>12/7-8/2009</t>
  </si>
  <si>
    <t>12/22-23/2009</t>
  </si>
  <si>
    <t>2/22-23/2010</t>
  </si>
  <si>
    <t>9/14-15/2010</t>
  </si>
  <si>
    <t>9/29-30/2010</t>
  </si>
  <si>
    <t>10/18,21-26/2010</t>
  </si>
  <si>
    <t>11/30/2010</t>
  </si>
  <si>
    <t>12/7-10/2010</t>
  </si>
  <si>
    <t>12/20-23/2010</t>
  </si>
  <si>
    <t>5/2-6/2011</t>
  </si>
  <si>
    <t>7/25-27AM/2011</t>
  </si>
  <si>
    <t>8/1-3/2011</t>
  </si>
  <si>
    <t>9/8-9/2011</t>
  </si>
  <si>
    <t>9/16/2011</t>
  </si>
  <si>
    <t>10/10-11/2011</t>
  </si>
  <si>
    <t>10/24-31/2011</t>
  </si>
  <si>
    <t>(06-00-00) VL</t>
  </si>
  <si>
    <t>3/5-7/2012</t>
  </si>
  <si>
    <t>3/12-13/2012</t>
  </si>
  <si>
    <t>5/25-27/2012</t>
  </si>
  <si>
    <t>6/4-5/2012</t>
  </si>
  <si>
    <t>7/2-3/2012</t>
  </si>
  <si>
    <t>7/19PM/2012</t>
  </si>
  <si>
    <t>10/21/2012</t>
  </si>
  <si>
    <t>1/8-9/2013</t>
  </si>
  <si>
    <t>1/2-4/2013</t>
  </si>
  <si>
    <t>2/4-6/2013</t>
  </si>
  <si>
    <t>2/7-8/2013</t>
  </si>
  <si>
    <t>2/11-12/2013</t>
  </si>
  <si>
    <t>3/11-14/2013</t>
  </si>
  <si>
    <t>3/25PM-27/2013</t>
  </si>
  <si>
    <t>7/8-15/2013</t>
  </si>
  <si>
    <t>(06-00-00) SL</t>
  </si>
  <si>
    <t>8/22-23/2013</t>
  </si>
  <si>
    <t>9/16/2013</t>
  </si>
  <si>
    <t>9/30/2013</t>
  </si>
  <si>
    <t>12/9-10/2013</t>
  </si>
  <si>
    <t>6/30/2014</t>
  </si>
  <si>
    <t>3/3-4/2014</t>
  </si>
  <si>
    <t>3/3-4/2015</t>
  </si>
  <si>
    <t>3/27/2015</t>
  </si>
  <si>
    <t>4/7-8&amp;10/2015</t>
  </si>
  <si>
    <t>4/20-21/2015</t>
  </si>
  <si>
    <t>5/29/2015</t>
  </si>
  <si>
    <t>6/8-11/2015</t>
  </si>
  <si>
    <t>6/29/2015</t>
  </si>
  <si>
    <t>8/24/2015</t>
  </si>
  <si>
    <t>10/2&amp;5/2015</t>
  </si>
  <si>
    <t>11/5-20/2015</t>
  </si>
  <si>
    <t>(12-00-00) VL</t>
  </si>
  <si>
    <t>11/2AM&amp;4/2015</t>
  </si>
  <si>
    <t>12/7-15/2015</t>
  </si>
  <si>
    <t>12/16-22/2015</t>
  </si>
  <si>
    <t>1/11-12/2016</t>
  </si>
  <si>
    <t>1/22&amp;25/2016</t>
  </si>
  <si>
    <t>(02-06-24) UT</t>
  </si>
  <si>
    <t>2/15-17/2016</t>
  </si>
  <si>
    <t>3/28/2016</t>
  </si>
  <si>
    <t>3/30-31/2016</t>
  </si>
  <si>
    <t>4/21-26/2016</t>
  </si>
  <si>
    <t>5/10-13/2016</t>
  </si>
  <si>
    <t>5/6,16-17/2016</t>
  </si>
  <si>
    <t>6/27/2016</t>
  </si>
  <si>
    <t>7/14-15/2016</t>
  </si>
  <si>
    <t>8/18-19/2016</t>
  </si>
  <si>
    <t>9/13-16/2016</t>
  </si>
  <si>
    <t>10/13-19/2016</t>
  </si>
  <si>
    <t>11/14/2016</t>
  </si>
  <si>
    <t>FL 2016</t>
  </si>
  <si>
    <t>(02-05-42) UT</t>
  </si>
  <si>
    <t>3/24/2017</t>
  </si>
  <si>
    <t>7/4-5/2017</t>
  </si>
  <si>
    <t>8/9-7/2017</t>
  </si>
  <si>
    <t>8/29-31/2017</t>
  </si>
  <si>
    <t>9/25/2017</t>
  </si>
  <si>
    <t>11/13-14;16-17/2017</t>
  </si>
  <si>
    <t>11/20-21/2017</t>
  </si>
  <si>
    <t>FL 2017</t>
  </si>
  <si>
    <t>(00-04-20) UT</t>
  </si>
  <si>
    <t>3/5-6/2018</t>
  </si>
  <si>
    <t>4/16/2018</t>
  </si>
  <si>
    <t>4/30/2018</t>
  </si>
  <si>
    <t>6/25/2018</t>
  </si>
  <si>
    <t>7/23-28/2018</t>
  </si>
  <si>
    <t>8/2018</t>
  </si>
  <si>
    <t>8/20/2018</t>
  </si>
  <si>
    <t>10/25-26/2018</t>
  </si>
  <si>
    <t>12/19-21,27-28/2018</t>
  </si>
  <si>
    <t>1/21/2019</t>
  </si>
  <si>
    <t>UT 2018</t>
  </si>
  <si>
    <t>(00-05-50)</t>
  </si>
  <si>
    <t>4/15-16/2019</t>
  </si>
  <si>
    <t>4/24/2019</t>
  </si>
  <si>
    <t>5/20/2019</t>
  </si>
  <si>
    <t>6/17-18/2019</t>
  </si>
  <si>
    <t>9/25/2019</t>
  </si>
  <si>
    <t>10/14-15/2019</t>
  </si>
  <si>
    <t>2/16&amp;20/2019</t>
  </si>
  <si>
    <t>UT 2019</t>
  </si>
  <si>
    <t>(00-05-36) UT</t>
  </si>
  <si>
    <t>1/2-3/2020</t>
  </si>
  <si>
    <t>1/16&amp;24/2020</t>
  </si>
  <si>
    <t>3/2-4/2020</t>
  </si>
  <si>
    <t>6/17PM-19/2020</t>
  </si>
  <si>
    <t>12/17-18;21-23/2020</t>
  </si>
  <si>
    <t>UT 2020</t>
  </si>
  <si>
    <t>(00-01-52) UT</t>
  </si>
  <si>
    <t>3/2&amp;4/2021</t>
  </si>
  <si>
    <t>3/17/2021</t>
  </si>
  <si>
    <t>3/18/2021</t>
  </si>
  <si>
    <t>5/24-28;6/1-4/2021</t>
  </si>
  <si>
    <t>(10-00-00) VL</t>
  </si>
  <si>
    <t>UT 2021</t>
  </si>
  <si>
    <t>(00-05-51) UT</t>
  </si>
  <si>
    <t>3/3-4/2022</t>
  </si>
  <si>
    <t>3/14/2022</t>
  </si>
  <si>
    <t>4/13/2022</t>
  </si>
  <si>
    <t>4/18/2022</t>
  </si>
  <si>
    <t>5/23-25/2022</t>
  </si>
  <si>
    <t>7/21-22/2022</t>
  </si>
  <si>
    <t>8/15-17/2022</t>
  </si>
  <si>
    <t>12/5-9&amp;15/2022</t>
  </si>
  <si>
    <t>FL 2022</t>
  </si>
  <si>
    <t>1/30/2022</t>
  </si>
  <si>
    <t>3/1-3/2023</t>
  </si>
  <si>
    <t>3/9-10/2023</t>
  </si>
  <si>
    <t>3/22-24/2023</t>
  </si>
  <si>
    <t>5/24/2023</t>
  </si>
  <si>
    <t>8/14/2023</t>
  </si>
  <si>
    <t>10/6,9-10/2023</t>
  </si>
  <si>
    <t>10/23/2023</t>
  </si>
  <si>
    <t>12/20-21/2023</t>
  </si>
  <si>
    <t>12/22-28/2023</t>
  </si>
  <si>
    <t>12/15/2023</t>
  </si>
  <si>
    <t>UT 2023</t>
  </si>
  <si>
    <t>(00-00-25) UT</t>
  </si>
  <si>
    <t>MINUTE</t>
  </si>
  <si>
    <t>HOURS</t>
  </si>
  <si>
    <t>1/31/2024</t>
  </si>
  <si>
    <t>2/14-16/2024</t>
  </si>
  <si>
    <t>5/6-8/2024</t>
  </si>
  <si>
    <t>5/15PM-16/2024</t>
  </si>
  <si>
    <t>5/24/2024</t>
  </si>
  <si>
    <t>6/13-14/2024</t>
  </si>
  <si>
    <t>7/29/2024</t>
  </si>
  <si>
    <t>10/11;14-15/2024</t>
  </si>
  <si>
    <t>10/28/2024</t>
  </si>
  <si>
    <t>12/13;16-19/2024</t>
  </si>
  <si>
    <t>UT 2024</t>
  </si>
  <si>
    <t>(02-01-42) UT</t>
  </si>
  <si>
    <t>1/2-3&amp;6/2025</t>
  </si>
  <si>
    <t>3/24-25/2025</t>
  </si>
  <si>
    <t>4/21/2025</t>
  </si>
  <si>
    <t>6/19-20&amp;23/2025</t>
  </si>
  <si>
    <t>6/16/2025</t>
  </si>
  <si>
    <t>9/29-30/2025</t>
  </si>
  <si>
    <t>10/27/2025</t>
  </si>
  <si>
    <t>12/26&amp;29/2025</t>
  </si>
  <si>
    <t>12/15-16/2025</t>
  </si>
  <si>
    <t>1/19/2026</t>
  </si>
  <si>
    <t>MARASIGAN, JAIME R.</t>
  </si>
  <si>
    <t>JANUARY 18, 1999</t>
  </si>
  <si>
    <t>13 DAYS</t>
  </si>
  <si>
    <t>10/24-26/2000</t>
  </si>
  <si>
    <t>10/27/2000</t>
  </si>
  <si>
    <t>3/27-28/2001</t>
  </si>
  <si>
    <t>5/21-24/2001</t>
  </si>
  <si>
    <t>1/2-4/2002</t>
  </si>
  <si>
    <t>6/13-14/2002</t>
  </si>
  <si>
    <t>3/25-26/2003</t>
  </si>
  <si>
    <t>4/10-11/2003</t>
  </si>
  <si>
    <t>5/29-30/2003</t>
  </si>
  <si>
    <t>12/2-5/2003</t>
  </si>
  <si>
    <t>7/30 TO 8/9/2004</t>
  </si>
  <si>
    <t>(07-00-00) PATERNITY LEAVE</t>
  </si>
  <si>
    <t>9/29 TO 10/5/2004</t>
  </si>
  <si>
    <t>10/7-8/2004</t>
  </si>
  <si>
    <t>4/15/2005</t>
  </si>
  <si>
    <t>9/28/2005</t>
  </si>
  <si>
    <t>UT 2005</t>
  </si>
  <si>
    <t>(00-00-39) UT</t>
  </si>
  <si>
    <t>5/11-12/2006</t>
  </si>
  <si>
    <t>7/12-14/2006</t>
  </si>
  <si>
    <t>(03-00-00) PATERNITY LEAVE</t>
  </si>
  <si>
    <t>9/11-12/2006</t>
  </si>
  <si>
    <t>10/23/2006</t>
  </si>
  <si>
    <t>12/21-29/2006</t>
  </si>
  <si>
    <t>(02-00-00) PATERNITY LEAVE</t>
  </si>
  <si>
    <t>1/22-23/2007</t>
  </si>
  <si>
    <t>1/26/2007 pm</t>
  </si>
  <si>
    <t>4/22/2007</t>
  </si>
  <si>
    <t>7/3&amp;9/2007</t>
  </si>
  <si>
    <t>9/17/2007</t>
  </si>
  <si>
    <t>10/30PM-31/2007</t>
  </si>
  <si>
    <t>(00-00-50) UT</t>
  </si>
  <si>
    <t>3/28/2008</t>
  </si>
  <si>
    <t>5/30PM/2008</t>
  </si>
  <si>
    <t>6/16&amp;23/2008</t>
  </si>
  <si>
    <t>9/8-10/2008</t>
  </si>
  <si>
    <t>9/11PM-12/2008</t>
  </si>
  <si>
    <t>FL 2007</t>
  </si>
  <si>
    <t xml:space="preserve">(05-00-00) FL  </t>
  </si>
  <si>
    <t>12/16-19PM/2008</t>
  </si>
  <si>
    <t>(03-04-00) FL-DISAPPROVED</t>
  </si>
  <si>
    <t>12/21-23; 28-29/2009</t>
  </si>
  <si>
    <t>12/13-17/2010</t>
  </si>
  <si>
    <t>7/5&amp;7/2011</t>
  </si>
  <si>
    <t>3/22-23/2012</t>
  </si>
  <si>
    <t>8/20-21/2012</t>
  </si>
  <si>
    <t>9/19-21/2012</t>
  </si>
  <si>
    <t>4/29-30&amp;5/2/2013</t>
  </si>
  <si>
    <t>05/03&amp;6-10/2013</t>
  </si>
  <si>
    <t>5/13-17&amp;20-22/2013</t>
  </si>
  <si>
    <t>(08-00-00) VL</t>
  </si>
  <si>
    <t>6/18-21/2013</t>
  </si>
  <si>
    <t>9/23-30 TO 10/11/2013</t>
  </si>
  <si>
    <t>(15-00-00) FL</t>
  </si>
  <si>
    <t>3/25-27/2015</t>
  </si>
  <si>
    <t>6/23/2015</t>
  </si>
  <si>
    <t>(45-00-00) MONETIZATION LEAVE</t>
  </si>
  <si>
    <t>12/19-23/2016</t>
  </si>
  <si>
    <t>1/13/2017</t>
  </si>
  <si>
    <t>5/15/2017</t>
  </si>
  <si>
    <t>5/16/2017</t>
  </si>
  <si>
    <t>7/21/2017</t>
  </si>
  <si>
    <t>12/27-29/2017</t>
  </si>
  <si>
    <t>3/12-13&amp;26/2018</t>
  </si>
  <si>
    <t>9/12-14/2018</t>
  </si>
  <si>
    <t>12/2018</t>
  </si>
  <si>
    <t>FL 2018</t>
  </si>
  <si>
    <t>9/5-6/2019</t>
  </si>
  <si>
    <t>12/12/19-1/3/20</t>
  </si>
  <si>
    <t>(12-00-00) SL</t>
  </si>
  <si>
    <t>11/2020</t>
  </si>
  <si>
    <t>12/21-23,28-29/2020</t>
  </si>
  <si>
    <t>FL 2021</t>
  </si>
  <si>
    <t>FL 2023</t>
  </si>
  <si>
    <t>5/29-31/2024</t>
  </si>
  <si>
    <t>6/26-28/2024</t>
  </si>
  <si>
    <t>12/20/2024</t>
  </si>
  <si>
    <t>FL 2024</t>
  </si>
  <si>
    <t>11/4-7/2025</t>
  </si>
  <si>
    <t>11/10-27/2025</t>
  </si>
  <si>
    <t>11/28;12/1-2/2025</t>
  </si>
  <si>
    <t>12/3-9/2025</t>
  </si>
  <si>
    <t>10/10/25-1/8/2026</t>
  </si>
  <si>
    <t>(15-00-00) SL</t>
  </si>
  <si>
    <t>2/16/2026</t>
  </si>
  <si>
    <t>2/18-20/2026</t>
  </si>
  <si>
    <t>2/23-25/2026</t>
  </si>
  <si>
    <t>2/26-27/2026</t>
  </si>
  <si>
    <t>(03-00-00) WL</t>
  </si>
  <si>
    <t>(02-00-00) WL</t>
  </si>
  <si>
    <t>RETIRED</t>
  </si>
  <si>
    <t>DATE OF COMMUTATION</t>
  </si>
  <si>
    <t>DATE OF APPOINTMENT</t>
  </si>
  <si>
    <t>TOTAL LENGTH OF SERVICE</t>
  </si>
  <si>
    <t>2026          03          01</t>
  </si>
  <si>
    <t>1999          01          18</t>
  </si>
  <si>
    <t xml:space="preserve">     27          01           13</t>
  </si>
  <si>
    <t>MARIA LEA D. DIMAANO</t>
  </si>
  <si>
    <t>MARCH 25, 2013</t>
  </si>
  <si>
    <t>8/19/2013</t>
  </si>
  <si>
    <t>12/19-27/2013</t>
  </si>
  <si>
    <t>4/14-16AM/2014</t>
  </si>
  <si>
    <t>11/25/2014</t>
  </si>
  <si>
    <t>2/18-27/2026</t>
  </si>
  <si>
    <t>12/17-23/2014</t>
  </si>
  <si>
    <t>4/7-8/2015</t>
  </si>
  <si>
    <t>4/16-17/2015</t>
  </si>
  <si>
    <t>9/7-11/2015</t>
  </si>
  <si>
    <t>10/26-11/2AM&amp;11/3/15</t>
  </si>
  <si>
    <t>(04-05-00) SL</t>
  </si>
  <si>
    <t>12/8-9/2015</t>
  </si>
  <si>
    <t>1/8,14-15/2016</t>
  </si>
  <si>
    <t>(03-00-00) SEL-CALAMITY</t>
  </si>
  <si>
    <t>1/18/2016</t>
  </si>
  <si>
    <t>2/12,16-17/2016</t>
  </si>
  <si>
    <t>3/31/2016</t>
  </si>
  <si>
    <t>4/22/2016</t>
  </si>
  <si>
    <t>5/19&amp;25/2016</t>
  </si>
  <si>
    <t>9/15,20&amp;23/2016</t>
  </si>
  <si>
    <t>10/17/2016</t>
  </si>
  <si>
    <t>12/14-16;27-28/2016</t>
  </si>
  <si>
    <t>2/20-21/2017</t>
  </si>
  <si>
    <t>5/5&amp;15/2017</t>
  </si>
  <si>
    <t>8/11&amp;18/2017</t>
  </si>
  <si>
    <t>11/22-24/2017</t>
  </si>
  <si>
    <t>12/14-15&amp;22/2017</t>
  </si>
  <si>
    <t>1/17/2018</t>
  </si>
  <si>
    <t>5/2-3/2018</t>
  </si>
  <si>
    <t>5/16-17/2018</t>
  </si>
  <si>
    <t>(10-00-00)MONETIZATION LEAVE</t>
  </si>
  <si>
    <t>10/31/2018</t>
  </si>
  <si>
    <t>12/6-7,27-28/2018</t>
  </si>
  <si>
    <t>1/10-11/2019</t>
  </si>
  <si>
    <t>2/26&amp;28;3/1/2019</t>
  </si>
  <si>
    <t>10/29-30/2019</t>
  </si>
  <si>
    <t>UT AUG-NOV 2019</t>
  </si>
  <si>
    <t>7/13 TO 8/31/2020</t>
  </si>
  <si>
    <t>(35-00-00) SL</t>
  </si>
  <si>
    <t>UT JAN-JUNE 2020</t>
  </si>
  <si>
    <t>12/14,16,21,23&amp;29/20</t>
  </si>
  <si>
    <t>3/16-18/2022</t>
  </si>
  <si>
    <t>3/28-31;4/1/2022</t>
  </si>
  <si>
    <t>7/22/2022</t>
  </si>
  <si>
    <t>10/44-12/2022</t>
  </si>
  <si>
    <t>11/24-25;12/22-23&amp;26/22</t>
  </si>
  <si>
    <t xml:space="preserve">(05-00-00) FL </t>
  </si>
  <si>
    <t>1/20/2023</t>
  </si>
  <si>
    <t>2/13/2023</t>
  </si>
  <si>
    <t>2/22-23/2023</t>
  </si>
  <si>
    <t>3/14-16/2023</t>
  </si>
  <si>
    <t>5/24-26/2023</t>
  </si>
  <si>
    <t>5/31&amp;6/1/2023</t>
  </si>
  <si>
    <t>8/22/2023</t>
  </si>
  <si>
    <t>9/15/2023</t>
  </si>
  <si>
    <t>12/15,28-29/2023</t>
  </si>
  <si>
    <t>(02-04-50) UT</t>
  </si>
  <si>
    <t>1/26/2024</t>
  </si>
  <si>
    <t>2/19/2024</t>
  </si>
  <si>
    <t>6/13&amp;21/2024</t>
  </si>
  <si>
    <t>10/29/2024</t>
  </si>
  <si>
    <t>3/7&amp;26/2025</t>
  </si>
  <si>
    <t>5/21-23/2025</t>
  </si>
  <si>
    <t>6/3-5/2025</t>
  </si>
  <si>
    <t>7/30/2025</t>
  </si>
  <si>
    <t>8/19-20&amp;22/2025</t>
  </si>
  <si>
    <t>12/15-19/2025</t>
  </si>
  <si>
    <t>2/28/26-DECEASED</t>
  </si>
  <si>
    <t>2/28/2026</t>
  </si>
  <si>
    <t>LEONAR, RONALD C.</t>
  </si>
  <si>
    <t>JANUARY 15, 1982</t>
  </si>
  <si>
    <t>16 DAYS</t>
  </si>
  <si>
    <t>1/12-15/1987</t>
  </si>
  <si>
    <t>FL JUNE 1986 START</t>
  </si>
  <si>
    <t>FL 1987</t>
  </si>
  <si>
    <t>FL 1990</t>
  </si>
  <si>
    <t>8/31 TO 9/4/1992</t>
  </si>
  <si>
    <t>2/22-26/1993</t>
  </si>
  <si>
    <t>3/15-16/1993</t>
  </si>
  <si>
    <t>7/24/1995</t>
  </si>
  <si>
    <t>8/2-4/1995</t>
  </si>
  <si>
    <t>10/10-11&amp;20/1995</t>
  </si>
  <si>
    <t>UT 1995</t>
  </si>
  <si>
    <t>FL 1995</t>
  </si>
  <si>
    <t>2/5-7/1996</t>
  </si>
  <si>
    <t>4/15-17/1996</t>
  </si>
  <si>
    <t>8/1-2/1996</t>
  </si>
  <si>
    <t>UT 1996</t>
  </si>
  <si>
    <t>2/19 TO 3/4/1997</t>
  </si>
  <si>
    <t>3/3-7/1997</t>
  </si>
  <si>
    <t>4/21-22/1997</t>
  </si>
  <si>
    <t>6/30 TO 7/1/1997</t>
  </si>
  <si>
    <t>6/16-17/1997</t>
  </si>
  <si>
    <t>8/29/1997</t>
  </si>
  <si>
    <t>UT 1997</t>
  </si>
  <si>
    <t>4/29-30/1998</t>
  </si>
  <si>
    <t>6/8-11/1998</t>
  </si>
  <si>
    <t>9/1-4/1998</t>
  </si>
  <si>
    <t>9/24/1998</t>
  </si>
  <si>
    <t>11/24PM-25/1998</t>
  </si>
  <si>
    <t>(00-04-00) FL</t>
  </si>
  <si>
    <t>12/1999</t>
  </si>
  <si>
    <t>6/26-30/2000</t>
  </si>
  <si>
    <t>7/3-7;12/14/2000</t>
  </si>
  <si>
    <t>1/22-24/2001</t>
  </si>
  <si>
    <t>1/25-26/2001</t>
  </si>
  <si>
    <t>(03-00-00) SPL-MOURNING LEAVE</t>
  </si>
  <si>
    <t>(02-00-00) VL-MOURNING LEAVE</t>
  </si>
  <si>
    <t>8/7-14/2001</t>
  </si>
  <si>
    <t>8/15-17/2001</t>
  </si>
  <si>
    <t>9/17-24/2001</t>
  </si>
  <si>
    <t>7/18-19;22-23/2002</t>
  </si>
  <si>
    <t>7/29 TO 8/27/2002</t>
  </si>
  <si>
    <t>(22-00-00) VL</t>
  </si>
  <si>
    <t>8/28 TO 9/27/2002</t>
  </si>
  <si>
    <t>(24-00-00) VL</t>
  </si>
  <si>
    <t>12/9-15/2003</t>
  </si>
  <si>
    <t>12/16/2003</t>
  </si>
  <si>
    <t>3/23 TO 4/06/2004</t>
  </si>
  <si>
    <t>(11-00-00) VL</t>
  </si>
  <si>
    <t>9/13-30/2004</t>
  </si>
  <si>
    <t>2/28 TO 3/4/2005</t>
  </si>
  <si>
    <t>6/16-30/2005</t>
  </si>
  <si>
    <t>7/4-29/2005</t>
  </si>
  <si>
    <t>(20-00-00) VL</t>
  </si>
  <si>
    <t>9/5-9/2005</t>
  </si>
  <si>
    <t>10/19-20&amp;23/2006</t>
  </si>
  <si>
    <t>10/24-17/2006</t>
  </si>
  <si>
    <t>7/13/2007</t>
  </si>
  <si>
    <t>3/27-31/2008</t>
  </si>
  <si>
    <t>4/9-11/2008</t>
  </si>
  <si>
    <t>11/4-6/2008</t>
  </si>
  <si>
    <t>11/10-12/2008</t>
  </si>
  <si>
    <t>11/20-21&amp;24/2008</t>
  </si>
  <si>
    <t>FL 2008</t>
  </si>
  <si>
    <t>5/28-29&amp;6/1/2009</t>
  </si>
  <si>
    <t>7/7 TO 10/30/2009</t>
  </si>
  <si>
    <t>(82-00-00) SL</t>
  </si>
  <si>
    <t>10/9/2009</t>
  </si>
  <si>
    <t>(40-00-00) MONETIZATION LEAVE</t>
  </si>
  <si>
    <t>8/16-20/2010</t>
  </si>
  <si>
    <t>10/20-22/2010</t>
  </si>
  <si>
    <t>3/14-16/2011</t>
  </si>
  <si>
    <t>4/25-27/2011</t>
  </si>
  <si>
    <t>5/18-20/2011</t>
  </si>
  <si>
    <t>10/17-18/2011</t>
  </si>
  <si>
    <t>10/19/2011</t>
  </si>
  <si>
    <t>1/17-23/2012</t>
  </si>
  <si>
    <t>2/26-28/2012</t>
  </si>
  <si>
    <t>5/8-10/2012</t>
  </si>
  <si>
    <t>8/8-17/2012</t>
  </si>
  <si>
    <t>8/31/2012</t>
  </si>
  <si>
    <t>(26-00-00) SL</t>
  </si>
  <si>
    <t>11/16-18/2012</t>
  </si>
  <si>
    <t>7/20 TO 8/29/2012</t>
  </si>
  <si>
    <t>FL 2013</t>
  </si>
  <si>
    <t>UT 2014</t>
  </si>
  <si>
    <t>2/26,29; 3/1/2016</t>
  </si>
  <si>
    <t>5/27,30 to 6/2/2016</t>
  </si>
  <si>
    <t>6/16-17&amp;20/2016</t>
  </si>
  <si>
    <t>9/26-30/2016</t>
  </si>
  <si>
    <t>2/17,20-21/2017</t>
  </si>
  <si>
    <t>3/13-17/2017</t>
  </si>
  <si>
    <t>11/23-24&amp;27/2017</t>
  </si>
  <si>
    <t>5/27-29/2018</t>
  </si>
  <si>
    <t>9/30-10/2/2018</t>
  </si>
  <si>
    <t>1/25 TO 3/22/2019</t>
  </si>
  <si>
    <t>(41-00-00) SL</t>
  </si>
  <si>
    <t>1/26-28/2020</t>
  </si>
  <si>
    <t>5/31 TO 6/2/2020</t>
  </si>
  <si>
    <t>FL 2020</t>
  </si>
  <si>
    <t>9/8-10/2021</t>
  </si>
  <si>
    <t>9/11-13/2021</t>
  </si>
  <si>
    <t>11/10,13,16,19&amp;22/21</t>
  </si>
  <si>
    <t>7/2022</t>
  </si>
  <si>
    <t>(60-00-00) MONETIZATION LEAVE</t>
  </si>
  <si>
    <t>9/5-9/2022</t>
  </si>
  <si>
    <t>9/21-26/2022</t>
  </si>
  <si>
    <t>9/27-29/2022</t>
  </si>
  <si>
    <t>10/12&amp;15/2022</t>
  </si>
  <si>
    <t>11/14-18/2022</t>
  </si>
  <si>
    <t>11/29 TO 12/3/2022</t>
  </si>
  <si>
    <t>12/09/22 - 1/1/2023</t>
  </si>
  <si>
    <t>(20-00-00) SL</t>
  </si>
  <si>
    <t>1/26-28/2023</t>
  </si>
  <si>
    <t>4/1-3/2023</t>
  </si>
  <si>
    <t>6/30 TO 7/2/2023</t>
  </si>
  <si>
    <t>10/10-12/2023</t>
  </si>
  <si>
    <t>11/17-19/2023</t>
  </si>
  <si>
    <t>12/19-21/2024</t>
  </si>
  <si>
    <t>6/9-16/2024</t>
  </si>
  <si>
    <t>(08-00-00) VL-MOURNING LEAVE</t>
  </si>
  <si>
    <t>7/12-14/2024</t>
  </si>
  <si>
    <t>4/13-17/2026</t>
  </si>
  <si>
    <t>GOZAR, SOFIA A.</t>
  </si>
  <si>
    <t>MAY 01, 2000</t>
  </si>
  <si>
    <t>5/28 TO 6/1/2001</t>
  </si>
  <si>
    <t>2/14PM-15/2002</t>
  </si>
  <si>
    <t>9/18/2002</t>
  </si>
  <si>
    <t>3/31 TO 4/1/2004</t>
  </si>
  <si>
    <t>4/29/2004</t>
  </si>
  <si>
    <t>10/8-12/2004</t>
  </si>
  <si>
    <t>10/25-29/2004</t>
  </si>
  <si>
    <t>1/26 TO 3/4/2005</t>
  </si>
  <si>
    <t>(27-00-00) SL</t>
  </si>
  <si>
    <t>10/10-12/2005</t>
  </si>
  <si>
    <t>11/2-3/2005</t>
  </si>
  <si>
    <t>2/23-24/2006</t>
  </si>
  <si>
    <t>2/20/2007</t>
  </si>
  <si>
    <t>3/30/2007</t>
  </si>
  <si>
    <t>9/18/2007</t>
  </si>
  <si>
    <t>12/26-28/2007</t>
  </si>
  <si>
    <t>3/18/2008</t>
  </si>
  <si>
    <t>5/5-9/2008</t>
  </si>
  <si>
    <t>6/10-11/2008</t>
  </si>
  <si>
    <t>9/18/2008</t>
  </si>
  <si>
    <t>10/14/2008</t>
  </si>
  <si>
    <t>3/9PM/2009</t>
  </si>
  <si>
    <t>9/18/2009</t>
  </si>
  <si>
    <t>10/29-30AM/2009</t>
  </si>
  <si>
    <t>12/17-18,21-23/2009</t>
  </si>
  <si>
    <t>5/11-13/2010</t>
  </si>
  <si>
    <t>5/14/2010</t>
  </si>
  <si>
    <t>UT  2010</t>
  </si>
  <si>
    <t>3/3-4/2011</t>
  </si>
  <si>
    <t>4/15/2011</t>
  </si>
  <si>
    <t>12/12-16/2011</t>
  </si>
  <si>
    <t>12/27-29/2011</t>
  </si>
  <si>
    <t>1/18&amp;19/2012</t>
  </si>
  <si>
    <t>12/17-21/2012</t>
  </si>
  <si>
    <t>1/17-18/2013</t>
  </si>
  <si>
    <t>4/5,8,10-12/2013</t>
  </si>
  <si>
    <t>8/27 TO 9/2/2013</t>
  </si>
  <si>
    <t>9/18/2013</t>
  </si>
  <si>
    <t>12/18-20/2013</t>
  </si>
  <si>
    <t>12/26-27/2013</t>
  </si>
  <si>
    <t>5/29-30/2014</t>
  </si>
  <si>
    <t>10/22-24/2014</t>
  </si>
  <si>
    <t>10/27-29/2014</t>
  </si>
  <si>
    <t>12/18-29/2014</t>
  </si>
  <si>
    <t>10/22/2015</t>
  </si>
  <si>
    <t>10/28/2015</t>
  </si>
  <si>
    <t>12/7-11/2015</t>
  </si>
  <si>
    <t>12/21-23/2015</t>
  </si>
  <si>
    <t>1/4-8/2016</t>
  </si>
  <si>
    <t>(05-00-00) SEL-CALAMITY</t>
  </si>
  <si>
    <t>2/18&amp;19/2016</t>
  </si>
  <si>
    <t>4/15/2016</t>
  </si>
  <si>
    <t>6/15-17/2016</t>
  </si>
  <si>
    <t>6/24/2016</t>
  </si>
  <si>
    <t>11/14-18/2016</t>
  </si>
  <si>
    <t>1/18-20/2017</t>
  </si>
  <si>
    <t>6/30; 7/6-7/2017</t>
  </si>
  <si>
    <t>7/28/2017</t>
  </si>
  <si>
    <t>7/31/2017</t>
  </si>
  <si>
    <t>12/26-27/2017</t>
  </si>
  <si>
    <t>12/28-29/2017</t>
  </si>
  <si>
    <t>11/29&amp;12/1/2017</t>
  </si>
  <si>
    <t>4/23-27/2018</t>
  </si>
  <si>
    <t>4/30; 5/7-8/2018</t>
  </si>
  <si>
    <t>5/24-25,30 TO 6/1/18</t>
  </si>
  <si>
    <t>7/19-20/2018</t>
  </si>
  <si>
    <t>7/26-27/2018</t>
  </si>
  <si>
    <t>6/13-14/2019</t>
  </si>
  <si>
    <t>12/19-20,23,26-27/2019</t>
  </si>
  <si>
    <t>12/17-18&amp;23/2020</t>
  </si>
  <si>
    <t>12/3-4,9-11/2020</t>
  </si>
  <si>
    <t>1/29 TO 2/1/2021</t>
  </si>
  <si>
    <t>9/29-30;10/1/2021</t>
  </si>
  <si>
    <t>12/15-17/2021</t>
  </si>
  <si>
    <t>12/20-23/2021</t>
  </si>
  <si>
    <t>5/4-5/2022</t>
  </si>
  <si>
    <t>10/10-12/2022</t>
  </si>
  <si>
    <t>12/23,26-29/2022</t>
  </si>
  <si>
    <t>3/15-16/2023</t>
  </si>
  <si>
    <t>(01-00-00) SPL-EL</t>
  </si>
  <si>
    <t>10/11-13/2023</t>
  </si>
  <si>
    <t>10/31; 11/6-7/2023</t>
  </si>
  <si>
    <t>5/20-22/2024</t>
  </si>
  <si>
    <t>12/19-20,23,26-27/2024</t>
  </si>
  <si>
    <t>11/25-26/2024</t>
  </si>
  <si>
    <t>6/10-27/2025</t>
  </si>
  <si>
    <t>(13-00-00) VL</t>
  </si>
  <si>
    <t>GOZAR, RICHILIEU A.</t>
  </si>
  <si>
    <t>JANUARY 19, 1987</t>
  </si>
  <si>
    <t>12 DAYS</t>
  </si>
  <si>
    <t>9/7-11/1987</t>
  </si>
  <si>
    <t>5/25-27/1988</t>
  </si>
  <si>
    <t>7/5-7/1988</t>
  </si>
  <si>
    <t>10/12-14/1988</t>
  </si>
  <si>
    <t>1/17-20/1989</t>
  </si>
  <si>
    <t>4/12-14/1989</t>
  </si>
  <si>
    <t>8/1-4/1989</t>
  </si>
  <si>
    <t>1/29 TO 2/2/1990</t>
  </si>
  <si>
    <t>5/14-16/1990</t>
  </si>
  <si>
    <t>7/16-20/1990</t>
  </si>
  <si>
    <t>9/26-28/1990</t>
  </si>
  <si>
    <t>11/12-13/1990</t>
  </si>
  <si>
    <t>5/30-31/1991</t>
  </si>
  <si>
    <t>5/18-22/1992</t>
  </si>
  <si>
    <t>8/26 TO 9/4/1992</t>
  </si>
  <si>
    <t>UT 1992</t>
  </si>
  <si>
    <t>10/11-13/193</t>
  </si>
  <si>
    <t>11/23-26/1993</t>
  </si>
  <si>
    <t>11/29 TO 12/3/1993</t>
  </si>
  <si>
    <t>2/2-4/1994</t>
  </si>
  <si>
    <t>CASTILLO, MEYNARDO P.</t>
  </si>
  <si>
    <t>(03-00-00) SPL</t>
  </si>
  <si>
    <t>8/22-24/2012</t>
  </si>
  <si>
    <t>11/19-23/12</t>
  </si>
  <si>
    <t>10/29-31/2013</t>
  </si>
  <si>
    <t>3/17-19/13</t>
  </si>
  <si>
    <t>8/13-15/2014</t>
  </si>
  <si>
    <t xml:space="preserve">7 DAYS </t>
  </si>
  <si>
    <t>4/25/2015  TO 5/4/2015</t>
  </si>
  <si>
    <t>(02-00-00) MOURNING LEAVE</t>
  </si>
  <si>
    <t>9/7-8/2015</t>
  </si>
  <si>
    <t>5/30/2016 TO 6/3/2016</t>
  </si>
  <si>
    <t>5/15&amp;22/2017</t>
  </si>
  <si>
    <t>(03-00-0) SPL-FO</t>
  </si>
  <si>
    <t>6/19-20/2017</t>
  </si>
  <si>
    <t>6/21-23/2017</t>
  </si>
  <si>
    <t>12/26-29/2017</t>
  </si>
  <si>
    <t xml:space="preserve">(04-00-00) FL </t>
  </si>
  <si>
    <t>(01-0-00) SL</t>
  </si>
  <si>
    <t>3/26-28-2018</t>
  </si>
  <si>
    <t>4/2-6/2018</t>
  </si>
  <si>
    <t xml:space="preserve">(10-00-00) MONETIZATION LEAVE </t>
  </si>
  <si>
    <t>4/29-30/2019</t>
  </si>
  <si>
    <t>5/2-3 &amp; 6/2019</t>
  </si>
  <si>
    <t>10/28-31/2019</t>
  </si>
  <si>
    <t xml:space="preserve">(01-00-00) SL </t>
  </si>
  <si>
    <t xml:space="preserve">(02-00-00) SPL </t>
  </si>
  <si>
    <t>9/25/2020 &amp; 10/2/2020</t>
  </si>
  <si>
    <t>12/ 7-9,11&amp;24/2020</t>
  </si>
  <si>
    <t>12/15-29/2020</t>
  </si>
  <si>
    <t xml:space="preserve">(01-00-00) SPL-EL </t>
  </si>
  <si>
    <t xml:space="preserve">(03-00-00) SPL-EL </t>
  </si>
  <si>
    <t>2/2-4/2022</t>
  </si>
  <si>
    <t xml:space="preserve">(05-00-00) VL </t>
  </si>
  <si>
    <t>8/22-26/2022</t>
  </si>
  <si>
    <t>(04-00-00) VL-MOURNING LEAVE</t>
  </si>
  <si>
    <t>10/11-14/2022</t>
  </si>
  <si>
    <t>11/2-4/2022</t>
  </si>
  <si>
    <t>11/7-11/2022</t>
  </si>
  <si>
    <t xml:space="preserve">(14-00-00) VL </t>
  </si>
  <si>
    <t>4/11-28/2023</t>
  </si>
  <si>
    <t>(00-01-25) UT</t>
  </si>
  <si>
    <t>JANUARY - AUGUST 2023</t>
  </si>
  <si>
    <t>11/27-29/2023</t>
  </si>
  <si>
    <t xml:space="preserve">(01-00-00) SPL </t>
  </si>
  <si>
    <t>3/25-27/2024</t>
  </si>
  <si>
    <t>6/4-7/2024</t>
  </si>
  <si>
    <t>4/12/2024 &amp; 5/3/2024</t>
  </si>
  <si>
    <t>8/7-9/2024</t>
  </si>
  <si>
    <t>8/27-30/2024</t>
  </si>
  <si>
    <t>8/14-21/2024</t>
  </si>
  <si>
    <t>(00-05-24) UT</t>
  </si>
  <si>
    <t>JULY - SEPTEMBER 2024</t>
  </si>
  <si>
    <t>11/5 &amp; 14/2024</t>
  </si>
  <si>
    <t>1/2-3/2025</t>
  </si>
  <si>
    <t>2/11/2025 &amp; 3/12/2025</t>
  </si>
  <si>
    <t>4/10-11&amp;14/2025</t>
  </si>
  <si>
    <t>4/21-28/2025</t>
  </si>
  <si>
    <t>10/12/2024 UT</t>
  </si>
  <si>
    <t>12/1-5/2025</t>
  </si>
  <si>
    <t>1/5-6/2026</t>
  </si>
  <si>
    <t>2/5-6/2026</t>
  </si>
  <si>
    <t xml:space="preserve">(01-00-00) WL </t>
  </si>
  <si>
    <t>4/22-24/2026</t>
  </si>
  <si>
    <t>4/27-28/2026</t>
  </si>
  <si>
    <t>4/29-30/2026</t>
  </si>
  <si>
    <t>(02-00-00) SPL-SPA</t>
  </si>
  <si>
    <t>(03-00-00) SPL-SPA</t>
  </si>
  <si>
    <t>8/3-7/2015</t>
  </si>
  <si>
    <t>9/9-18/2015 &amp; 11/2-6/2015</t>
  </si>
  <si>
    <t xml:space="preserve">MENDOZA, LINAFE A. </t>
  </si>
  <si>
    <t>(01-00-00) SPL-PO</t>
  </si>
  <si>
    <t xml:space="preserve">(01-00-00) SPL-EMERGENCY LEAVE </t>
  </si>
  <si>
    <t>9/24/2013</t>
  </si>
  <si>
    <t>10/16-17/2013</t>
  </si>
  <si>
    <t>10/24-26 &amp; 31 AM /2013</t>
  </si>
  <si>
    <t>(01-00-00) SPL</t>
  </si>
  <si>
    <t>6/5-6/2014</t>
  </si>
  <si>
    <t>MAY UT</t>
  </si>
  <si>
    <t xml:space="preserve">(01-00-00) SPL-AL </t>
  </si>
  <si>
    <t>11/6-7/2014</t>
  </si>
  <si>
    <t>UT NOV- DEC 2014</t>
  </si>
  <si>
    <t>UT JAN-FEB</t>
  </si>
  <si>
    <t xml:space="preserve">(02-00-00) FL </t>
  </si>
  <si>
    <t>7/7-8/2015</t>
  </si>
  <si>
    <t>8/11-14/2015</t>
  </si>
  <si>
    <t>12/17&amp; 28-29/2015</t>
  </si>
  <si>
    <t>UT OCT-DEC 2015</t>
  </si>
  <si>
    <t>3/22/2016 &amp; 4/7/2016</t>
  </si>
  <si>
    <t>(01-00-000 SL</t>
  </si>
  <si>
    <t>10/2-3/2016</t>
  </si>
  <si>
    <t>12/27-28/2016</t>
  </si>
  <si>
    <t>2/20/2017 TO 3/17/2017</t>
  </si>
  <si>
    <t>4/17-18/2017</t>
  </si>
  <si>
    <t>5/8/2017 TO 6/2/2017</t>
  </si>
  <si>
    <t>17/18-20/2017</t>
  </si>
  <si>
    <t>9/15 &amp;20/2017</t>
  </si>
  <si>
    <t>11/2&amp;10/2017</t>
  </si>
  <si>
    <t>8/29-30/2018</t>
  </si>
  <si>
    <t>2/11-12/2019</t>
  </si>
  <si>
    <t>8/15-16/2019</t>
  </si>
  <si>
    <t>12/19-21 &amp; 27-28/2018</t>
  </si>
  <si>
    <t>1/9-10/2020</t>
  </si>
  <si>
    <t>10/12-13,19-20,27/2020</t>
  </si>
  <si>
    <t>12/9-11,14-15/2020</t>
  </si>
  <si>
    <t xml:space="preserve">(05-00-00) FL - DISAPPROVED </t>
  </si>
  <si>
    <t>7/28-29/2021</t>
  </si>
  <si>
    <t>12/13,15,17,20,22/2021</t>
  </si>
  <si>
    <t>12/27&amp;29/2021</t>
  </si>
  <si>
    <t>UT FEBRUARY 2022</t>
  </si>
  <si>
    <t>UT JANUARY 2022</t>
  </si>
  <si>
    <t>(07-00-00) SL</t>
  </si>
  <si>
    <t>8/18-19,22-26/2022</t>
  </si>
  <si>
    <t>12/19,21,23,27-28/2022</t>
  </si>
  <si>
    <t>2/7-8/2023</t>
  </si>
  <si>
    <t>4/3-5/2023</t>
  </si>
  <si>
    <t>(01-00-00) SPL -FO</t>
  </si>
  <si>
    <t>9/25-26/2023</t>
  </si>
  <si>
    <t>10/26-27/2023</t>
  </si>
  <si>
    <t>12/18-20/2023</t>
  </si>
  <si>
    <t xml:space="preserve">(02-00-00) SL </t>
  </si>
  <si>
    <t>11/30 2023 &amp; 12/1/2023</t>
  </si>
  <si>
    <t>(00-00-43) UT</t>
  </si>
  <si>
    <t>12/9-13-2024</t>
  </si>
  <si>
    <t>(01-00-00) WL</t>
  </si>
  <si>
    <t>(01-00-00) SPL-F.O</t>
  </si>
  <si>
    <t>(02-00-00) SPL-F.O</t>
  </si>
  <si>
    <t>8/26-27/2010</t>
  </si>
  <si>
    <t>(04-03-41) UT</t>
  </si>
  <si>
    <t>1/10-12/2011</t>
  </si>
  <si>
    <t>(01-04-00) FL</t>
  </si>
  <si>
    <t>3/23-25/2011</t>
  </si>
  <si>
    <t>3/28 &amp; 31AM /2011</t>
  </si>
  <si>
    <t>10/3PM-4/2011</t>
  </si>
  <si>
    <t>(03-00-00) SPL-P.O</t>
  </si>
  <si>
    <t>(01-00-00) SPL-P.O</t>
  </si>
  <si>
    <t>4/23-27/2023</t>
  </si>
  <si>
    <t>7/12-13/2012</t>
  </si>
  <si>
    <t xml:space="preserve">(02-00-00) VL  </t>
  </si>
  <si>
    <t xml:space="preserve">(05-00-00) VL  </t>
  </si>
  <si>
    <t>8/2-3/2012</t>
  </si>
  <si>
    <t>8/6-10/2012</t>
  </si>
  <si>
    <t xml:space="preserve">(03-00-00) FL </t>
  </si>
  <si>
    <t>5/5-17/2013</t>
  </si>
  <si>
    <t xml:space="preserve">(03-00-00) VL </t>
  </si>
  <si>
    <t>7/8-10/2013</t>
  </si>
  <si>
    <t>12/16-17/2013</t>
  </si>
  <si>
    <t>12/18,26-27/2013</t>
  </si>
  <si>
    <t xml:space="preserve">(01-00-00) EL </t>
  </si>
  <si>
    <t>1/13/2024</t>
  </si>
  <si>
    <t>3/28/2014 &amp; 4/1/2014</t>
  </si>
  <si>
    <t xml:space="preserve">(03-00-00) SL </t>
  </si>
  <si>
    <t>4/23-25/2014</t>
  </si>
  <si>
    <t>6/23-30/2014</t>
  </si>
  <si>
    <t>1/22-25/2014</t>
  </si>
  <si>
    <t>3/25-27/2014</t>
  </si>
  <si>
    <t>3/30-31/2015</t>
  </si>
  <si>
    <t>4/23,27-29/2015</t>
  </si>
  <si>
    <t>8/3-5/2015</t>
  </si>
  <si>
    <t>8/6-7/2015</t>
  </si>
  <si>
    <t>11/24-26/2015</t>
  </si>
  <si>
    <t>1/11-13/2016</t>
  </si>
  <si>
    <t>1/5-7/2016</t>
  </si>
  <si>
    <t>(01-04-40) UT</t>
  </si>
  <si>
    <t>3/3-4/2016</t>
  </si>
  <si>
    <t>12/12-15/2016</t>
  </si>
  <si>
    <t>(03-00-00) SPL-F.O</t>
  </si>
  <si>
    <t>1/4-6/2017</t>
  </si>
  <si>
    <t xml:space="preserve">(01-01-50) UT </t>
  </si>
  <si>
    <t>(10-00-00) STUDY LEAVE</t>
  </si>
  <si>
    <t>3/13-24/2017</t>
  </si>
  <si>
    <t>6/20,27-28/2017</t>
  </si>
  <si>
    <t>6/29-30/2017</t>
  </si>
  <si>
    <t>9/12-15/2017</t>
  </si>
  <si>
    <t>12/18 &amp; 29/2017</t>
  </si>
  <si>
    <t>(02-01-33) UT</t>
  </si>
  <si>
    <t>4/23-25/2018</t>
  </si>
  <si>
    <t>12/13-14,26-28/2018</t>
  </si>
  <si>
    <t>(00-07-20) UT</t>
  </si>
  <si>
    <t>7/18-19/2019</t>
  </si>
  <si>
    <t>7/22-23/2019</t>
  </si>
  <si>
    <t>(00-03-56) UT</t>
  </si>
  <si>
    <t>(00-31-00) UT</t>
  </si>
  <si>
    <t>(00-02-33)</t>
  </si>
  <si>
    <t>JANUARY 6, 2020</t>
  </si>
  <si>
    <t>(05-00-00) FL-DISAPPPROVED</t>
  </si>
  <si>
    <t>(00-00-29) UT</t>
  </si>
  <si>
    <t>(00-00-07) UT</t>
  </si>
  <si>
    <t>10/18-19/2021</t>
  </si>
  <si>
    <t>10/20-21/2021</t>
  </si>
  <si>
    <t xml:space="preserve">(02-00-00) FL-DISAPPROVED </t>
  </si>
  <si>
    <t>12/16-17/2021</t>
  </si>
  <si>
    <t>(00-02-38) UT</t>
  </si>
  <si>
    <t>3/22-24/2022</t>
  </si>
  <si>
    <t>12/9,12-13,26/2022</t>
  </si>
  <si>
    <t>8/14-15/2023</t>
  </si>
  <si>
    <t>(02-00-00) SPL</t>
  </si>
  <si>
    <t>(00-03-04) UT</t>
  </si>
  <si>
    <t>10/3 &amp; 10/2023</t>
  </si>
  <si>
    <t xml:space="preserve">(05-00-00) FL-DISAPPROVED </t>
  </si>
  <si>
    <t>12/18-22/2023</t>
  </si>
  <si>
    <t>(00-06-36) UT</t>
  </si>
  <si>
    <t>UT 10-12/2023</t>
  </si>
  <si>
    <t>(00-02-22) UT</t>
  </si>
  <si>
    <t>5/10,13/2024</t>
  </si>
  <si>
    <t>(00-03-18) UT</t>
  </si>
  <si>
    <t>(00-04-18) UT</t>
  </si>
  <si>
    <t>9/18/2024 TO 11/11/2024</t>
  </si>
  <si>
    <t>12/26-27/2024</t>
  </si>
  <si>
    <t>(01-00-00) UL</t>
  </si>
  <si>
    <t>(00-03-51) UT</t>
  </si>
  <si>
    <t>7/10-11/2025</t>
  </si>
  <si>
    <t>8/5 &amp;22/2025</t>
  </si>
  <si>
    <t>8/28-29/2025</t>
  </si>
  <si>
    <t>12/23 &amp; 26/2025</t>
  </si>
  <si>
    <t>12/ 17-18/2025</t>
  </si>
  <si>
    <t>(05-00-00) WL</t>
  </si>
  <si>
    <t>(60-00-00) MAGNA CARTA FOR WOMEN</t>
  </si>
  <si>
    <t>4/13-15/2026</t>
  </si>
  <si>
    <t>4/20-22; 27-28/2026</t>
  </si>
  <si>
    <t>2/9/2026 TO 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</si>
</sst>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;[Red]0.000"/>
    <numFmt numFmtId="165" formatCode="[$-409]mmmm\ d\,\ yyyy;@"/>
    <numFmt numFmtId="166" formatCode="0.000"/>
    <numFmt numFmtId="167" formatCode="0.00;[Red]0.00"/>
    <numFmt numFmtId="168" formatCode="0;[Red]0"/>
    <numFmt numFmtId="169" formatCode="0.0;[Red]0.0"/>
    <numFmt numFmtId="170" formatCode="_(* #,##0.00_);_(* \(#,##0.00\);_(* &quot;-&quot;??_);_(@_)"/>
    <numFmt numFmtId="171" formatCode="0.0000000;[Red]0.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/>
    </xf>
    <xf numFmtId="165" fontId="2" fillId="0" borderId="0" xfId="0" quotePrefix="1" applyNumberFormat="1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14" fontId="3" fillId="0" borderId="10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center"/>
    </xf>
    <xf numFmtId="0" fontId="3" fillId="0" borderId="10" xfId="0" applyFont="1" applyBorder="1"/>
    <xf numFmtId="165" fontId="3" fillId="0" borderId="10" xfId="0" quotePrefix="1" applyNumberFormat="1" applyFont="1" applyBorder="1" applyAlignment="1">
      <alignment horizontal="left"/>
    </xf>
    <xf numFmtId="166" fontId="3" fillId="0" borderId="10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/>
    <xf numFmtId="164" fontId="3" fillId="0" borderId="7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7" fontId="3" fillId="0" borderId="10" xfId="0" applyNumberFormat="1" applyFont="1" applyBorder="1" applyAlignment="1">
      <alignment horizontal="center"/>
    </xf>
    <xf numFmtId="16" fontId="3" fillId="0" borderId="10" xfId="0" quotePrefix="1" applyNumberFormat="1" applyFont="1" applyBorder="1" applyAlignment="1">
      <alignment horizontal="left"/>
    </xf>
    <xf numFmtId="168" fontId="3" fillId="0" borderId="10" xfId="0" applyNumberFormat="1" applyFont="1" applyBorder="1" applyAlignment="1">
      <alignment horizontal="center"/>
    </xf>
    <xf numFmtId="169" fontId="3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3" fillId="0" borderId="10" xfId="0" quotePrefix="1" applyNumberFormat="1" applyFont="1" applyBorder="1" applyAlignment="1">
      <alignment horizontal="left"/>
    </xf>
    <xf numFmtId="167" fontId="2" fillId="0" borderId="10" xfId="0" applyNumberFormat="1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7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43" fontId="4" fillId="0" borderId="0" xfId="1" applyFont="1" applyBorder="1"/>
    <xf numFmtId="170" fontId="2" fillId="0" borderId="0" xfId="0" applyNumberFormat="1" applyFont="1" applyAlignment="1">
      <alignment horizontal="left" vertical="top"/>
    </xf>
    <xf numFmtId="14" fontId="3" fillId="0" borderId="10" xfId="0" applyNumberFormat="1" applyFont="1" applyBorder="1"/>
    <xf numFmtId="14" fontId="3" fillId="2" borderId="10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 vertical="center"/>
    </xf>
    <xf numFmtId="164" fontId="3" fillId="2" borderId="10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5" fontId="3" fillId="2" borderId="10" xfId="0" quotePrefix="1" applyNumberFormat="1" applyFont="1" applyFill="1" applyBorder="1" applyAlignment="1">
      <alignment horizontal="left"/>
    </xf>
    <xf numFmtId="0" fontId="3" fillId="2" borderId="0" xfId="0" applyFont="1" applyFill="1"/>
    <xf numFmtId="0" fontId="3" fillId="2" borderId="10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10" xfId="0" applyFont="1" applyFill="1" applyBorder="1"/>
    <xf numFmtId="14" fontId="3" fillId="2" borderId="7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4" fillId="0" borderId="0" xfId="1" applyFont="1" applyFill="1" applyBorder="1"/>
    <xf numFmtId="17" fontId="3" fillId="0" borderId="10" xfId="0" applyNumberFormat="1" applyFont="1" applyBorder="1" applyAlignment="1">
      <alignment horizontal="left"/>
    </xf>
    <xf numFmtId="14" fontId="5" fillId="0" borderId="10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64" fontId="6" fillId="0" borderId="0" xfId="0" applyNumberFormat="1" applyFont="1" applyAlignment="1">
      <alignment horizontal="center"/>
    </xf>
    <xf numFmtId="0" fontId="3" fillId="0" borderId="10" xfId="0" quotePrefix="1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0" xfId="0" applyFont="1" applyBorder="1"/>
    <xf numFmtId="0" fontId="7" fillId="0" borderId="0" xfId="0" applyFont="1"/>
    <xf numFmtId="0" fontId="8" fillId="0" borderId="10" xfId="0" applyFont="1" applyBorder="1" applyAlignment="1">
      <alignment horizontal="center"/>
    </xf>
    <xf numFmtId="0" fontId="8" fillId="2" borderId="10" xfId="0" applyFont="1" applyFill="1" applyBorder="1"/>
    <xf numFmtId="168" fontId="3" fillId="2" borderId="10" xfId="0" applyNumberFormat="1" applyFont="1" applyFill="1" applyBorder="1" applyAlignment="1">
      <alignment horizontal="center"/>
    </xf>
    <xf numFmtId="0" fontId="3" fillId="0" borderId="9" xfId="0" applyFont="1" applyBorder="1"/>
    <xf numFmtId="14" fontId="6" fillId="0" borderId="10" xfId="0" applyNumberFormat="1" applyFont="1" applyBorder="1" applyAlignment="1">
      <alignment horizontal="left"/>
    </xf>
    <xf numFmtId="14" fontId="9" fillId="0" borderId="10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1" fontId="3" fillId="0" borderId="10" xfId="0" applyNumberFormat="1" applyFont="1" applyBorder="1" applyAlignment="1">
      <alignment horizontal="center"/>
    </xf>
    <xf numFmtId="17" fontId="3" fillId="0" borderId="10" xfId="0" quotePrefix="1" applyNumberFormat="1" applyFont="1" applyBorder="1" applyAlignment="1">
      <alignment horizontal="left"/>
    </xf>
    <xf numFmtId="164" fontId="10" fillId="0" borderId="10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left" vertical="center"/>
    </xf>
    <xf numFmtId="15" fontId="3" fillId="0" borderId="10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171" fontId="2" fillId="0" borderId="0" xfId="0" applyNumberFormat="1" applyFont="1" applyAlignment="1">
      <alignment horizontal="center"/>
    </xf>
    <xf numFmtId="43" fontId="2" fillId="2" borderId="1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0" borderId="12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F3D0-E976-4C21-AAE3-BCCF0AD49A9E}">
  <dimension ref="A1:K574"/>
  <sheetViews>
    <sheetView tabSelected="1" topLeftCell="A333" zoomScale="114" zoomScaleNormal="200" workbookViewId="0">
      <selection activeCell="L348" sqref="L348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/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/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40391</v>
      </c>
      <c r="B7" s="14"/>
      <c r="C7" s="15">
        <v>5.5419999999999998</v>
      </c>
      <c r="D7" s="14"/>
      <c r="E7" s="15">
        <f>C7+D7</f>
        <v>5.5419999999999998</v>
      </c>
      <c r="F7" s="14"/>
      <c r="G7" s="15">
        <f>C7</f>
        <v>5.5419999999999998</v>
      </c>
      <c r="H7" s="14"/>
      <c r="I7" s="15">
        <f>G7+H7</f>
        <v>5.5419999999999998</v>
      </c>
      <c r="J7" s="14"/>
      <c r="K7" s="16"/>
    </row>
    <row r="8" spans="1:11" ht="12.6" customHeight="1" x14ac:dyDescent="0.2">
      <c r="A8" s="13"/>
      <c r="B8" s="17" t="s">
        <v>1350</v>
      </c>
      <c r="C8" s="15"/>
      <c r="D8" s="18"/>
      <c r="E8" s="15">
        <f>E7+C8-D8</f>
        <v>5.5419999999999998</v>
      </c>
      <c r="F8" s="14"/>
      <c r="G8" s="15">
        <f t="shared" ref="G8:G33" si="0">C8</f>
        <v>0</v>
      </c>
      <c r="H8" s="14"/>
      <c r="I8" s="15">
        <f>I7+G8-H8</f>
        <v>5.5419999999999998</v>
      </c>
      <c r="J8" s="14"/>
      <c r="K8" s="13">
        <v>40395</v>
      </c>
    </row>
    <row r="9" spans="1:11" ht="12.6" customHeight="1" x14ac:dyDescent="0.2">
      <c r="A9" s="13"/>
      <c r="B9" s="17" t="s">
        <v>1351</v>
      </c>
      <c r="C9" s="15"/>
      <c r="D9" s="14"/>
      <c r="E9" s="15">
        <f t="shared" ref="E9:E33" si="1">E8+C9-D9</f>
        <v>5.5419999999999998</v>
      </c>
      <c r="F9" s="14"/>
      <c r="G9" s="15">
        <f t="shared" si="0"/>
        <v>0</v>
      </c>
      <c r="H9" s="14"/>
      <c r="I9" s="15">
        <f t="shared" ref="I9:I34" si="2">I8+G9-H9</f>
        <v>5.5419999999999998</v>
      </c>
      <c r="J9" s="14"/>
      <c r="K9" s="16" t="s">
        <v>1352</v>
      </c>
    </row>
    <row r="10" spans="1:11" ht="12.6" customHeight="1" x14ac:dyDescent="0.2">
      <c r="A10" s="13">
        <v>40513</v>
      </c>
      <c r="B10" s="19"/>
      <c r="C10" s="15">
        <v>5</v>
      </c>
      <c r="D10" s="14"/>
      <c r="E10" s="15">
        <f t="shared" si="1"/>
        <v>10.542</v>
      </c>
      <c r="F10" s="14"/>
      <c r="G10" s="15">
        <f t="shared" si="0"/>
        <v>5</v>
      </c>
      <c r="H10" s="14"/>
      <c r="I10" s="15">
        <f t="shared" si="2"/>
        <v>10.542</v>
      </c>
      <c r="J10" s="14"/>
      <c r="K10" s="13"/>
    </row>
    <row r="11" spans="1:11" ht="12.6" customHeight="1" x14ac:dyDescent="0.2">
      <c r="A11" s="13"/>
      <c r="B11" s="17" t="s">
        <v>56</v>
      </c>
      <c r="C11" s="15"/>
      <c r="D11" s="14">
        <v>4</v>
      </c>
      <c r="E11" s="15">
        <f t="shared" si="1"/>
        <v>6.5419999999999998</v>
      </c>
      <c r="F11" s="14"/>
      <c r="G11" s="15">
        <f t="shared" si="0"/>
        <v>0</v>
      </c>
      <c r="H11" s="14"/>
      <c r="I11" s="15">
        <f t="shared" si="2"/>
        <v>10.542</v>
      </c>
      <c r="J11" s="14"/>
      <c r="K11" s="20" t="s">
        <v>665</v>
      </c>
    </row>
    <row r="12" spans="1:11" ht="12.6" customHeight="1" x14ac:dyDescent="0.2">
      <c r="A12" s="13">
        <v>40544</v>
      </c>
      <c r="B12" s="19"/>
      <c r="C12" s="15">
        <v>1.25</v>
      </c>
      <c r="D12" s="14"/>
      <c r="E12" s="15">
        <f t="shared" si="1"/>
        <v>7.7919999999999998</v>
      </c>
      <c r="F12" s="14"/>
      <c r="G12" s="15">
        <f t="shared" si="0"/>
        <v>1.25</v>
      </c>
      <c r="H12" s="14"/>
      <c r="I12" s="15">
        <f t="shared" si="2"/>
        <v>11.792</v>
      </c>
      <c r="J12" s="14"/>
      <c r="K12" s="13"/>
    </row>
    <row r="13" spans="1:11" ht="12.6" customHeight="1" x14ac:dyDescent="0.2">
      <c r="A13" s="13"/>
      <c r="B13" s="17" t="s">
        <v>95</v>
      </c>
      <c r="C13" s="15"/>
      <c r="D13" s="14">
        <v>3</v>
      </c>
      <c r="E13" s="15">
        <f t="shared" si="1"/>
        <v>4.7919999999999998</v>
      </c>
      <c r="F13" s="14"/>
      <c r="G13" s="15">
        <f t="shared" si="0"/>
        <v>0</v>
      </c>
      <c r="H13" s="14"/>
      <c r="I13" s="15">
        <f t="shared" si="2"/>
        <v>11.792</v>
      </c>
      <c r="J13" s="14"/>
      <c r="K13" s="13" t="s">
        <v>1354</v>
      </c>
    </row>
    <row r="14" spans="1:11" ht="12.6" customHeight="1" x14ac:dyDescent="0.2">
      <c r="A14" s="13"/>
      <c r="B14" s="17" t="s">
        <v>1353</v>
      </c>
      <c r="C14" s="15"/>
      <c r="D14" s="14">
        <v>4.46</v>
      </c>
      <c r="E14" s="15">
        <f t="shared" si="1"/>
        <v>0.33199999999999985</v>
      </c>
      <c r="F14" s="14"/>
      <c r="G14" s="15">
        <f t="shared" si="0"/>
        <v>0</v>
      </c>
      <c r="H14" s="14"/>
      <c r="I14" s="15">
        <f t="shared" si="2"/>
        <v>11.792</v>
      </c>
      <c r="J14" s="14"/>
      <c r="K14" s="13"/>
    </row>
    <row r="15" spans="1:11" ht="12.6" customHeight="1" x14ac:dyDescent="0.2">
      <c r="A15" s="13">
        <v>40603</v>
      </c>
      <c r="B15" s="17"/>
      <c r="C15" s="15">
        <v>2.5</v>
      </c>
      <c r="D15" s="14"/>
      <c r="E15" s="15">
        <f t="shared" si="1"/>
        <v>2.8319999999999999</v>
      </c>
      <c r="F15" s="14"/>
      <c r="G15" s="15">
        <f t="shared" si="0"/>
        <v>2.5</v>
      </c>
      <c r="H15" s="14"/>
      <c r="I15" s="15">
        <f t="shared" si="2"/>
        <v>14.292</v>
      </c>
      <c r="J15" s="14"/>
      <c r="K15" s="13"/>
    </row>
    <row r="16" spans="1:11" ht="12.6" customHeight="1" x14ac:dyDescent="0.2">
      <c r="A16" s="13"/>
      <c r="B16" s="19" t="s">
        <v>1359</v>
      </c>
      <c r="C16" s="15"/>
      <c r="D16" s="14"/>
      <c r="E16" s="15">
        <f t="shared" si="1"/>
        <v>2.8319999999999999</v>
      </c>
      <c r="F16" s="14"/>
      <c r="G16" s="15">
        <f t="shared" si="0"/>
        <v>0</v>
      </c>
      <c r="H16" s="14"/>
      <c r="I16" s="15">
        <f t="shared" si="2"/>
        <v>14.292</v>
      </c>
      <c r="J16" s="14"/>
      <c r="K16" s="13" t="s">
        <v>1356</v>
      </c>
    </row>
    <row r="17" spans="1:11" ht="12.6" customHeight="1" x14ac:dyDescent="0.2">
      <c r="A17" s="13"/>
      <c r="B17" s="17" t="s">
        <v>1355</v>
      </c>
      <c r="C17" s="15"/>
      <c r="D17" s="14">
        <v>1.5</v>
      </c>
      <c r="E17" s="15">
        <f t="shared" si="1"/>
        <v>1.3319999999999999</v>
      </c>
      <c r="F17" s="14"/>
      <c r="G17" s="15">
        <f t="shared" si="0"/>
        <v>0</v>
      </c>
      <c r="H17" s="14"/>
      <c r="I17" s="15">
        <f t="shared" si="2"/>
        <v>14.292</v>
      </c>
      <c r="J17" s="14"/>
      <c r="K17" s="13" t="s">
        <v>1357</v>
      </c>
    </row>
    <row r="18" spans="1:11" ht="12.6" customHeight="1" x14ac:dyDescent="0.2">
      <c r="A18" s="13">
        <v>40664</v>
      </c>
      <c r="B18" s="17"/>
      <c r="C18" s="15">
        <v>2.5</v>
      </c>
      <c r="D18" s="14"/>
      <c r="E18" s="15">
        <f t="shared" si="1"/>
        <v>3.8319999999999999</v>
      </c>
      <c r="F18" s="14"/>
      <c r="G18" s="15">
        <f t="shared" si="0"/>
        <v>2.5</v>
      </c>
      <c r="H18" s="14"/>
      <c r="I18" s="15">
        <f t="shared" si="2"/>
        <v>16.792000000000002</v>
      </c>
      <c r="J18" s="14"/>
      <c r="K18" s="13"/>
    </row>
    <row r="19" spans="1:11" ht="12.6" customHeight="1" x14ac:dyDescent="0.2">
      <c r="A19" s="13"/>
      <c r="B19" s="17" t="s">
        <v>57</v>
      </c>
      <c r="C19" s="15"/>
      <c r="D19" s="14">
        <v>1</v>
      </c>
      <c r="E19" s="15">
        <f t="shared" si="1"/>
        <v>2.8319999999999999</v>
      </c>
      <c r="F19" s="14"/>
      <c r="G19" s="15">
        <f t="shared" si="0"/>
        <v>0</v>
      </c>
      <c r="H19" s="14"/>
      <c r="I19" s="15">
        <f t="shared" si="2"/>
        <v>16.792000000000002</v>
      </c>
      <c r="J19" s="14"/>
      <c r="K19" s="13">
        <v>40679</v>
      </c>
    </row>
    <row r="20" spans="1:11" ht="12.6" customHeight="1" x14ac:dyDescent="0.2">
      <c r="A20" s="13">
        <v>40817</v>
      </c>
      <c r="B20" s="17"/>
      <c r="C20" s="15">
        <v>6.25</v>
      </c>
      <c r="D20" s="21"/>
      <c r="E20" s="15">
        <f t="shared" si="1"/>
        <v>9.0820000000000007</v>
      </c>
      <c r="F20" s="14"/>
      <c r="G20" s="15">
        <f t="shared" si="0"/>
        <v>6.25</v>
      </c>
      <c r="H20" s="14"/>
      <c r="I20" s="15">
        <f t="shared" si="2"/>
        <v>23.042000000000002</v>
      </c>
      <c r="J20" s="14"/>
      <c r="K20" s="13"/>
    </row>
    <row r="21" spans="1:11" ht="12.6" customHeight="1" x14ac:dyDescent="0.2">
      <c r="A21" s="13"/>
      <c r="B21" s="17" t="s">
        <v>144</v>
      </c>
      <c r="C21" s="15"/>
      <c r="D21" s="14"/>
      <c r="E21" s="15">
        <f t="shared" si="1"/>
        <v>9.0820000000000007</v>
      </c>
      <c r="F21" s="14"/>
      <c r="G21" s="15">
        <f t="shared" si="0"/>
        <v>0</v>
      </c>
      <c r="H21" s="14">
        <v>1.5</v>
      </c>
      <c r="I21" s="15">
        <f t="shared" si="2"/>
        <v>21.542000000000002</v>
      </c>
      <c r="J21" s="14"/>
      <c r="K21" s="13" t="s">
        <v>1358</v>
      </c>
    </row>
    <row r="22" spans="1:11" ht="12.6" customHeight="1" x14ac:dyDescent="0.2">
      <c r="A22" s="13"/>
      <c r="B22" s="17" t="s">
        <v>47</v>
      </c>
      <c r="C22" s="15"/>
      <c r="D22" s="14"/>
      <c r="E22" s="15">
        <f t="shared" si="1"/>
        <v>9.0820000000000007</v>
      </c>
      <c r="F22" s="14"/>
      <c r="G22" s="15">
        <f t="shared" si="0"/>
        <v>0</v>
      </c>
      <c r="H22" s="14">
        <v>1</v>
      </c>
      <c r="I22" s="15">
        <f t="shared" si="2"/>
        <v>20.542000000000002</v>
      </c>
      <c r="J22" s="14"/>
      <c r="K22" s="13">
        <v>40840</v>
      </c>
    </row>
    <row r="23" spans="1:11" ht="12.6" customHeight="1" x14ac:dyDescent="0.2">
      <c r="A23" s="13">
        <v>40878</v>
      </c>
      <c r="B23" s="17"/>
      <c r="C23" s="15">
        <v>2.5</v>
      </c>
      <c r="D23" s="14"/>
      <c r="E23" s="15">
        <f t="shared" si="1"/>
        <v>11.582000000000001</v>
      </c>
      <c r="F23" s="14"/>
      <c r="G23" s="15">
        <f t="shared" si="0"/>
        <v>2.5</v>
      </c>
      <c r="H23" s="14"/>
      <c r="I23" s="15">
        <f t="shared" si="2"/>
        <v>23.042000000000002</v>
      </c>
      <c r="J23" s="14"/>
      <c r="K23" s="13"/>
    </row>
    <row r="24" spans="1:11" ht="12.6" customHeight="1" x14ac:dyDescent="0.2">
      <c r="A24" s="13"/>
      <c r="B24" s="17" t="s">
        <v>57</v>
      </c>
      <c r="C24" s="15"/>
      <c r="D24" s="14">
        <v>1</v>
      </c>
      <c r="E24" s="15">
        <f t="shared" si="1"/>
        <v>10.582000000000001</v>
      </c>
      <c r="F24" s="14"/>
      <c r="G24" s="15">
        <f t="shared" si="0"/>
        <v>0</v>
      </c>
      <c r="H24" s="14"/>
      <c r="I24" s="15">
        <f t="shared" si="2"/>
        <v>23.042000000000002</v>
      </c>
      <c r="J24" s="14"/>
      <c r="K24" s="13">
        <v>40885</v>
      </c>
    </row>
    <row r="25" spans="1:11" ht="12.6" customHeight="1" x14ac:dyDescent="0.2">
      <c r="A25" s="13">
        <v>40940</v>
      </c>
      <c r="B25" s="17"/>
      <c r="C25" s="15">
        <v>2.5</v>
      </c>
      <c r="D25" s="14"/>
      <c r="E25" s="15">
        <f t="shared" si="1"/>
        <v>13.082000000000001</v>
      </c>
      <c r="F25" s="14"/>
      <c r="G25" s="15">
        <f t="shared" si="0"/>
        <v>2.5</v>
      </c>
      <c r="H25" s="14"/>
      <c r="I25" s="15">
        <f t="shared" si="2"/>
        <v>25.542000000000002</v>
      </c>
      <c r="J25" s="14"/>
      <c r="K25" s="13"/>
    </row>
    <row r="26" spans="1:11" ht="12.6" customHeight="1" x14ac:dyDescent="0.2">
      <c r="A26" s="13"/>
      <c r="B26" s="19" t="s">
        <v>1360</v>
      </c>
      <c r="C26" s="15"/>
      <c r="D26" s="14"/>
      <c r="E26" s="15">
        <f t="shared" si="1"/>
        <v>13.082000000000001</v>
      </c>
      <c r="F26" s="14"/>
      <c r="G26" s="15">
        <f t="shared" si="0"/>
        <v>0</v>
      </c>
      <c r="H26" s="14"/>
      <c r="I26" s="15">
        <f t="shared" si="2"/>
        <v>25.542000000000002</v>
      </c>
      <c r="J26" s="14"/>
      <c r="K26" s="13">
        <v>40953</v>
      </c>
    </row>
    <row r="27" spans="1:11" ht="12.6" customHeight="1" x14ac:dyDescent="0.2">
      <c r="A27" s="13"/>
      <c r="B27" s="19" t="s">
        <v>1360</v>
      </c>
      <c r="C27" s="15"/>
      <c r="D27" s="14"/>
      <c r="E27" s="15">
        <f t="shared" si="1"/>
        <v>13.082000000000001</v>
      </c>
      <c r="F27" s="14"/>
      <c r="G27" s="15">
        <f t="shared" si="0"/>
        <v>0</v>
      </c>
      <c r="H27" s="14"/>
      <c r="I27" s="15">
        <f t="shared" si="2"/>
        <v>25.542000000000002</v>
      </c>
      <c r="J27" s="14"/>
      <c r="K27" s="13">
        <v>40959</v>
      </c>
    </row>
    <row r="28" spans="1:11" ht="12.6" customHeight="1" x14ac:dyDescent="0.2">
      <c r="A28" s="13">
        <v>40969</v>
      </c>
      <c r="B28" s="19"/>
      <c r="C28" s="15">
        <v>1.25</v>
      </c>
      <c r="D28" s="14"/>
      <c r="E28" s="15">
        <f t="shared" si="1"/>
        <v>14.332000000000001</v>
      </c>
      <c r="F28" s="14"/>
      <c r="G28" s="15">
        <f t="shared" si="0"/>
        <v>1.25</v>
      </c>
      <c r="H28" s="14"/>
      <c r="I28" s="15">
        <f t="shared" si="2"/>
        <v>26.792000000000002</v>
      </c>
      <c r="J28" s="14"/>
      <c r="K28" s="13"/>
    </row>
    <row r="29" spans="1:11" ht="12.6" customHeight="1" x14ac:dyDescent="0.2">
      <c r="A29" s="13"/>
      <c r="B29" s="19" t="s">
        <v>1360</v>
      </c>
      <c r="C29" s="15"/>
      <c r="D29" s="14"/>
      <c r="E29" s="15">
        <f t="shared" si="1"/>
        <v>14.332000000000001</v>
      </c>
      <c r="F29" s="14"/>
      <c r="G29" s="15">
        <f t="shared" si="0"/>
        <v>0</v>
      </c>
      <c r="H29" s="14"/>
      <c r="I29" s="15">
        <f t="shared" si="2"/>
        <v>26.792000000000002</v>
      </c>
      <c r="J29" s="14"/>
      <c r="K29" s="13">
        <v>40990</v>
      </c>
    </row>
    <row r="30" spans="1:11" ht="12.6" customHeight="1" x14ac:dyDescent="0.2">
      <c r="A30" s="13">
        <v>41000</v>
      </c>
      <c r="B30" s="19"/>
      <c r="C30" s="15">
        <v>1.25</v>
      </c>
      <c r="D30" s="14"/>
      <c r="E30" s="15">
        <f t="shared" si="1"/>
        <v>15.582000000000001</v>
      </c>
      <c r="F30" s="14"/>
      <c r="G30" s="15">
        <f t="shared" si="0"/>
        <v>1.25</v>
      </c>
      <c r="H30" s="14"/>
      <c r="I30" s="15">
        <f t="shared" si="2"/>
        <v>28.042000000000002</v>
      </c>
      <c r="J30" s="14"/>
      <c r="K30" s="16"/>
    </row>
    <row r="31" spans="1:11" ht="12.6" customHeight="1" x14ac:dyDescent="0.2">
      <c r="A31" s="13"/>
      <c r="B31" s="17" t="s">
        <v>47</v>
      </c>
      <c r="C31" s="15"/>
      <c r="D31" s="14"/>
      <c r="E31" s="15">
        <f t="shared" si="1"/>
        <v>15.582000000000001</v>
      </c>
      <c r="F31" s="22"/>
      <c r="G31" s="15">
        <f t="shared" si="0"/>
        <v>0</v>
      </c>
      <c r="H31" s="22">
        <v>1</v>
      </c>
      <c r="I31" s="15">
        <f t="shared" si="2"/>
        <v>27.042000000000002</v>
      </c>
      <c r="J31" s="22"/>
      <c r="K31" s="30">
        <v>41029</v>
      </c>
    </row>
    <row r="32" spans="1:11" ht="12.6" customHeight="1" x14ac:dyDescent="0.2">
      <c r="A32" s="13"/>
      <c r="B32" s="17" t="s">
        <v>65</v>
      </c>
      <c r="C32" s="15"/>
      <c r="D32" s="14">
        <v>5</v>
      </c>
      <c r="E32" s="15">
        <f t="shared" si="1"/>
        <v>10.582000000000001</v>
      </c>
      <c r="F32" s="22"/>
      <c r="G32" s="15">
        <f t="shared" si="0"/>
        <v>0</v>
      </c>
      <c r="H32" s="22"/>
      <c r="I32" s="15">
        <f t="shared" si="2"/>
        <v>27.042000000000002</v>
      </c>
      <c r="J32" s="22"/>
      <c r="K32" s="23" t="s">
        <v>1361</v>
      </c>
    </row>
    <row r="33" spans="1:11" ht="12.6" customHeight="1" x14ac:dyDescent="0.2">
      <c r="A33" s="13">
        <v>41061</v>
      </c>
      <c r="B33" s="17"/>
      <c r="C33" s="15">
        <v>2.5</v>
      </c>
      <c r="D33" s="14"/>
      <c r="E33" s="15">
        <f t="shared" si="1"/>
        <v>13.082000000000001</v>
      </c>
      <c r="F33" s="22"/>
      <c r="G33" s="15">
        <f t="shared" si="0"/>
        <v>2.5</v>
      </c>
      <c r="H33" s="22"/>
      <c r="I33" s="15">
        <f t="shared" si="2"/>
        <v>29.542000000000002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33.042000000000002</v>
      </c>
      <c r="D34" s="25">
        <f>SUM(D9:D33)</f>
        <v>19.96</v>
      </c>
      <c r="E34" s="25"/>
      <c r="F34" s="22"/>
      <c r="G34" s="25">
        <f>SUM(G7:G33)</f>
        <v>33.042000000000002</v>
      </c>
      <c r="H34" s="25">
        <f>SUM(H7:H33)</f>
        <v>3.5</v>
      </c>
      <c r="I34" s="15">
        <f t="shared" si="2"/>
        <v>59.084000000000003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>
        <f>A1</f>
        <v>0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>
        <f>K1</f>
        <v>0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1250</v>
      </c>
      <c r="C43" s="15"/>
      <c r="D43" s="14"/>
      <c r="E43" s="15">
        <f>E33+C43-D43</f>
        <v>13.082000000000001</v>
      </c>
      <c r="F43" s="14"/>
      <c r="G43" s="15">
        <f>C43</f>
        <v>0</v>
      </c>
      <c r="H43" s="14">
        <v>1</v>
      </c>
      <c r="I43" s="15">
        <f>I33+G43-H43</f>
        <v>28.542000000000002</v>
      </c>
      <c r="J43" s="14"/>
      <c r="K43" s="13">
        <v>41071</v>
      </c>
    </row>
    <row r="44" spans="1:11" ht="12.6" customHeight="1" x14ac:dyDescent="0.2">
      <c r="A44" s="13">
        <v>41091</v>
      </c>
      <c r="B44" s="17"/>
      <c r="C44" s="15">
        <v>1.25</v>
      </c>
      <c r="D44" s="14"/>
      <c r="E44" s="15">
        <f>E43+C44-D44</f>
        <v>14.332000000000001</v>
      </c>
      <c r="F44" s="14"/>
      <c r="G44" s="15">
        <f t="shared" ref="G44:G68" si="3">C44</f>
        <v>1.25</v>
      </c>
      <c r="H44" s="14"/>
      <c r="I44" s="15">
        <f>I43+G44-H44</f>
        <v>29.792000000000002</v>
      </c>
      <c r="J44" s="14"/>
      <c r="K44" s="13"/>
    </row>
    <row r="45" spans="1:11" ht="12.6" customHeight="1" x14ac:dyDescent="0.2">
      <c r="A45" s="13"/>
      <c r="B45" s="17" t="s">
        <v>1345</v>
      </c>
      <c r="C45" s="15"/>
      <c r="D45" s="14"/>
      <c r="E45" s="15">
        <f t="shared" ref="E45:E68" si="4">E44+C45-D45</f>
        <v>14.332000000000001</v>
      </c>
      <c r="F45" s="14"/>
      <c r="G45" s="15">
        <f t="shared" si="3"/>
        <v>0</v>
      </c>
      <c r="H45" s="14">
        <v>2</v>
      </c>
      <c r="I45" s="15">
        <f t="shared" ref="I45:I68" si="5">I44+G45-H45</f>
        <v>27.792000000000002</v>
      </c>
      <c r="J45" s="14"/>
      <c r="K45" s="13" t="s">
        <v>1362</v>
      </c>
    </row>
    <row r="46" spans="1:11" ht="12.6" customHeight="1" x14ac:dyDescent="0.2">
      <c r="A46" s="13">
        <v>41122</v>
      </c>
      <c r="B46" s="17"/>
      <c r="C46" s="15">
        <v>1.25</v>
      </c>
      <c r="D46" s="14"/>
      <c r="E46" s="15">
        <f t="shared" si="4"/>
        <v>15.582000000000001</v>
      </c>
      <c r="F46" s="14"/>
      <c r="G46" s="15">
        <f t="shared" si="3"/>
        <v>1.25</v>
      </c>
      <c r="H46" s="14"/>
      <c r="I46" s="15">
        <f t="shared" si="5"/>
        <v>29.042000000000002</v>
      </c>
      <c r="J46" s="14"/>
      <c r="K46" s="13"/>
    </row>
    <row r="47" spans="1:11" ht="12.6" customHeight="1" x14ac:dyDescent="0.2">
      <c r="A47" s="13"/>
      <c r="B47" s="17" t="s">
        <v>1363</v>
      </c>
      <c r="C47" s="15"/>
      <c r="D47" s="14">
        <v>2</v>
      </c>
      <c r="E47" s="15">
        <f t="shared" si="4"/>
        <v>13.582000000000001</v>
      </c>
      <c r="F47" s="14"/>
      <c r="G47" s="15">
        <f t="shared" si="3"/>
        <v>0</v>
      </c>
      <c r="H47" s="14"/>
      <c r="I47" s="15">
        <f t="shared" si="5"/>
        <v>29.042000000000002</v>
      </c>
      <c r="J47" s="14"/>
      <c r="K47" s="13" t="s">
        <v>1365</v>
      </c>
    </row>
    <row r="48" spans="1:11" ht="12.6" customHeight="1" x14ac:dyDescent="0.2">
      <c r="A48" s="13"/>
      <c r="B48" s="17" t="s">
        <v>1364</v>
      </c>
      <c r="C48" s="15"/>
      <c r="D48" s="14">
        <v>5</v>
      </c>
      <c r="E48" s="15">
        <f t="shared" si="4"/>
        <v>8.5820000000000007</v>
      </c>
      <c r="F48" s="14"/>
      <c r="G48" s="15">
        <f t="shared" si="3"/>
        <v>0</v>
      </c>
      <c r="H48" s="14"/>
      <c r="I48" s="15">
        <f t="shared" si="5"/>
        <v>29.042000000000002</v>
      </c>
      <c r="J48" s="14"/>
      <c r="K48" s="13" t="s">
        <v>1366</v>
      </c>
    </row>
    <row r="49" spans="1:11" ht="12.6" customHeight="1" x14ac:dyDescent="0.2">
      <c r="A49" s="13">
        <v>41306</v>
      </c>
      <c r="B49" s="19"/>
      <c r="C49" s="15">
        <v>7.5</v>
      </c>
      <c r="D49" s="14"/>
      <c r="E49" s="15">
        <f t="shared" si="4"/>
        <v>16.082000000000001</v>
      </c>
      <c r="F49" s="14"/>
      <c r="G49" s="15">
        <f t="shared" si="3"/>
        <v>7.5</v>
      </c>
      <c r="H49" s="14"/>
      <c r="I49" s="15">
        <f t="shared" si="5"/>
        <v>36.542000000000002</v>
      </c>
      <c r="J49" s="14"/>
      <c r="K49" s="13"/>
    </row>
    <row r="50" spans="1:11" ht="12.6" customHeight="1" x14ac:dyDescent="0.2">
      <c r="A50" s="13"/>
      <c r="B50" s="17" t="s">
        <v>1250</v>
      </c>
      <c r="C50" s="15"/>
      <c r="D50" s="14"/>
      <c r="E50" s="15">
        <f t="shared" si="4"/>
        <v>16.082000000000001</v>
      </c>
      <c r="F50" s="14"/>
      <c r="G50" s="15">
        <f t="shared" si="3"/>
        <v>0</v>
      </c>
      <c r="H50" s="14">
        <v>1</v>
      </c>
      <c r="I50" s="15">
        <f t="shared" si="5"/>
        <v>35.542000000000002</v>
      </c>
      <c r="J50" s="14"/>
      <c r="K50" s="13">
        <v>41330</v>
      </c>
    </row>
    <row r="51" spans="1:11" ht="12.6" customHeight="1" x14ac:dyDescent="0.2">
      <c r="A51" s="13">
        <v>41395</v>
      </c>
      <c r="B51" s="17"/>
      <c r="C51" s="15">
        <v>3.75</v>
      </c>
      <c r="D51" s="14"/>
      <c r="E51" s="15">
        <f t="shared" si="4"/>
        <v>19.832000000000001</v>
      </c>
      <c r="F51" s="14"/>
      <c r="G51" s="15">
        <f t="shared" si="3"/>
        <v>3.75</v>
      </c>
      <c r="H51" s="14"/>
      <c r="I51" s="15">
        <f t="shared" si="5"/>
        <v>39.292000000000002</v>
      </c>
      <c r="J51" s="14"/>
      <c r="K51" s="16"/>
    </row>
    <row r="52" spans="1:11" ht="12.6" customHeight="1" x14ac:dyDescent="0.2">
      <c r="A52" s="13"/>
      <c r="B52" s="17" t="s">
        <v>1367</v>
      </c>
      <c r="C52" s="15"/>
      <c r="D52" s="14">
        <v>3</v>
      </c>
      <c r="E52" s="15">
        <f t="shared" si="4"/>
        <v>16.832000000000001</v>
      </c>
      <c r="F52" s="14"/>
      <c r="G52" s="15">
        <f t="shared" si="3"/>
        <v>0</v>
      </c>
      <c r="H52" s="14"/>
      <c r="I52" s="15">
        <f t="shared" si="5"/>
        <v>39.292000000000002</v>
      </c>
      <c r="J52" s="14"/>
      <c r="K52" s="13" t="s">
        <v>1368</v>
      </c>
    </row>
    <row r="53" spans="1:11" ht="12.6" customHeight="1" x14ac:dyDescent="0.2">
      <c r="A53" s="13">
        <v>41456</v>
      </c>
      <c r="B53" s="19"/>
      <c r="C53" s="15">
        <v>2.5</v>
      </c>
      <c r="D53" s="14"/>
      <c r="E53" s="15">
        <f t="shared" si="4"/>
        <v>19.332000000000001</v>
      </c>
      <c r="F53" s="14"/>
      <c r="G53" s="15">
        <f t="shared" si="3"/>
        <v>2.5</v>
      </c>
      <c r="H53" s="14"/>
      <c r="I53" s="15">
        <f t="shared" si="5"/>
        <v>41.792000000000002</v>
      </c>
      <c r="J53" s="14"/>
      <c r="K53" s="13"/>
    </row>
    <row r="54" spans="1:11" ht="12.6" customHeight="1" x14ac:dyDescent="0.2">
      <c r="A54" s="13"/>
      <c r="B54" s="17" t="s">
        <v>1369</v>
      </c>
      <c r="C54" s="15"/>
      <c r="D54" s="14">
        <v>3</v>
      </c>
      <c r="E54" s="15">
        <f t="shared" si="4"/>
        <v>16.332000000000001</v>
      </c>
      <c r="F54" s="14"/>
      <c r="G54" s="15">
        <f t="shared" si="3"/>
        <v>0</v>
      </c>
      <c r="H54" s="14"/>
      <c r="I54" s="15">
        <f t="shared" si="5"/>
        <v>41.792000000000002</v>
      </c>
      <c r="J54" s="14"/>
      <c r="K54" s="13" t="s">
        <v>1370</v>
      </c>
    </row>
    <row r="55" spans="1:11" ht="12.6" customHeight="1" x14ac:dyDescent="0.2">
      <c r="A55" s="13">
        <v>41487</v>
      </c>
      <c r="B55" s="19"/>
      <c r="C55" s="15">
        <v>1.25</v>
      </c>
      <c r="D55" s="14"/>
      <c r="E55" s="15">
        <f t="shared" si="4"/>
        <v>17.582000000000001</v>
      </c>
      <c r="F55" s="14"/>
      <c r="G55" s="15">
        <f t="shared" si="3"/>
        <v>1.25</v>
      </c>
      <c r="H55" s="14"/>
      <c r="I55" s="15">
        <f t="shared" si="5"/>
        <v>43.042000000000002</v>
      </c>
      <c r="J55" s="14"/>
      <c r="K55" s="13"/>
    </row>
    <row r="56" spans="1:11" ht="12.6" customHeight="1" x14ac:dyDescent="0.2">
      <c r="A56" s="13"/>
      <c r="B56" s="17" t="s">
        <v>1250</v>
      </c>
      <c r="C56" s="15"/>
      <c r="D56" s="14"/>
      <c r="E56" s="15">
        <f t="shared" si="4"/>
        <v>17.582000000000001</v>
      </c>
      <c r="F56" s="14"/>
      <c r="G56" s="15">
        <f t="shared" si="3"/>
        <v>0</v>
      </c>
      <c r="H56" s="14">
        <v>1</v>
      </c>
      <c r="I56" s="15">
        <f t="shared" si="5"/>
        <v>42.042000000000002</v>
      </c>
      <c r="J56" s="14"/>
      <c r="K56" s="13">
        <v>41506</v>
      </c>
    </row>
    <row r="57" spans="1:11" ht="12.6" customHeight="1" x14ac:dyDescent="0.2">
      <c r="A57" s="13">
        <v>41609</v>
      </c>
      <c r="B57" s="19"/>
      <c r="C57" s="15">
        <v>5</v>
      </c>
      <c r="D57" s="14"/>
      <c r="E57" s="15">
        <f t="shared" si="4"/>
        <v>22.582000000000001</v>
      </c>
      <c r="F57" s="14"/>
      <c r="G57" s="15">
        <f t="shared" si="3"/>
        <v>5</v>
      </c>
      <c r="H57" s="14"/>
      <c r="I57" s="15">
        <f t="shared" si="5"/>
        <v>47.042000000000002</v>
      </c>
      <c r="J57" s="14"/>
      <c r="K57" s="13"/>
    </row>
    <row r="58" spans="1:11" ht="12.6" customHeight="1" x14ac:dyDescent="0.2">
      <c r="A58" s="13"/>
      <c r="B58" s="17" t="s">
        <v>1350</v>
      </c>
      <c r="C58" s="15"/>
      <c r="D58" s="14"/>
      <c r="E58" s="15">
        <f t="shared" si="4"/>
        <v>22.582000000000001</v>
      </c>
      <c r="F58" s="14"/>
      <c r="G58" s="15">
        <f t="shared" si="3"/>
        <v>0</v>
      </c>
      <c r="H58" s="14"/>
      <c r="I58" s="15">
        <f t="shared" si="5"/>
        <v>47.042000000000002</v>
      </c>
      <c r="J58" s="14"/>
      <c r="K58" s="13" t="s">
        <v>1371</v>
      </c>
    </row>
    <row r="59" spans="1:11" ht="12.6" customHeight="1" x14ac:dyDescent="0.2">
      <c r="A59" s="13"/>
      <c r="B59" s="17" t="s">
        <v>1367</v>
      </c>
      <c r="C59" s="15"/>
      <c r="D59" s="14">
        <v>3</v>
      </c>
      <c r="E59" s="15">
        <f t="shared" si="4"/>
        <v>19.582000000000001</v>
      </c>
      <c r="F59" s="14"/>
      <c r="G59" s="15">
        <f t="shared" si="3"/>
        <v>0</v>
      </c>
      <c r="H59" s="14"/>
      <c r="I59" s="15">
        <f t="shared" si="5"/>
        <v>47.042000000000002</v>
      </c>
      <c r="J59" s="14"/>
      <c r="K59" s="13" t="s">
        <v>1372</v>
      </c>
    </row>
    <row r="60" spans="1:11" ht="12.6" customHeight="1" x14ac:dyDescent="0.2">
      <c r="A60" s="13">
        <v>41640</v>
      </c>
      <c r="B60" s="19"/>
      <c r="C60" s="15">
        <v>1.25</v>
      </c>
      <c r="D60" s="14"/>
      <c r="E60" s="15">
        <f t="shared" si="4"/>
        <v>20.832000000000001</v>
      </c>
      <c r="F60" s="14"/>
      <c r="G60" s="15">
        <f t="shared" si="3"/>
        <v>1.25</v>
      </c>
      <c r="H60" s="14"/>
      <c r="I60" s="15">
        <f t="shared" si="5"/>
        <v>48.292000000000002</v>
      </c>
      <c r="J60" s="14"/>
      <c r="K60" s="13"/>
    </row>
    <row r="61" spans="1:11" ht="12.6" customHeight="1" x14ac:dyDescent="0.2">
      <c r="A61" s="13"/>
      <c r="B61" s="17" t="s">
        <v>1250</v>
      </c>
      <c r="C61" s="15"/>
      <c r="D61" s="14"/>
      <c r="E61" s="15">
        <f t="shared" si="4"/>
        <v>20.832000000000001</v>
      </c>
      <c r="F61" s="14"/>
      <c r="G61" s="15">
        <f t="shared" si="3"/>
        <v>0</v>
      </c>
      <c r="H61" s="14">
        <v>1</v>
      </c>
      <c r="I61" s="15">
        <f t="shared" si="5"/>
        <v>47.292000000000002</v>
      </c>
      <c r="J61" s="14"/>
      <c r="K61" s="13">
        <v>41645</v>
      </c>
    </row>
    <row r="62" spans="1:11" ht="12.6" customHeight="1" x14ac:dyDescent="0.2">
      <c r="A62" s="13"/>
      <c r="B62" s="17" t="s">
        <v>1373</v>
      </c>
      <c r="C62" s="15"/>
      <c r="D62" s="14">
        <v>1</v>
      </c>
      <c r="E62" s="15">
        <f t="shared" si="4"/>
        <v>19.832000000000001</v>
      </c>
      <c r="F62" s="14"/>
      <c r="G62" s="15">
        <f t="shared" si="3"/>
        <v>0</v>
      </c>
      <c r="H62" s="14"/>
      <c r="I62" s="15">
        <f t="shared" si="5"/>
        <v>47.292000000000002</v>
      </c>
      <c r="J62" s="14"/>
      <c r="K62" s="33" t="s">
        <v>1374</v>
      </c>
    </row>
    <row r="63" spans="1:11" ht="12.6" customHeight="1" x14ac:dyDescent="0.2">
      <c r="A63" s="13"/>
      <c r="B63" s="17" t="s">
        <v>1301</v>
      </c>
      <c r="C63" s="15"/>
      <c r="D63" s="14"/>
      <c r="E63" s="15">
        <f t="shared" si="4"/>
        <v>19.832000000000001</v>
      </c>
      <c r="F63" s="14"/>
      <c r="G63" s="15">
        <f t="shared" si="3"/>
        <v>0</v>
      </c>
      <c r="H63" s="14"/>
      <c r="I63" s="15">
        <f t="shared" si="5"/>
        <v>47.292000000000002</v>
      </c>
      <c r="J63" s="14"/>
      <c r="K63" s="13">
        <v>41674</v>
      </c>
    </row>
    <row r="64" spans="1:11" ht="12.6" customHeight="1" x14ac:dyDescent="0.2">
      <c r="A64" s="13">
        <v>41699</v>
      </c>
      <c r="B64" s="17"/>
      <c r="C64" s="15">
        <v>2.5</v>
      </c>
      <c r="D64" s="14"/>
      <c r="E64" s="15">
        <f t="shared" si="4"/>
        <v>22.332000000000001</v>
      </c>
      <c r="F64" s="14"/>
      <c r="G64" s="15">
        <f>C64</f>
        <v>2.5</v>
      </c>
      <c r="H64" s="14"/>
      <c r="I64" s="15">
        <f t="shared" si="5"/>
        <v>49.792000000000002</v>
      </c>
      <c r="J64" s="14"/>
      <c r="K64" s="29"/>
    </row>
    <row r="65" spans="1:11" ht="12.6" customHeight="1" x14ac:dyDescent="0.2">
      <c r="A65" s="13"/>
      <c r="B65" s="17" t="s">
        <v>1308</v>
      </c>
      <c r="C65" s="15"/>
      <c r="D65" s="21">
        <v>2</v>
      </c>
      <c r="E65" s="15">
        <f t="shared" si="4"/>
        <v>20.332000000000001</v>
      </c>
      <c r="F65" s="14"/>
      <c r="G65" s="15">
        <f t="shared" si="3"/>
        <v>0</v>
      </c>
      <c r="H65" s="14"/>
      <c r="I65" s="15">
        <f t="shared" si="5"/>
        <v>49.792000000000002</v>
      </c>
      <c r="J65" s="14"/>
      <c r="K65" s="13" t="s">
        <v>1375</v>
      </c>
    </row>
    <row r="66" spans="1:11" ht="12.6" customHeight="1" x14ac:dyDescent="0.2">
      <c r="A66" s="13">
        <v>41730</v>
      </c>
      <c r="B66" s="19"/>
      <c r="C66" s="15">
        <v>1.25</v>
      </c>
      <c r="D66" s="14"/>
      <c r="E66" s="15">
        <f t="shared" si="4"/>
        <v>21.582000000000001</v>
      </c>
      <c r="F66" s="14"/>
      <c r="G66" s="15">
        <f t="shared" si="3"/>
        <v>1.25</v>
      </c>
      <c r="H66" s="14"/>
      <c r="I66" s="15">
        <f t="shared" si="5"/>
        <v>51.042000000000002</v>
      </c>
      <c r="J66" s="14"/>
      <c r="K66" s="13"/>
    </row>
    <row r="67" spans="1:11" ht="12.6" customHeight="1" x14ac:dyDescent="0.2">
      <c r="A67" s="30"/>
      <c r="B67" s="17" t="s">
        <v>1376</v>
      </c>
      <c r="C67" s="15"/>
      <c r="D67" s="14"/>
      <c r="E67" s="15">
        <f t="shared" si="4"/>
        <v>21.582000000000001</v>
      </c>
      <c r="F67" s="14"/>
      <c r="G67" s="15">
        <f t="shared" si="3"/>
        <v>0</v>
      </c>
      <c r="H67" s="31">
        <v>3</v>
      </c>
      <c r="I67" s="15">
        <f t="shared" si="5"/>
        <v>48.042000000000002</v>
      </c>
      <c r="J67" s="31"/>
      <c r="K67" s="30" t="s">
        <v>1377</v>
      </c>
    </row>
    <row r="68" spans="1:11" ht="12.6" customHeight="1" x14ac:dyDescent="0.2">
      <c r="A68" s="13">
        <v>41791</v>
      </c>
      <c r="B68" s="19"/>
      <c r="C68" s="15">
        <v>2.5</v>
      </c>
      <c r="D68" s="14"/>
      <c r="E68" s="15">
        <f t="shared" si="4"/>
        <v>24.082000000000001</v>
      </c>
      <c r="F68" s="14"/>
      <c r="G68" s="15">
        <f t="shared" si="3"/>
        <v>2.5</v>
      </c>
      <c r="H68" s="14"/>
      <c r="I68" s="15">
        <f t="shared" si="5"/>
        <v>50.542000000000002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30</v>
      </c>
      <c r="D69" s="15">
        <f>SUM(D43:D68)</f>
        <v>19</v>
      </c>
      <c r="E69" s="15" t="s">
        <v>17</v>
      </c>
      <c r="F69" s="32"/>
      <c r="G69" s="15">
        <f>SUM(G43:G68)</f>
        <v>30</v>
      </c>
      <c r="H69" s="15">
        <f>SUM(H43:H68)</f>
        <v>9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>
        <f>A1</f>
        <v>0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>
        <f>K1</f>
        <v>0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7" t="s">
        <v>1301</v>
      </c>
      <c r="C82" s="15"/>
      <c r="D82" s="14"/>
      <c r="E82" s="15">
        <f>E68+C82-D82</f>
        <v>24.082000000000001</v>
      </c>
      <c r="F82" s="14"/>
      <c r="G82" s="15">
        <f>C82</f>
        <v>0</v>
      </c>
      <c r="H82" s="14"/>
      <c r="I82" s="15">
        <f>I68+G82-H82</f>
        <v>50.542000000000002</v>
      </c>
      <c r="J82" s="14"/>
      <c r="K82" s="13">
        <v>41792</v>
      </c>
    </row>
    <row r="83" spans="1:11" ht="12.6" customHeight="1" x14ac:dyDescent="0.2">
      <c r="A83" s="13">
        <v>41821</v>
      </c>
      <c r="B83" s="17"/>
      <c r="C83" s="15">
        <v>1.25</v>
      </c>
      <c r="D83" s="14"/>
      <c r="E83" s="15">
        <f>E82+C83-D83</f>
        <v>25.332000000000001</v>
      </c>
      <c r="F83" s="14"/>
      <c r="G83" s="15">
        <f t="shared" ref="G83:G107" si="6">C83</f>
        <v>1.25</v>
      </c>
      <c r="H83" s="14"/>
      <c r="I83" s="15">
        <f>I82+G83-H83</f>
        <v>51.792000000000002</v>
      </c>
      <c r="J83" s="22"/>
      <c r="K83" s="23"/>
    </row>
    <row r="84" spans="1:11" ht="12.6" customHeight="1" x14ac:dyDescent="0.2">
      <c r="A84" s="13"/>
      <c r="B84" s="19" t="s">
        <v>60</v>
      </c>
      <c r="C84" s="15"/>
      <c r="D84" s="14">
        <v>5</v>
      </c>
      <c r="E84" s="15">
        <f t="shared" ref="E84:E107" si="7">E83+C84-D84</f>
        <v>20.332000000000001</v>
      </c>
      <c r="F84" s="14"/>
      <c r="G84" s="15">
        <f t="shared" si="6"/>
        <v>0</v>
      </c>
      <c r="H84" s="14"/>
      <c r="I84" s="15">
        <f t="shared" ref="I84:I107" si="8">I83+G84-H84</f>
        <v>51.792000000000002</v>
      </c>
      <c r="J84" s="14"/>
      <c r="K84" s="16" t="s">
        <v>1378</v>
      </c>
    </row>
    <row r="85" spans="1:11" ht="12.6" customHeight="1" x14ac:dyDescent="0.2">
      <c r="A85" s="13">
        <v>41913</v>
      </c>
      <c r="B85" s="19"/>
      <c r="C85" s="15">
        <v>3.75</v>
      </c>
      <c r="D85" s="14"/>
      <c r="E85" s="15">
        <f t="shared" si="7"/>
        <v>24.082000000000001</v>
      </c>
      <c r="F85" s="14"/>
      <c r="G85" s="15">
        <f t="shared" si="6"/>
        <v>3.75</v>
      </c>
      <c r="H85" s="14"/>
      <c r="I85" s="15">
        <f t="shared" si="8"/>
        <v>55.542000000000002</v>
      </c>
      <c r="J85" s="14"/>
      <c r="K85" s="13"/>
    </row>
    <row r="86" spans="1:11" ht="12.6" customHeight="1" x14ac:dyDescent="0.2">
      <c r="A86" s="29"/>
      <c r="B86" s="17" t="s">
        <v>1301</v>
      </c>
      <c r="C86" s="15"/>
      <c r="D86" s="14"/>
      <c r="E86" s="15">
        <f t="shared" si="7"/>
        <v>24.082000000000001</v>
      </c>
      <c r="F86" s="14"/>
      <c r="G86" s="15">
        <f t="shared" si="6"/>
        <v>0</v>
      </c>
      <c r="H86" s="14"/>
      <c r="I86" s="15">
        <f t="shared" si="8"/>
        <v>55.542000000000002</v>
      </c>
      <c r="J86" s="14"/>
      <c r="K86" s="13">
        <v>41915</v>
      </c>
    </row>
    <row r="87" spans="1:11" ht="12.6" customHeight="1" x14ac:dyDescent="0.2">
      <c r="A87" s="13">
        <v>41944</v>
      </c>
      <c r="B87" s="19"/>
      <c r="C87" s="15">
        <v>1.25</v>
      </c>
      <c r="D87" s="14"/>
      <c r="E87" s="15">
        <f t="shared" si="7"/>
        <v>25.332000000000001</v>
      </c>
      <c r="F87" s="14"/>
      <c r="G87" s="15">
        <f t="shared" si="6"/>
        <v>1.25</v>
      </c>
      <c r="H87" s="14"/>
      <c r="I87" s="15">
        <f t="shared" si="8"/>
        <v>56.792000000000002</v>
      </c>
      <c r="J87" s="14"/>
      <c r="K87" s="13"/>
    </row>
    <row r="88" spans="1:11" ht="12.6" customHeight="1" x14ac:dyDescent="0.2">
      <c r="A88" s="13"/>
      <c r="B88" s="17" t="s">
        <v>47</v>
      </c>
      <c r="C88" s="15"/>
      <c r="D88" s="14"/>
      <c r="E88" s="15">
        <f t="shared" si="7"/>
        <v>25.332000000000001</v>
      </c>
      <c r="F88" s="14"/>
      <c r="G88" s="15">
        <f t="shared" si="6"/>
        <v>0</v>
      </c>
      <c r="H88" s="14">
        <v>1</v>
      </c>
      <c r="I88" s="15">
        <f t="shared" si="8"/>
        <v>55.792000000000002</v>
      </c>
      <c r="J88" s="14"/>
      <c r="K88" s="13">
        <v>41969</v>
      </c>
    </row>
    <row r="89" spans="1:11" ht="12.6" customHeight="1" x14ac:dyDescent="0.2">
      <c r="A89" s="13">
        <v>42005</v>
      </c>
      <c r="B89" s="19"/>
      <c r="C89" s="15">
        <v>2.5</v>
      </c>
      <c r="D89" s="14"/>
      <c r="E89" s="15">
        <f t="shared" si="7"/>
        <v>27.832000000000001</v>
      </c>
      <c r="F89" s="14"/>
      <c r="G89" s="15">
        <f t="shared" si="6"/>
        <v>2.5</v>
      </c>
      <c r="H89" s="14"/>
      <c r="I89" s="15">
        <f t="shared" si="8"/>
        <v>58.292000000000002</v>
      </c>
      <c r="J89" s="14"/>
      <c r="K89" s="16"/>
    </row>
    <row r="90" spans="1:11" ht="12.6" customHeight="1" x14ac:dyDescent="0.2">
      <c r="A90" s="13"/>
      <c r="B90" s="17" t="s">
        <v>52</v>
      </c>
      <c r="C90" s="15"/>
      <c r="D90" s="14"/>
      <c r="E90" s="15">
        <f t="shared" si="7"/>
        <v>27.832000000000001</v>
      </c>
      <c r="F90" s="14"/>
      <c r="G90" s="15">
        <f t="shared" si="6"/>
        <v>0</v>
      </c>
      <c r="H90" s="14">
        <v>2</v>
      </c>
      <c r="I90" s="15">
        <f t="shared" si="8"/>
        <v>56.292000000000002</v>
      </c>
      <c r="J90" s="14"/>
      <c r="K90" s="16" t="s">
        <v>1379</v>
      </c>
    </row>
    <row r="91" spans="1:11" ht="12.6" customHeight="1" x14ac:dyDescent="0.2">
      <c r="A91" s="92">
        <v>42064</v>
      </c>
      <c r="C91" s="15">
        <v>2.5</v>
      </c>
      <c r="D91" s="14"/>
      <c r="E91" s="15">
        <f t="shared" si="7"/>
        <v>30.332000000000001</v>
      </c>
      <c r="F91" s="14"/>
      <c r="G91" s="15">
        <f t="shared" si="6"/>
        <v>2.5</v>
      </c>
      <c r="H91" s="14"/>
      <c r="I91" s="15">
        <f t="shared" si="8"/>
        <v>58.792000000000002</v>
      </c>
      <c r="J91" s="14"/>
      <c r="K91" s="16"/>
    </row>
    <row r="92" spans="1:11" ht="12.6" customHeight="1" x14ac:dyDescent="0.2">
      <c r="A92" s="13"/>
      <c r="B92" s="17" t="s">
        <v>90</v>
      </c>
      <c r="C92" s="15"/>
      <c r="D92" s="14"/>
      <c r="E92" s="15">
        <f t="shared" si="7"/>
        <v>30.332000000000001</v>
      </c>
      <c r="F92" s="14"/>
      <c r="G92" s="15">
        <f t="shared" si="6"/>
        <v>0</v>
      </c>
      <c r="H92" s="14"/>
      <c r="I92" s="15">
        <f t="shared" si="8"/>
        <v>58.792000000000002</v>
      </c>
      <c r="J92" s="14"/>
      <c r="K92" s="13" t="s">
        <v>1380</v>
      </c>
    </row>
    <row r="93" spans="1:11" ht="12.6" customHeight="1" x14ac:dyDescent="0.2">
      <c r="A93" s="13"/>
      <c r="B93" s="17" t="s">
        <v>47</v>
      </c>
      <c r="C93" s="15"/>
      <c r="D93" s="14"/>
      <c r="E93" s="15">
        <f t="shared" si="7"/>
        <v>30.332000000000001</v>
      </c>
      <c r="F93" s="14"/>
      <c r="G93" s="15">
        <f t="shared" si="6"/>
        <v>0</v>
      </c>
      <c r="H93" s="14">
        <v>1</v>
      </c>
      <c r="I93" s="15">
        <f t="shared" si="8"/>
        <v>57.792000000000002</v>
      </c>
      <c r="J93" s="14"/>
      <c r="K93" s="13">
        <v>42075</v>
      </c>
    </row>
    <row r="94" spans="1:11" ht="12.6" customHeight="1" x14ac:dyDescent="0.2">
      <c r="A94" s="13"/>
      <c r="B94" s="17" t="s">
        <v>77</v>
      </c>
      <c r="C94" s="15"/>
      <c r="D94" s="14">
        <v>2</v>
      </c>
      <c r="E94" s="15">
        <f t="shared" si="7"/>
        <v>28.332000000000001</v>
      </c>
      <c r="F94" s="14"/>
      <c r="G94" s="15">
        <f t="shared" si="6"/>
        <v>0</v>
      </c>
      <c r="H94" s="14"/>
      <c r="I94" s="15">
        <f t="shared" si="8"/>
        <v>57.792000000000002</v>
      </c>
      <c r="J94" s="14"/>
      <c r="K94" s="13" t="s">
        <v>1381</v>
      </c>
    </row>
    <row r="95" spans="1:11" ht="12.6" customHeight="1" x14ac:dyDescent="0.2">
      <c r="A95" s="92">
        <v>42095</v>
      </c>
      <c r="B95" s="19"/>
      <c r="C95" s="15">
        <v>1.25</v>
      </c>
      <c r="D95" s="14"/>
      <c r="E95" s="15">
        <f t="shared" si="7"/>
        <v>29.582000000000001</v>
      </c>
      <c r="F95" s="14"/>
      <c r="G95" s="15">
        <f t="shared" si="6"/>
        <v>1.25</v>
      </c>
      <c r="H95" s="14"/>
      <c r="I95" s="15">
        <f t="shared" si="8"/>
        <v>59.042000000000002</v>
      </c>
      <c r="J95" s="14"/>
      <c r="K95" s="13"/>
    </row>
    <row r="96" spans="1:11" ht="12.6" customHeight="1" x14ac:dyDescent="0.2">
      <c r="A96" s="13"/>
      <c r="B96" s="17" t="s">
        <v>271</v>
      </c>
      <c r="C96" s="15"/>
      <c r="D96" s="14"/>
      <c r="E96" s="15">
        <f t="shared" si="7"/>
        <v>29.582000000000001</v>
      </c>
      <c r="F96" s="14"/>
      <c r="G96" s="15">
        <f t="shared" si="6"/>
        <v>0</v>
      </c>
      <c r="H96" s="14">
        <v>5</v>
      </c>
      <c r="I96" s="15">
        <f t="shared" si="8"/>
        <v>54.042000000000002</v>
      </c>
      <c r="J96" s="14"/>
      <c r="K96" s="33" t="s">
        <v>1382</v>
      </c>
    </row>
    <row r="97" spans="1:11" ht="12.6" customHeight="1" x14ac:dyDescent="0.2">
      <c r="A97" s="92">
        <v>42125</v>
      </c>
      <c r="B97" s="19"/>
      <c r="C97" s="15">
        <v>1.25</v>
      </c>
      <c r="D97" s="14"/>
      <c r="E97" s="15">
        <f t="shared" si="7"/>
        <v>30.832000000000001</v>
      </c>
      <c r="F97" s="14"/>
      <c r="G97" s="15">
        <f t="shared" si="6"/>
        <v>1.25</v>
      </c>
      <c r="H97" s="14"/>
      <c r="I97" s="15">
        <f t="shared" si="8"/>
        <v>55.292000000000002</v>
      </c>
      <c r="J97" s="14"/>
      <c r="K97" s="13"/>
    </row>
    <row r="98" spans="1:11" ht="12.6" customHeight="1" x14ac:dyDescent="0.2">
      <c r="A98" s="13"/>
      <c r="B98" s="17" t="s">
        <v>47</v>
      </c>
      <c r="C98" s="15"/>
      <c r="D98" s="14"/>
      <c r="E98" s="15">
        <f t="shared" si="7"/>
        <v>30.832000000000001</v>
      </c>
      <c r="F98" s="14"/>
      <c r="G98" s="15">
        <f t="shared" si="6"/>
        <v>0</v>
      </c>
      <c r="H98" s="14">
        <v>1</v>
      </c>
      <c r="I98" s="15">
        <f t="shared" si="8"/>
        <v>54.292000000000002</v>
      </c>
      <c r="J98" s="14"/>
      <c r="K98" s="13">
        <v>41034</v>
      </c>
    </row>
    <row r="99" spans="1:11" ht="12.6" customHeight="1" x14ac:dyDescent="0.2">
      <c r="A99" s="13"/>
      <c r="B99" s="17" t="s">
        <v>47</v>
      </c>
      <c r="C99" s="15"/>
      <c r="D99" s="14"/>
      <c r="E99" s="15">
        <f t="shared" si="7"/>
        <v>30.832000000000001</v>
      </c>
      <c r="F99" s="14"/>
      <c r="G99" s="15">
        <f t="shared" si="6"/>
        <v>0</v>
      </c>
      <c r="H99" s="14">
        <v>1</v>
      </c>
      <c r="I99" s="15">
        <f t="shared" si="8"/>
        <v>53.292000000000002</v>
      </c>
      <c r="J99" s="14"/>
      <c r="K99" s="13">
        <v>42136</v>
      </c>
    </row>
    <row r="100" spans="1:11" ht="12.6" customHeight="1" x14ac:dyDescent="0.2">
      <c r="A100" s="92">
        <v>42156</v>
      </c>
      <c r="B100" s="19"/>
      <c r="C100" s="15">
        <v>1.25</v>
      </c>
      <c r="D100" s="14"/>
      <c r="E100" s="15">
        <f t="shared" si="7"/>
        <v>32.082000000000001</v>
      </c>
      <c r="F100" s="14"/>
      <c r="G100" s="15">
        <f t="shared" si="6"/>
        <v>1.25</v>
      </c>
      <c r="H100" s="14"/>
      <c r="I100" s="15">
        <f t="shared" si="8"/>
        <v>54.542000000000002</v>
      </c>
      <c r="J100" s="14"/>
      <c r="K100" s="13"/>
    </row>
    <row r="101" spans="1:11" ht="12.6" customHeight="1" x14ac:dyDescent="0.2">
      <c r="A101" s="13"/>
      <c r="B101" s="17" t="s">
        <v>47</v>
      </c>
      <c r="C101" s="15"/>
      <c r="D101" s="14"/>
      <c r="E101" s="15">
        <f t="shared" si="7"/>
        <v>32.082000000000001</v>
      </c>
      <c r="F101" s="14"/>
      <c r="G101" s="15">
        <f t="shared" si="6"/>
        <v>0</v>
      </c>
      <c r="H101" s="14">
        <v>1</v>
      </c>
      <c r="I101" s="15">
        <f t="shared" si="8"/>
        <v>53.542000000000002</v>
      </c>
      <c r="J101" s="14"/>
      <c r="K101" s="13">
        <v>42165</v>
      </c>
    </row>
    <row r="102" spans="1:11" ht="12.6" customHeight="1" x14ac:dyDescent="0.2">
      <c r="A102" s="13"/>
      <c r="B102" s="17" t="s">
        <v>57</v>
      </c>
      <c r="C102" s="15"/>
      <c r="D102" s="14">
        <v>1</v>
      </c>
      <c r="E102" s="15">
        <f t="shared" si="7"/>
        <v>31.082000000000001</v>
      </c>
      <c r="F102" s="14"/>
      <c r="G102" s="15">
        <f t="shared" si="6"/>
        <v>0</v>
      </c>
      <c r="H102" s="14"/>
      <c r="I102" s="15">
        <f t="shared" si="8"/>
        <v>53.542000000000002</v>
      </c>
      <c r="J102" s="14"/>
      <c r="K102" s="13">
        <v>42184</v>
      </c>
    </row>
    <row r="103" spans="1:11" ht="12.6" customHeight="1" x14ac:dyDescent="0.2">
      <c r="A103" s="92">
        <v>42186</v>
      </c>
      <c r="B103" s="19"/>
      <c r="C103" s="15">
        <v>1.25</v>
      </c>
      <c r="D103" s="14"/>
      <c r="E103" s="15">
        <f t="shared" si="7"/>
        <v>32.332000000000001</v>
      </c>
      <c r="F103" s="14"/>
      <c r="G103" s="15">
        <f t="shared" si="6"/>
        <v>1.25</v>
      </c>
      <c r="H103" s="14"/>
      <c r="I103" s="15">
        <f t="shared" si="8"/>
        <v>54.792000000000002</v>
      </c>
      <c r="J103" s="14"/>
      <c r="K103" s="19"/>
    </row>
    <row r="104" spans="1:11" ht="12.6" customHeight="1" x14ac:dyDescent="0.2">
      <c r="A104" s="13"/>
      <c r="B104" s="17" t="s">
        <v>95</v>
      </c>
      <c r="C104" s="15"/>
      <c r="D104" s="14">
        <v>3</v>
      </c>
      <c r="E104" s="15">
        <f t="shared" si="7"/>
        <v>29.332000000000001</v>
      </c>
      <c r="F104" s="14"/>
      <c r="G104" s="15">
        <f t="shared" si="6"/>
        <v>0</v>
      </c>
      <c r="H104" s="14"/>
      <c r="I104" s="15">
        <f t="shared" si="8"/>
        <v>54.792000000000002</v>
      </c>
      <c r="J104" s="14"/>
      <c r="K104" s="13" t="s">
        <v>1383</v>
      </c>
    </row>
    <row r="105" spans="1:11" ht="12.6" customHeight="1" x14ac:dyDescent="0.2">
      <c r="A105" s="92">
        <v>42217</v>
      </c>
      <c r="B105" s="19"/>
      <c r="C105" s="15">
        <v>1.25</v>
      </c>
      <c r="D105" s="14"/>
      <c r="E105" s="15">
        <f t="shared" si="7"/>
        <v>30.582000000000001</v>
      </c>
      <c r="F105" s="14"/>
      <c r="G105" s="15">
        <f t="shared" si="6"/>
        <v>1.25</v>
      </c>
      <c r="H105" s="14"/>
      <c r="I105" s="15">
        <f t="shared" si="8"/>
        <v>56.042000000000002</v>
      </c>
      <c r="J105" s="14"/>
      <c r="K105" s="13"/>
    </row>
    <row r="106" spans="1:11" ht="12.6" customHeight="1" x14ac:dyDescent="0.2">
      <c r="A106" s="13"/>
      <c r="B106" s="17" t="s">
        <v>52</v>
      </c>
      <c r="C106" s="15"/>
      <c r="D106" s="14"/>
      <c r="E106" s="15">
        <f t="shared" si="7"/>
        <v>30.582000000000001</v>
      </c>
      <c r="F106" s="14"/>
      <c r="G106" s="15">
        <f t="shared" si="6"/>
        <v>0</v>
      </c>
      <c r="H106" s="14">
        <v>2</v>
      </c>
      <c r="I106" s="15">
        <f t="shared" si="8"/>
        <v>54.042000000000002</v>
      </c>
      <c r="J106" s="14"/>
      <c r="K106" s="13" t="s">
        <v>1384</v>
      </c>
    </row>
    <row r="107" spans="1:11" ht="12.6" customHeight="1" x14ac:dyDescent="0.2">
      <c r="A107" s="92">
        <v>42309</v>
      </c>
      <c r="B107" s="19"/>
      <c r="C107" s="15">
        <v>3.75</v>
      </c>
      <c r="D107" s="14"/>
      <c r="E107" s="15">
        <f t="shared" si="7"/>
        <v>34.332000000000001</v>
      </c>
      <c r="F107" s="14"/>
      <c r="G107" s="15">
        <f t="shared" si="6"/>
        <v>3.75</v>
      </c>
      <c r="H107" s="14"/>
      <c r="I107" s="15">
        <f t="shared" si="8"/>
        <v>57.792000000000002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21.25</v>
      </c>
      <c r="D108" s="15">
        <f>SUM(D82:D107)</f>
        <v>11</v>
      </c>
      <c r="E108" s="15"/>
      <c r="F108" s="14"/>
      <c r="G108" s="15">
        <f>SUM(G82:G107)</f>
        <v>21.25</v>
      </c>
      <c r="H108" s="15">
        <f>SUM(H82:H107)</f>
        <v>14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>
        <f>A1</f>
        <v>0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>
        <f>K1</f>
        <v>0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7" t="s">
        <v>47</v>
      </c>
      <c r="C117" s="15"/>
      <c r="D117" s="14"/>
      <c r="E117" s="15">
        <f>E107+C117-D117</f>
        <v>34.332000000000001</v>
      </c>
      <c r="F117" s="14"/>
      <c r="G117" s="15">
        <f>C117</f>
        <v>0</v>
      </c>
      <c r="H117" s="14">
        <v>1</v>
      </c>
      <c r="I117" s="15">
        <f>I107+G117-H117</f>
        <v>56.792000000000002</v>
      </c>
      <c r="J117" s="14"/>
      <c r="K117" s="13">
        <v>42310</v>
      </c>
    </row>
    <row r="118" spans="1:11" ht="12.6" customHeight="1" x14ac:dyDescent="0.2">
      <c r="A118" s="13"/>
      <c r="B118" s="17" t="s">
        <v>57</v>
      </c>
      <c r="C118" s="15"/>
      <c r="D118" s="14">
        <v>1</v>
      </c>
      <c r="E118" s="15">
        <f>E117+C118-D118</f>
        <v>33.332000000000001</v>
      </c>
      <c r="F118" s="14"/>
      <c r="G118" s="15">
        <f t="shared" ref="G118:G142" si="9">C118</f>
        <v>0</v>
      </c>
      <c r="H118" s="14"/>
      <c r="I118" s="15">
        <f>I117+G118-H118</f>
        <v>56.792000000000002</v>
      </c>
      <c r="J118" s="22"/>
      <c r="K118" s="30">
        <v>42331</v>
      </c>
    </row>
    <row r="119" spans="1:11" ht="12.6" customHeight="1" x14ac:dyDescent="0.2">
      <c r="A119" s="13">
        <v>42339</v>
      </c>
      <c r="B119" s="19"/>
      <c r="C119" s="15">
        <v>1.25</v>
      </c>
      <c r="D119" s="14"/>
      <c r="E119" s="15">
        <f t="shared" ref="E119:E142" si="10">E118+C119-D119</f>
        <v>34.582000000000001</v>
      </c>
      <c r="F119" s="14"/>
      <c r="G119" s="15">
        <f t="shared" si="9"/>
        <v>1.25</v>
      </c>
      <c r="H119" s="14"/>
      <c r="I119" s="15">
        <f t="shared" ref="I119:I142" si="11">I118+G119-H119</f>
        <v>58.042000000000002</v>
      </c>
      <c r="J119" s="14"/>
      <c r="K119" s="16"/>
    </row>
    <row r="120" spans="1:11" ht="12.6" customHeight="1" x14ac:dyDescent="0.2">
      <c r="A120" s="13"/>
      <c r="B120" s="17" t="s">
        <v>67</v>
      </c>
      <c r="C120" s="15"/>
      <c r="D120" s="14"/>
      <c r="E120" s="15">
        <f t="shared" si="10"/>
        <v>34.582000000000001</v>
      </c>
      <c r="F120" s="14"/>
      <c r="G120" s="15">
        <f t="shared" si="9"/>
        <v>0</v>
      </c>
      <c r="H120" s="14">
        <v>3</v>
      </c>
      <c r="I120" s="15">
        <f t="shared" si="11"/>
        <v>55.042000000000002</v>
      </c>
      <c r="J120" s="14"/>
      <c r="K120" s="13" t="s">
        <v>1385</v>
      </c>
    </row>
    <row r="121" spans="1:11" ht="12.6" customHeight="1" x14ac:dyDescent="0.2">
      <c r="A121" s="29">
        <v>42370</v>
      </c>
      <c r="B121" s="19"/>
      <c r="C121" s="15">
        <v>1.25</v>
      </c>
      <c r="D121" s="14"/>
      <c r="E121" s="15">
        <f t="shared" si="10"/>
        <v>35.832000000000001</v>
      </c>
      <c r="F121" s="14"/>
      <c r="G121" s="15">
        <f t="shared" si="9"/>
        <v>1.25</v>
      </c>
      <c r="H121" s="14"/>
      <c r="I121" s="15">
        <f t="shared" si="11"/>
        <v>56.292000000000002</v>
      </c>
      <c r="J121" s="14"/>
      <c r="K121" s="13"/>
    </row>
    <row r="122" spans="1:11" ht="12.6" customHeight="1" x14ac:dyDescent="0.2">
      <c r="A122" s="13"/>
      <c r="B122" s="17" t="s">
        <v>1226</v>
      </c>
      <c r="C122" s="15"/>
      <c r="D122" s="14"/>
      <c r="E122" s="15">
        <f t="shared" si="10"/>
        <v>35.832000000000001</v>
      </c>
      <c r="F122" s="14"/>
      <c r="G122" s="15">
        <f t="shared" si="9"/>
        <v>0</v>
      </c>
      <c r="H122" s="14"/>
      <c r="I122" s="15">
        <f t="shared" si="11"/>
        <v>56.292000000000002</v>
      </c>
      <c r="J122" s="14"/>
      <c r="K122" s="13" t="s">
        <v>1386</v>
      </c>
    </row>
    <row r="123" spans="1:11" ht="12.6" customHeight="1" x14ac:dyDescent="0.2">
      <c r="A123" s="13"/>
      <c r="B123" s="17" t="s">
        <v>67</v>
      </c>
      <c r="C123" s="15"/>
      <c r="D123" s="14"/>
      <c r="E123" s="15">
        <f t="shared" si="10"/>
        <v>35.832000000000001</v>
      </c>
      <c r="F123" s="14"/>
      <c r="G123" s="15">
        <f t="shared" si="9"/>
        <v>0</v>
      </c>
      <c r="H123" s="14">
        <v>3</v>
      </c>
      <c r="I123" s="15">
        <f t="shared" si="11"/>
        <v>53.292000000000002</v>
      </c>
      <c r="J123" s="14"/>
      <c r="K123" s="13" t="s">
        <v>1387</v>
      </c>
    </row>
    <row r="124" spans="1:11" ht="12.6" customHeight="1" x14ac:dyDescent="0.2">
      <c r="A124" s="29">
        <v>42401</v>
      </c>
      <c r="B124" s="19"/>
      <c r="C124" s="15">
        <v>1.25</v>
      </c>
      <c r="D124" s="14"/>
      <c r="E124" s="15">
        <f t="shared" si="10"/>
        <v>37.082000000000001</v>
      </c>
      <c r="F124" s="14"/>
      <c r="G124" s="15">
        <f t="shared" si="9"/>
        <v>1.25</v>
      </c>
      <c r="H124" s="14"/>
      <c r="I124" s="15">
        <f t="shared" si="11"/>
        <v>54.542000000000002</v>
      </c>
      <c r="J124" s="14"/>
      <c r="K124" s="16"/>
    </row>
    <row r="125" spans="1:11" ht="12.6" customHeight="1" x14ac:dyDescent="0.2">
      <c r="A125" s="13"/>
      <c r="B125" s="17" t="s">
        <v>1388</v>
      </c>
      <c r="C125" s="15"/>
      <c r="D125" s="14">
        <v>1.583</v>
      </c>
      <c r="E125" s="15">
        <f t="shared" si="10"/>
        <v>35.499000000000002</v>
      </c>
      <c r="F125" s="14"/>
      <c r="G125" s="15">
        <f t="shared" si="9"/>
        <v>0</v>
      </c>
      <c r="H125" s="14"/>
      <c r="I125" s="15">
        <f t="shared" si="11"/>
        <v>54.542000000000002</v>
      </c>
      <c r="J125" s="14"/>
      <c r="K125" s="16" t="s">
        <v>498</v>
      </c>
    </row>
    <row r="126" spans="1:11" ht="12.6" customHeight="1" x14ac:dyDescent="0.2">
      <c r="A126" s="29">
        <v>42430</v>
      </c>
      <c r="B126" s="17"/>
      <c r="C126" s="15">
        <v>1.25</v>
      </c>
      <c r="D126" s="14"/>
      <c r="E126" s="15">
        <f t="shared" si="10"/>
        <v>36.749000000000002</v>
      </c>
      <c r="F126" s="14"/>
      <c r="G126" s="15">
        <f t="shared" si="9"/>
        <v>1.25</v>
      </c>
      <c r="H126" s="14"/>
      <c r="I126" s="15">
        <f t="shared" si="11"/>
        <v>55.792000000000002</v>
      </c>
      <c r="J126" s="14"/>
      <c r="K126" s="16"/>
    </row>
    <row r="127" spans="1:11" ht="12.6" customHeight="1" x14ac:dyDescent="0.2">
      <c r="A127" s="13"/>
      <c r="B127" s="17" t="s">
        <v>52</v>
      </c>
      <c r="C127" s="15"/>
      <c r="D127" s="14"/>
      <c r="E127" s="15">
        <f t="shared" si="10"/>
        <v>36.749000000000002</v>
      </c>
      <c r="F127" s="14"/>
      <c r="G127" s="15">
        <f t="shared" si="9"/>
        <v>0</v>
      </c>
      <c r="H127" s="14">
        <v>2</v>
      </c>
      <c r="I127" s="15">
        <f t="shared" si="11"/>
        <v>53.792000000000002</v>
      </c>
      <c r="J127" s="14"/>
      <c r="K127" s="13" t="s">
        <v>1389</v>
      </c>
    </row>
    <row r="128" spans="1:11" ht="12.6" customHeight="1" x14ac:dyDescent="0.2">
      <c r="A128" s="13"/>
      <c r="B128" s="17" t="s">
        <v>47</v>
      </c>
      <c r="C128" s="15"/>
      <c r="D128" s="14"/>
      <c r="E128" s="15">
        <f t="shared" si="10"/>
        <v>36.749000000000002</v>
      </c>
      <c r="F128" s="14"/>
      <c r="G128" s="15">
        <f t="shared" si="9"/>
        <v>0</v>
      </c>
      <c r="H128" s="14">
        <v>1</v>
      </c>
      <c r="I128" s="15">
        <f t="shared" si="11"/>
        <v>52.792000000000002</v>
      </c>
      <c r="J128" s="14"/>
      <c r="K128" s="13">
        <v>42445</v>
      </c>
    </row>
    <row r="129" spans="1:11" ht="12.6" customHeight="1" x14ac:dyDescent="0.2">
      <c r="A129" s="29">
        <v>42461</v>
      </c>
      <c r="C129" s="15">
        <v>1.25</v>
      </c>
      <c r="D129" s="14"/>
      <c r="E129" s="15">
        <f t="shared" si="10"/>
        <v>37.999000000000002</v>
      </c>
      <c r="F129" s="14"/>
      <c r="G129" s="15">
        <f t="shared" si="9"/>
        <v>1.25</v>
      </c>
      <c r="H129" s="14"/>
      <c r="I129" s="15">
        <f t="shared" si="11"/>
        <v>54.042000000000002</v>
      </c>
      <c r="J129" s="14"/>
      <c r="K129" s="13"/>
    </row>
    <row r="130" spans="1:11" ht="12.6" customHeight="1" x14ac:dyDescent="0.2">
      <c r="A130" s="13"/>
      <c r="B130" s="17" t="s">
        <v>47</v>
      </c>
      <c r="C130" s="15"/>
      <c r="D130" s="14"/>
      <c r="E130" s="15">
        <f t="shared" si="10"/>
        <v>37.999000000000002</v>
      </c>
      <c r="F130" s="14"/>
      <c r="G130" s="15">
        <f t="shared" si="9"/>
        <v>0</v>
      </c>
      <c r="H130" s="14">
        <v>1</v>
      </c>
      <c r="I130" s="15">
        <f t="shared" si="11"/>
        <v>53.042000000000002</v>
      </c>
      <c r="J130" s="14"/>
      <c r="K130" s="13">
        <v>42475</v>
      </c>
    </row>
    <row r="131" spans="1:11" ht="12.6" customHeight="1" x14ac:dyDescent="0.2">
      <c r="A131" s="29">
        <v>42491</v>
      </c>
      <c r="B131" s="19"/>
      <c r="C131" s="15">
        <v>1.25</v>
      </c>
      <c r="D131" s="14"/>
      <c r="E131" s="15">
        <f t="shared" si="10"/>
        <v>39.249000000000002</v>
      </c>
      <c r="F131" s="14"/>
      <c r="G131" s="15">
        <f t="shared" si="9"/>
        <v>1.25</v>
      </c>
      <c r="H131" s="14"/>
      <c r="I131" s="15">
        <f t="shared" si="11"/>
        <v>54.292000000000002</v>
      </c>
      <c r="J131" s="14"/>
      <c r="K131" s="33"/>
    </row>
    <row r="132" spans="1:11" ht="12.6" customHeight="1" x14ac:dyDescent="0.2">
      <c r="A132" s="13"/>
      <c r="B132" s="17" t="s">
        <v>47</v>
      </c>
      <c r="C132" s="15"/>
      <c r="D132" s="14"/>
      <c r="E132" s="15">
        <f t="shared" si="10"/>
        <v>39.249000000000002</v>
      </c>
      <c r="F132" s="14"/>
      <c r="G132" s="15">
        <f t="shared" si="9"/>
        <v>0</v>
      </c>
      <c r="H132" s="14">
        <v>1</v>
      </c>
      <c r="I132" s="15">
        <f t="shared" si="11"/>
        <v>53.292000000000002</v>
      </c>
      <c r="J132" s="14"/>
      <c r="K132" s="13">
        <v>42503</v>
      </c>
    </row>
    <row r="133" spans="1:11" ht="12.6" customHeight="1" x14ac:dyDescent="0.2">
      <c r="A133" s="29">
        <v>42552</v>
      </c>
      <c r="B133" s="19"/>
      <c r="C133" s="15">
        <v>2.5</v>
      </c>
      <c r="D133" s="14"/>
      <c r="E133" s="15">
        <f t="shared" si="10"/>
        <v>41.749000000000002</v>
      </c>
      <c r="F133" s="14"/>
      <c r="G133" s="15">
        <f t="shared" si="9"/>
        <v>2.5</v>
      </c>
      <c r="H133" s="14"/>
      <c r="I133" s="15">
        <f t="shared" si="11"/>
        <v>55.792000000000002</v>
      </c>
      <c r="J133" s="14"/>
      <c r="K133" s="16"/>
    </row>
    <row r="134" spans="1:11" ht="12.6" customHeight="1" x14ac:dyDescent="0.2">
      <c r="A134" s="13"/>
      <c r="B134" s="17" t="s">
        <v>47</v>
      </c>
      <c r="C134" s="15"/>
      <c r="D134" s="14"/>
      <c r="E134" s="15">
        <f t="shared" si="10"/>
        <v>41.749000000000002</v>
      </c>
      <c r="F134" s="14"/>
      <c r="G134" s="15">
        <f t="shared" si="9"/>
        <v>0</v>
      </c>
      <c r="H134" s="14">
        <v>1</v>
      </c>
      <c r="I134" s="15">
        <f t="shared" si="11"/>
        <v>54.792000000000002</v>
      </c>
      <c r="J134" s="14"/>
      <c r="K134" s="13">
        <v>42564</v>
      </c>
    </row>
    <row r="135" spans="1:11" ht="12.6" customHeight="1" x14ac:dyDescent="0.2">
      <c r="A135" s="29">
        <v>42614</v>
      </c>
      <c r="B135" s="19"/>
      <c r="C135" s="15">
        <v>2.5</v>
      </c>
      <c r="D135" s="14"/>
      <c r="E135" s="15">
        <f t="shared" si="10"/>
        <v>44.249000000000002</v>
      </c>
      <c r="F135" s="14"/>
      <c r="G135" s="15">
        <f t="shared" si="9"/>
        <v>2.5</v>
      </c>
      <c r="H135" s="14"/>
      <c r="I135" s="15">
        <f t="shared" si="11"/>
        <v>57.292000000000002</v>
      </c>
      <c r="J135" s="14"/>
      <c r="K135" s="13"/>
    </row>
    <row r="136" spans="1:11" ht="12.6" customHeight="1" x14ac:dyDescent="0.2">
      <c r="A136" s="13"/>
      <c r="B136" s="19"/>
      <c r="C136" s="15"/>
      <c r="D136" s="14"/>
      <c r="E136" s="15">
        <f t="shared" si="10"/>
        <v>44.249000000000002</v>
      </c>
      <c r="F136" s="14"/>
      <c r="G136" s="15">
        <f t="shared" si="9"/>
        <v>0</v>
      </c>
      <c r="H136" s="14"/>
      <c r="I136" s="15">
        <f t="shared" si="11"/>
        <v>57.292000000000002</v>
      </c>
      <c r="J136" s="14"/>
      <c r="K136" s="13"/>
    </row>
    <row r="137" spans="1:11" ht="12.6" customHeight="1" x14ac:dyDescent="0.2">
      <c r="A137" s="13"/>
      <c r="B137" s="17" t="s">
        <v>47</v>
      </c>
      <c r="C137" s="15"/>
      <c r="D137" s="14"/>
      <c r="E137" s="15">
        <f t="shared" si="10"/>
        <v>44.249000000000002</v>
      </c>
      <c r="F137" s="14"/>
      <c r="G137" s="15">
        <f t="shared" si="9"/>
        <v>0</v>
      </c>
      <c r="H137" s="14">
        <v>1</v>
      </c>
      <c r="I137" s="15">
        <f t="shared" si="11"/>
        <v>56.292000000000002</v>
      </c>
      <c r="J137" s="14"/>
      <c r="K137" s="13">
        <v>42639</v>
      </c>
    </row>
    <row r="138" spans="1:11" ht="12.6" customHeight="1" x14ac:dyDescent="0.2">
      <c r="A138" s="29">
        <v>42675</v>
      </c>
      <c r="B138" s="19"/>
      <c r="C138" s="15">
        <v>2.5</v>
      </c>
      <c r="D138" s="14"/>
      <c r="E138" s="15">
        <f t="shared" si="10"/>
        <v>46.749000000000002</v>
      </c>
      <c r="F138" s="14"/>
      <c r="G138" s="15">
        <f t="shared" si="9"/>
        <v>2.5</v>
      </c>
      <c r="H138" s="14"/>
      <c r="I138" s="15">
        <f t="shared" si="11"/>
        <v>58.792000000000002</v>
      </c>
      <c r="J138" s="14"/>
      <c r="K138" s="19"/>
    </row>
    <row r="139" spans="1:11" ht="12.6" customHeight="1" x14ac:dyDescent="0.2">
      <c r="A139" s="13"/>
      <c r="B139" s="17" t="s">
        <v>47</v>
      </c>
      <c r="C139" s="15"/>
      <c r="D139" s="14"/>
      <c r="E139" s="15">
        <f t="shared" si="10"/>
        <v>46.749000000000002</v>
      </c>
      <c r="F139" s="14"/>
      <c r="G139" s="15">
        <f t="shared" si="9"/>
        <v>0</v>
      </c>
      <c r="H139" s="14">
        <v>1</v>
      </c>
      <c r="I139" s="15">
        <f t="shared" si="11"/>
        <v>57.792000000000002</v>
      </c>
      <c r="J139" s="14"/>
      <c r="K139" s="13">
        <v>42678</v>
      </c>
    </row>
    <row r="140" spans="1:11" ht="12.6" customHeight="1" x14ac:dyDescent="0.2">
      <c r="A140" s="13">
        <v>42705</v>
      </c>
      <c r="B140" s="19"/>
      <c r="C140" s="15">
        <v>1.25</v>
      </c>
      <c r="D140" s="14"/>
      <c r="E140" s="15">
        <f t="shared" si="10"/>
        <v>47.999000000000002</v>
      </c>
      <c r="F140" s="14"/>
      <c r="G140" s="15">
        <f t="shared" si="9"/>
        <v>1.25</v>
      </c>
      <c r="H140" s="14"/>
      <c r="I140" s="15">
        <f t="shared" si="11"/>
        <v>59.042000000000002</v>
      </c>
      <c r="J140" s="14"/>
      <c r="K140" s="13"/>
    </row>
    <row r="141" spans="1:11" ht="12.6" customHeight="1" x14ac:dyDescent="0.2">
      <c r="A141" s="13"/>
      <c r="B141" s="17" t="s">
        <v>65</v>
      </c>
      <c r="C141" s="15"/>
      <c r="D141" s="14">
        <v>5</v>
      </c>
      <c r="E141" s="15">
        <f t="shared" si="10"/>
        <v>42.999000000000002</v>
      </c>
      <c r="F141" s="14"/>
      <c r="G141" s="15">
        <f t="shared" si="9"/>
        <v>0</v>
      </c>
      <c r="H141" s="14"/>
      <c r="I141" s="15">
        <f t="shared" si="11"/>
        <v>59.042000000000002</v>
      </c>
      <c r="J141" s="14"/>
      <c r="K141" s="13" t="s">
        <v>1390</v>
      </c>
    </row>
    <row r="142" spans="1:11" ht="12.6" customHeight="1" x14ac:dyDescent="0.2">
      <c r="A142" s="13">
        <v>42736</v>
      </c>
      <c r="B142" s="19"/>
      <c r="C142" s="15">
        <v>1.25</v>
      </c>
      <c r="D142" s="14"/>
      <c r="E142" s="15">
        <f t="shared" si="10"/>
        <v>44.249000000000002</v>
      </c>
      <c r="F142" s="14"/>
      <c r="G142" s="15">
        <f t="shared" si="9"/>
        <v>1.25</v>
      </c>
      <c r="H142" s="14"/>
      <c r="I142" s="15">
        <f t="shared" si="11"/>
        <v>60.292000000000002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17.5</v>
      </c>
      <c r="D143" s="15">
        <f>SUM(D117:D142)</f>
        <v>7.5830000000000002</v>
      </c>
      <c r="E143" s="15"/>
      <c r="F143" s="14"/>
      <c r="G143" s="15">
        <f>SUM(G117:G142)</f>
        <v>17.5</v>
      </c>
      <c r="H143" s="15">
        <f>SUM(H117:H142)</f>
        <v>15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>
        <f>A1</f>
        <v>0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>
        <f>K1</f>
        <v>0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47</v>
      </c>
      <c r="C156" s="15"/>
      <c r="D156" s="14"/>
      <c r="E156" s="15">
        <f>E142+C156-D156</f>
        <v>44.249000000000002</v>
      </c>
      <c r="F156" s="14"/>
      <c r="G156" s="15">
        <f>C156</f>
        <v>0</v>
      </c>
      <c r="H156" s="14">
        <v>1</v>
      </c>
      <c r="I156" s="15">
        <f>I142+G156-H156</f>
        <v>59.292000000000002</v>
      </c>
      <c r="J156" s="14"/>
      <c r="K156" s="13">
        <v>42737</v>
      </c>
    </row>
    <row r="157" spans="1:11" ht="12.6" customHeight="1" x14ac:dyDescent="0.2">
      <c r="A157" s="13"/>
      <c r="B157" s="19" t="s">
        <v>1391</v>
      </c>
      <c r="C157" s="15"/>
      <c r="D157" s="14"/>
      <c r="E157" s="15">
        <f>E156+C157-D157</f>
        <v>44.249000000000002</v>
      </c>
      <c r="F157" s="14"/>
      <c r="G157" s="15">
        <f t="shared" ref="G157:G181" si="12">C157</f>
        <v>0</v>
      </c>
      <c r="H157" s="14"/>
      <c r="I157" s="15">
        <f>I156+G157-H157</f>
        <v>59.292000000000002</v>
      </c>
      <c r="J157" s="14"/>
      <c r="K157" s="13" t="s">
        <v>1392</v>
      </c>
    </row>
    <row r="158" spans="1:11" ht="12.6" customHeight="1" x14ac:dyDescent="0.2">
      <c r="A158" s="13">
        <v>42767</v>
      </c>
      <c r="B158" s="19"/>
      <c r="C158" s="15">
        <v>1.25</v>
      </c>
      <c r="D158" s="14"/>
      <c r="E158" s="15">
        <f t="shared" ref="E158:E181" si="13">E157+C158-D158</f>
        <v>45.499000000000002</v>
      </c>
      <c r="F158" s="22"/>
      <c r="G158" s="15">
        <f t="shared" si="12"/>
        <v>1.25</v>
      </c>
      <c r="H158" s="34"/>
      <c r="I158" s="15">
        <f t="shared" ref="I158:I181" si="14">I157+G158-H158</f>
        <v>60.542000000000002</v>
      </c>
      <c r="J158" s="14"/>
      <c r="K158" s="13"/>
    </row>
    <row r="159" spans="1:11" ht="12.6" customHeight="1" x14ac:dyDescent="0.2">
      <c r="A159" s="13"/>
      <c r="B159" s="19" t="s">
        <v>1393</v>
      </c>
      <c r="C159" s="15"/>
      <c r="D159" s="14">
        <v>1.2290000000000001</v>
      </c>
      <c r="E159" s="15">
        <f t="shared" si="13"/>
        <v>44.27</v>
      </c>
      <c r="F159" s="14"/>
      <c r="G159" s="15">
        <f t="shared" si="12"/>
        <v>0</v>
      </c>
      <c r="H159" s="34"/>
      <c r="I159" s="15">
        <f t="shared" si="14"/>
        <v>60.542000000000002</v>
      </c>
      <c r="J159" s="14"/>
      <c r="K159" s="13" t="s">
        <v>498</v>
      </c>
    </row>
    <row r="160" spans="1:11" ht="12.6" customHeight="1" x14ac:dyDescent="0.2">
      <c r="A160" s="13">
        <v>42795</v>
      </c>
      <c r="B160" s="19"/>
      <c r="C160" s="15">
        <v>1.25</v>
      </c>
      <c r="D160" s="14"/>
      <c r="E160" s="15">
        <f t="shared" si="13"/>
        <v>45.52</v>
      </c>
      <c r="F160" s="14"/>
      <c r="G160" s="15">
        <f t="shared" si="12"/>
        <v>1.25</v>
      </c>
      <c r="H160" s="34"/>
      <c r="I160" s="15">
        <f t="shared" si="14"/>
        <v>61.792000000000002</v>
      </c>
      <c r="J160" s="14"/>
      <c r="K160" s="16"/>
    </row>
    <row r="161" spans="1:11" ht="12.6" customHeight="1" x14ac:dyDescent="0.2">
      <c r="A161" s="13"/>
      <c r="B161" s="19" t="s">
        <v>1394</v>
      </c>
      <c r="C161" s="15"/>
      <c r="D161" s="14"/>
      <c r="E161" s="15">
        <f t="shared" si="13"/>
        <v>45.52</v>
      </c>
      <c r="F161" s="14"/>
      <c r="G161" s="15">
        <f t="shared" si="12"/>
        <v>0</v>
      </c>
      <c r="H161" s="34"/>
      <c r="I161" s="15">
        <f t="shared" si="14"/>
        <v>61.792000000000002</v>
      </c>
      <c r="J161" s="14"/>
      <c r="K161" s="13" t="s">
        <v>1395</v>
      </c>
    </row>
    <row r="162" spans="1:11" ht="12.6" customHeight="1" x14ac:dyDescent="0.2">
      <c r="A162" s="13"/>
      <c r="B162" s="19" t="s">
        <v>47</v>
      </c>
      <c r="C162" s="15"/>
      <c r="D162" s="14"/>
      <c r="E162" s="15">
        <f t="shared" si="13"/>
        <v>45.52</v>
      </c>
      <c r="F162" s="14"/>
      <c r="G162" s="15">
        <f t="shared" si="12"/>
        <v>0</v>
      </c>
      <c r="H162" s="34">
        <v>1</v>
      </c>
      <c r="I162" s="15">
        <f t="shared" si="14"/>
        <v>60.792000000000002</v>
      </c>
      <c r="J162" s="14"/>
      <c r="K162" s="13">
        <v>42823</v>
      </c>
    </row>
    <row r="163" spans="1:11" ht="12.6" customHeight="1" x14ac:dyDescent="0.2">
      <c r="A163" s="13">
        <v>42887</v>
      </c>
      <c r="B163" s="19"/>
      <c r="C163" s="15">
        <v>3.75</v>
      </c>
      <c r="D163" s="22"/>
      <c r="E163" s="15">
        <f t="shared" si="13"/>
        <v>49.27</v>
      </c>
      <c r="F163" s="22"/>
      <c r="G163" s="15">
        <f t="shared" si="12"/>
        <v>3.75</v>
      </c>
      <c r="H163" s="14"/>
      <c r="I163" s="15">
        <f t="shared" si="14"/>
        <v>64.542000000000002</v>
      </c>
      <c r="J163" s="14"/>
      <c r="K163" s="13"/>
    </row>
    <row r="164" spans="1:11" ht="12.6" customHeight="1" x14ac:dyDescent="0.2">
      <c r="A164" s="13"/>
      <c r="B164" s="19" t="s">
        <v>47</v>
      </c>
      <c r="C164" s="15"/>
      <c r="D164" s="22"/>
      <c r="E164" s="15">
        <f t="shared" si="13"/>
        <v>49.27</v>
      </c>
      <c r="F164" s="14"/>
      <c r="G164" s="15">
        <f t="shared" si="12"/>
        <v>0</v>
      </c>
      <c r="H164" s="34">
        <v>1</v>
      </c>
      <c r="I164" s="15">
        <f t="shared" si="14"/>
        <v>63.542000000000002</v>
      </c>
      <c r="J164" s="14"/>
      <c r="K164" s="13">
        <v>42892</v>
      </c>
    </row>
    <row r="165" spans="1:11" ht="12.6" customHeight="1" x14ac:dyDescent="0.2">
      <c r="A165" s="13"/>
      <c r="B165" s="19" t="s">
        <v>87</v>
      </c>
      <c r="C165" s="15"/>
      <c r="D165" s="14">
        <v>3</v>
      </c>
      <c r="E165" s="15">
        <f t="shared" si="13"/>
        <v>46.27</v>
      </c>
      <c r="F165" s="14"/>
      <c r="G165" s="15">
        <f t="shared" si="12"/>
        <v>0</v>
      </c>
      <c r="H165" s="34"/>
      <c r="I165" s="15">
        <f t="shared" si="14"/>
        <v>63.542000000000002</v>
      </c>
      <c r="J165" s="14"/>
      <c r="K165" s="13" t="s">
        <v>1396</v>
      </c>
    </row>
    <row r="166" spans="1:11" ht="12.6" customHeight="1" x14ac:dyDescent="0.2">
      <c r="A166" s="13">
        <v>42917</v>
      </c>
      <c r="B166" s="19"/>
      <c r="C166" s="15">
        <v>1.25</v>
      </c>
      <c r="D166" s="14"/>
      <c r="E166" s="15">
        <f t="shared" si="13"/>
        <v>47.52</v>
      </c>
      <c r="F166" s="22"/>
      <c r="G166" s="15">
        <f t="shared" si="12"/>
        <v>1.25</v>
      </c>
      <c r="H166" s="34"/>
      <c r="I166" s="15">
        <f t="shared" si="14"/>
        <v>64.792000000000002</v>
      </c>
      <c r="J166" s="14"/>
      <c r="K166" s="13"/>
    </row>
    <row r="167" spans="1:11" ht="12.6" customHeight="1" x14ac:dyDescent="0.2">
      <c r="A167" s="13"/>
      <c r="B167" s="19" t="s">
        <v>52</v>
      </c>
      <c r="C167" s="15"/>
      <c r="D167" s="14"/>
      <c r="E167" s="15">
        <f t="shared" si="13"/>
        <v>47.52</v>
      </c>
      <c r="F167" s="22"/>
      <c r="G167" s="15">
        <f t="shared" si="12"/>
        <v>0</v>
      </c>
      <c r="H167" s="35">
        <v>2</v>
      </c>
      <c r="I167" s="15">
        <f t="shared" si="14"/>
        <v>62.792000000000002</v>
      </c>
      <c r="J167" s="14"/>
      <c r="K167" s="16" t="s">
        <v>1397</v>
      </c>
    </row>
    <row r="168" spans="1:11" ht="12.6" customHeight="1" x14ac:dyDescent="0.2">
      <c r="A168" s="13"/>
      <c r="B168" s="19" t="s">
        <v>47</v>
      </c>
      <c r="C168" s="15"/>
      <c r="D168" s="14"/>
      <c r="E168" s="15">
        <f t="shared" si="13"/>
        <v>47.52</v>
      </c>
      <c r="F168" s="14"/>
      <c r="G168" s="15">
        <f t="shared" si="12"/>
        <v>0</v>
      </c>
      <c r="H168" s="32">
        <v>1</v>
      </c>
      <c r="I168" s="15">
        <f t="shared" si="14"/>
        <v>61.792000000000002</v>
      </c>
      <c r="J168" s="14"/>
      <c r="K168" s="13">
        <v>42944</v>
      </c>
    </row>
    <row r="169" spans="1:11" ht="12.6" customHeight="1" x14ac:dyDescent="0.2">
      <c r="A169" s="13">
        <v>42979</v>
      </c>
      <c r="B169" s="19"/>
      <c r="C169" s="15">
        <v>2.5</v>
      </c>
      <c r="D169" s="14"/>
      <c r="E169" s="15">
        <f t="shared" si="13"/>
        <v>50.02</v>
      </c>
      <c r="F169" s="22"/>
      <c r="G169" s="15">
        <f t="shared" si="12"/>
        <v>2.5</v>
      </c>
      <c r="H169" s="34"/>
      <c r="I169" s="15">
        <f t="shared" si="14"/>
        <v>64.292000000000002</v>
      </c>
      <c r="J169" s="14"/>
      <c r="K169" s="13"/>
    </row>
    <row r="170" spans="1:11" ht="12.6" customHeight="1" x14ac:dyDescent="0.2">
      <c r="A170" s="13"/>
      <c r="B170" s="19" t="s">
        <v>125</v>
      </c>
      <c r="C170" s="15"/>
      <c r="D170" s="14"/>
      <c r="E170" s="15">
        <f t="shared" si="13"/>
        <v>50.02</v>
      </c>
      <c r="F170" s="14"/>
      <c r="G170" s="15">
        <f t="shared" si="12"/>
        <v>0</v>
      </c>
      <c r="H170" s="14">
        <v>4</v>
      </c>
      <c r="I170" s="15">
        <f t="shared" si="14"/>
        <v>60.292000000000002</v>
      </c>
      <c r="J170" s="14"/>
      <c r="K170" s="13" t="s">
        <v>1398</v>
      </c>
    </row>
    <row r="171" spans="1:11" ht="12.6" customHeight="1" x14ac:dyDescent="0.2">
      <c r="A171" s="13">
        <v>43070</v>
      </c>
      <c r="B171" s="19"/>
      <c r="C171" s="15">
        <v>3.75</v>
      </c>
      <c r="D171" s="14"/>
      <c r="E171" s="15">
        <f t="shared" si="13"/>
        <v>53.77</v>
      </c>
      <c r="F171" s="14"/>
      <c r="G171" s="15">
        <f t="shared" si="12"/>
        <v>3.75</v>
      </c>
      <c r="H171" s="34"/>
      <c r="I171" s="15">
        <f t="shared" si="14"/>
        <v>64.042000000000002</v>
      </c>
      <c r="J171" s="14"/>
      <c r="K171" s="16"/>
    </row>
    <row r="172" spans="1:11" ht="12.6" customHeight="1" x14ac:dyDescent="0.2">
      <c r="A172" s="13"/>
      <c r="B172" s="19" t="s">
        <v>77</v>
      </c>
      <c r="C172" s="15"/>
      <c r="D172" s="14">
        <v>2</v>
      </c>
      <c r="E172" s="15">
        <f t="shared" si="13"/>
        <v>51.77</v>
      </c>
      <c r="F172" s="14"/>
      <c r="G172" s="15">
        <f t="shared" si="12"/>
        <v>0</v>
      </c>
      <c r="H172" s="34"/>
      <c r="I172" s="15">
        <f t="shared" si="14"/>
        <v>64.042000000000002</v>
      </c>
      <c r="J172" s="14"/>
      <c r="K172" s="13" t="s">
        <v>1399</v>
      </c>
    </row>
    <row r="173" spans="1:11" ht="12.6" customHeight="1" x14ac:dyDescent="0.2">
      <c r="A173" s="13">
        <v>43101</v>
      </c>
      <c r="B173" s="19"/>
      <c r="C173" s="15">
        <v>1.25</v>
      </c>
      <c r="D173" s="14"/>
      <c r="E173" s="15">
        <f t="shared" si="13"/>
        <v>53.02</v>
      </c>
      <c r="F173" s="14"/>
      <c r="G173" s="15">
        <f t="shared" si="12"/>
        <v>1.25</v>
      </c>
      <c r="H173" s="35"/>
      <c r="I173" s="15">
        <f t="shared" si="14"/>
        <v>65.292000000000002</v>
      </c>
      <c r="J173" s="14"/>
      <c r="K173" s="13"/>
    </row>
    <row r="174" spans="1:11" ht="12.6" customHeight="1" x14ac:dyDescent="0.2">
      <c r="A174" s="13"/>
      <c r="B174" s="19" t="s">
        <v>47</v>
      </c>
      <c r="C174" s="15"/>
      <c r="D174" s="14"/>
      <c r="E174" s="15">
        <f t="shared" si="13"/>
        <v>53.02</v>
      </c>
      <c r="F174" s="22"/>
      <c r="G174" s="15">
        <f t="shared" si="12"/>
        <v>0</v>
      </c>
      <c r="H174" s="14">
        <v>1</v>
      </c>
      <c r="I174" s="15">
        <f t="shared" si="14"/>
        <v>64.292000000000002</v>
      </c>
      <c r="J174" s="14"/>
      <c r="K174" s="13">
        <v>43122</v>
      </c>
    </row>
    <row r="175" spans="1:11" ht="12.6" customHeight="1" x14ac:dyDescent="0.2">
      <c r="A175" s="13">
        <v>43160</v>
      </c>
      <c r="B175" s="19"/>
      <c r="C175" s="15">
        <v>2.5</v>
      </c>
      <c r="D175" s="14"/>
      <c r="E175" s="15">
        <f t="shared" si="13"/>
        <v>55.52</v>
      </c>
      <c r="F175" s="22"/>
      <c r="G175" s="15">
        <f t="shared" si="12"/>
        <v>2.5</v>
      </c>
      <c r="H175" s="34"/>
      <c r="I175" s="15">
        <f t="shared" si="14"/>
        <v>66.792000000000002</v>
      </c>
      <c r="J175" s="14"/>
      <c r="K175" s="13"/>
    </row>
    <row r="176" spans="1:11" ht="12.6" customHeight="1" x14ac:dyDescent="0.2">
      <c r="A176" s="13"/>
      <c r="B176" s="19" t="s">
        <v>1400</v>
      </c>
      <c r="C176" s="15"/>
      <c r="D176" s="14">
        <v>2.194</v>
      </c>
      <c r="E176" s="15">
        <f t="shared" si="13"/>
        <v>53.326000000000001</v>
      </c>
      <c r="F176" s="14"/>
      <c r="G176" s="15">
        <f t="shared" si="12"/>
        <v>0</v>
      </c>
      <c r="H176" s="32"/>
      <c r="I176" s="15">
        <f t="shared" si="14"/>
        <v>66.792000000000002</v>
      </c>
      <c r="J176" s="14"/>
      <c r="K176" s="16" t="s">
        <v>513</v>
      </c>
    </row>
    <row r="177" spans="1:11" ht="12.6" customHeight="1" x14ac:dyDescent="0.2">
      <c r="A177" s="13">
        <v>43191</v>
      </c>
      <c r="B177" s="19"/>
      <c r="C177" s="15">
        <v>1.25</v>
      </c>
      <c r="D177" s="14"/>
      <c r="E177" s="15">
        <f t="shared" si="13"/>
        <v>54.576000000000001</v>
      </c>
      <c r="F177" s="14"/>
      <c r="G177" s="15">
        <f t="shared" si="12"/>
        <v>1.25</v>
      </c>
      <c r="H177" s="34"/>
      <c r="I177" s="15">
        <f t="shared" si="14"/>
        <v>68.042000000000002</v>
      </c>
      <c r="J177" s="14"/>
      <c r="K177" s="16"/>
    </row>
    <row r="178" spans="1:11" ht="12.6" customHeight="1" x14ac:dyDescent="0.2">
      <c r="A178" s="13"/>
      <c r="B178" s="19" t="s">
        <v>1391</v>
      </c>
      <c r="C178" s="15"/>
      <c r="D178" s="14"/>
      <c r="E178" s="15">
        <f t="shared" si="13"/>
        <v>54.576000000000001</v>
      </c>
      <c r="F178" s="14"/>
      <c r="G178" s="15">
        <f t="shared" si="12"/>
        <v>0</v>
      </c>
      <c r="H178" s="34"/>
      <c r="I178" s="15">
        <f t="shared" si="14"/>
        <v>68.042000000000002</v>
      </c>
      <c r="J178" s="14"/>
      <c r="K178" s="13" t="s">
        <v>1401</v>
      </c>
    </row>
    <row r="179" spans="1:11" ht="12.6" customHeight="1" x14ac:dyDescent="0.2">
      <c r="A179" s="13">
        <v>43221</v>
      </c>
      <c r="B179" s="19"/>
      <c r="C179" s="15">
        <v>1.25</v>
      </c>
      <c r="D179" s="14"/>
      <c r="E179" s="15">
        <f t="shared" si="13"/>
        <v>55.826000000000001</v>
      </c>
      <c r="F179" s="14"/>
      <c r="G179" s="15">
        <f t="shared" si="12"/>
        <v>1.25</v>
      </c>
      <c r="H179" s="34"/>
      <c r="I179" s="15">
        <f t="shared" si="14"/>
        <v>69.292000000000002</v>
      </c>
      <c r="J179" s="14"/>
      <c r="K179" s="16"/>
    </row>
    <row r="180" spans="1:11" ht="12.6" customHeight="1" x14ac:dyDescent="0.2">
      <c r="A180" s="13"/>
      <c r="B180" s="19" t="s">
        <v>47</v>
      </c>
      <c r="C180" s="15"/>
      <c r="D180" s="14"/>
      <c r="E180" s="15">
        <f t="shared" si="13"/>
        <v>55.826000000000001</v>
      </c>
      <c r="F180" s="14"/>
      <c r="G180" s="15">
        <f t="shared" si="12"/>
        <v>0</v>
      </c>
      <c r="H180" s="34">
        <v>1</v>
      </c>
      <c r="I180" s="15">
        <f t="shared" si="14"/>
        <v>68.292000000000002</v>
      </c>
      <c r="J180" s="14"/>
      <c r="K180" s="13">
        <v>43248</v>
      </c>
    </row>
    <row r="181" spans="1:11" ht="12.6" customHeight="1" x14ac:dyDescent="0.2">
      <c r="A181" s="13">
        <v>43344</v>
      </c>
      <c r="B181" s="19"/>
      <c r="C181" s="15">
        <v>5</v>
      </c>
      <c r="D181" s="14"/>
      <c r="E181" s="15">
        <f t="shared" si="13"/>
        <v>60.826000000000001</v>
      </c>
      <c r="F181" s="14"/>
      <c r="G181" s="15">
        <f t="shared" si="12"/>
        <v>5</v>
      </c>
      <c r="H181" s="34"/>
      <c r="I181" s="15">
        <f t="shared" si="14"/>
        <v>73.292000000000002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25</v>
      </c>
      <c r="D182" s="15">
        <f>SUM(D156:D181)</f>
        <v>8.423</v>
      </c>
      <c r="E182" s="36"/>
      <c r="F182" s="37"/>
      <c r="G182" s="15">
        <f>SUM(G156:G181)</f>
        <v>25</v>
      </c>
      <c r="H182" s="15">
        <f>SUM(H156:H181)</f>
        <v>12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>
        <f>A1</f>
        <v>0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>
        <f>K1</f>
        <v>0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 t="s">
        <v>47</v>
      </c>
      <c r="C191" s="15"/>
      <c r="D191" s="14"/>
      <c r="E191" s="15">
        <f>E181+C191-D191</f>
        <v>60.826000000000001</v>
      </c>
      <c r="F191" s="14"/>
      <c r="G191" s="15">
        <f>C191</f>
        <v>0</v>
      </c>
      <c r="H191" s="34">
        <v>1</v>
      </c>
      <c r="I191" s="15">
        <f>I181+G191-H191</f>
        <v>72.292000000000002</v>
      </c>
      <c r="J191" s="14"/>
      <c r="K191" s="13">
        <v>43335</v>
      </c>
    </row>
    <row r="192" spans="1:11" ht="12.6" customHeight="1" x14ac:dyDescent="0.2">
      <c r="A192" s="13"/>
      <c r="B192" s="19" t="s">
        <v>57</v>
      </c>
      <c r="C192" s="15"/>
      <c r="D192" s="14">
        <v>1</v>
      </c>
      <c r="E192" s="15">
        <f>E191+C192-D192</f>
        <v>59.826000000000001</v>
      </c>
      <c r="F192" s="14"/>
      <c r="G192" s="15">
        <f t="shared" ref="G192:G216" si="15">C192</f>
        <v>0</v>
      </c>
      <c r="H192" s="34"/>
      <c r="I192" s="15">
        <f>I191+G192-H192</f>
        <v>72.292000000000002</v>
      </c>
      <c r="J192" s="14"/>
      <c r="K192" s="13">
        <v>43376</v>
      </c>
    </row>
    <row r="193" spans="1:11" ht="12.6" customHeight="1" x14ac:dyDescent="0.2">
      <c r="A193" s="13">
        <v>43374</v>
      </c>
      <c r="B193" s="19"/>
      <c r="C193" s="15">
        <v>1.25</v>
      </c>
      <c r="D193" s="14"/>
      <c r="E193" s="15">
        <f t="shared" ref="E193:E216" si="16">E192+C193-D193</f>
        <v>61.076000000000001</v>
      </c>
      <c r="F193" s="22"/>
      <c r="G193" s="15">
        <f t="shared" si="15"/>
        <v>1.25</v>
      </c>
      <c r="H193" s="34"/>
      <c r="I193" s="15">
        <f t="shared" ref="I193:I216" si="17">I192+G193-H193</f>
        <v>73.542000000000002</v>
      </c>
      <c r="J193" s="14"/>
      <c r="K193" s="38"/>
    </row>
    <row r="194" spans="1:11" ht="12.6" customHeight="1" x14ac:dyDescent="0.2">
      <c r="A194" s="13"/>
      <c r="B194" s="19" t="s">
        <v>74</v>
      </c>
      <c r="C194" s="15"/>
      <c r="D194" s="14">
        <v>1</v>
      </c>
      <c r="E194" s="15">
        <f t="shared" si="16"/>
        <v>60.076000000000001</v>
      </c>
      <c r="F194" s="14"/>
      <c r="G194" s="15">
        <f t="shared" si="15"/>
        <v>0</v>
      </c>
      <c r="H194" s="34"/>
      <c r="I194" s="15">
        <f t="shared" si="17"/>
        <v>73.542000000000002</v>
      </c>
      <c r="J194" s="14"/>
      <c r="K194" s="13">
        <v>43375</v>
      </c>
    </row>
    <row r="195" spans="1:11" ht="12.6" customHeight="1" x14ac:dyDescent="0.2">
      <c r="A195" s="13">
        <v>43435</v>
      </c>
      <c r="B195" s="19"/>
      <c r="C195" s="15">
        <v>2.5</v>
      </c>
      <c r="D195" s="14"/>
      <c r="E195" s="15">
        <f t="shared" si="16"/>
        <v>62.576000000000001</v>
      </c>
      <c r="F195" s="14"/>
      <c r="G195" s="15">
        <f t="shared" si="15"/>
        <v>2.5</v>
      </c>
      <c r="H195" s="34"/>
      <c r="I195" s="15">
        <f t="shared" si="17"/>
        <v>76.042000000000002</v>
      </c>
      <c r="J195" s="14"/>
      <c r="K195" s="13"/>
    </row>
    <row r="196" spans="1:11" ht="12.6" customHeight="1" x14ac:dyDescent="0.2">
      <c r="A196" s="13"/>
      <c r="B196" s="19" t="s">
        <v>105</v>
      </c>
      <c r="C196" s="15"/>
      <c r="D196" s="14">
        <v>4</v>
      </c>
      <c r="E196" s="15">
        <f t="shared" si="16"/>
        <v>58.576000000000001</v>
      </c>
      <c r="F196" s="14"/>
      <c r="G196" s="15">
        <f t="shared" si="15"/>
        <v>0</v>
      </c>
      <c r="H196" s="34"/>
      <c r="I196" s="15">
        <f t="shared" si="17"/>
        <v>76.042000000000002</v>
      </c>
      <c r="J196" s="14"/>
      <c r="K196" s="13" t="s">
        <v>1402</v>
      </c>
    </row>
    <row r="197" spans="1:11" ht="12.6" customHeight="1" x14ac:dyDescent="0.2">
      <c r="A197" s="13"/>
      <c r="B197" s="19" t="s">
        <v>47</v>
      </c>
      <c r="C197" s="15"/>
      <c r="D197" s="14"/>
      <c r="E197" s="15">
        <f t="shared" si="16"/>
        <v>58.576000000000001</v>
      </c>
      <c r="F197" s="14"/>
      <c r="G197" s="15">
        <f t="shared" si="15"/>
        <v>0</v>
      </c>
      <c r="H197" s="34">
        <v>1</v>
      </c>
      <c r="I197" s="15">
        <f t="shared" si="17"/>
        <v>75.042000000000002</v>
      </c>
      <c r="J197" s="14"/>
      <c r="K197" s="13">
        <v>43453</v>
      </c>
    </row>
    <row r="198" spans="1:11" ht="12.6" customHeight="1" x14ac:dyDescent="0.2">
      <c r="A198" s="13">
        <v>43497</v>
      </c>
      <c r="B198" s="19"/>
      <c r="C198" s="15">
        <v>2.5</v>
      </c>
      <c r="D198" s="22"/>
      <c r="E198" s="15">
        <f t="shared" si="16"/>
        <v>61.076000000000001</v>
      </c>
      <c r="F198" s="22"/>
      <c r="G198" s="15">
        <f t="shared" si="15"/>
        <v>2.5</v>
      </c>
      <c r="H198" s="34"/>
      <c r="I198" s="15">
        <f t="shared" si="17"/>
        <v>77.542000000000002</v>
      </c>
      <c r="J198" s="14"/>
      <c r="K198" s="16"/>
    </row>
    <row r="199" spans="1:11" ht="12.6" customHeight="1" x14ac:dyDescent="0.2">
      <c r="A199" s="13"/>
      <c r="B199" s="19" t="s">
        <v>1350</v>
      </c>
      <c r="C199" s="15"/>
      <c r="D199" s="22"/>
      <c r="E199" s="15">
        <f t="shared" si="16"/>
        <v>61.076000000000001</v>
      </c>
      <c r="F199" s="14"/>
      <c r="G199" s="15">
        <f t="shared" si="15"/>
        <v>0</v>
      </c>
      <c r="H199" s="34"/>
      <c r="I199" s="15">
        <f t="shared" si="17"/>
        <v>77.542000000000002</v>
      </c>
      <c r="J199" s="14"/>
      <c r="K199" s="13">
        <v>43500</v>
      </c>
    </row>
    <row r="200" spans="1:11" ht="12.6" customHeight="1" x14ac:dyDescent="0.2">
      <c r="A200" s="13">
        <v>43617</v>
      </c>
      <c r="B200" s="19"/>
      <c r="C200" s="15">
        <v>5</v>
      </c>
      <c r="D200" s="14"/>
      <c r="E200" s="15">
        <f t="shared" si="16"/>
        <v>66.075999999999993</v>
      </c>
      <c r="F200" s="14"/>
      <c r="G200" s="15">
        <f t="shared" si="15"/>
        <v>5</v>
      </c>
      <c r="H200" s="34"/>
      <c r="I200" s="15">
        <f t="shared" si="17"/>
        <v>82.542000000000002</v>
      </c>
      <c r="J200" s="14"/>
      <c r="K200" s="13"/>
    </row>
    <row r="201" spans="1:11" ht="12.6" customHeight="1" x14ac:dyDescent="0.2">
      <c r="A201" s="13"/>
      <c r="B201" s="19" t="s">
        <v>1403</v>
      </c>
      <c r="C201" s="15"/>
      <c r="D201" s="22">
        <v>0.91700000000000004</v>
      </c>
      <c r="E201" s="15">
        <f t="shared" si="16"/>
        <v>65.158999999999992</v>
      </c>
      <c r="F201" s="22"/>
      <c r="G201" s="15">
        <f t="shared" si="15"/>
        <v>0</v>
      </c>
      <c r="H201" s="34"/>
      <c r="I201" s="15">
        <f t="shared" si="17"/>
        <v>82.542000000000002</v>
      </c>
      <c r="J201" s="14"/>
      <c r="K201" s="13" t="s">
        <v>746</v>
      </c>
    </row>
    <row r="202" spans="1:11" ht="12.6" customHeight="1" x14ac:dyDescent="0.2">
      <c r="A202" s="13">
        <v>43647</v>
      </c>
      <c r="B202" s="19"/>
      <c r="C202" s="15">
        <v>1.25</v>
      </c>
      <c r="D202" s="14"/>
      <c r="E202" s="15">
        <f t="shared" si="16"/>
        <v>66.408999999999992</v>
      </c>
      <c r="F202" s="22"/>
      <c r="G202" s="15">
        <f t="shared" si="15"/>
        <v>1.25</v>
      </c>
      <c r="H202" s="34"/>
      <c r="I202" s="15">
        <f t="shared" si="17"/>
        <v>83.792000000000002</v>
      </c>
      <c r="J202" s="14"/>
      <c r="K202" s="13"/>
    </row>
    <row r="203" spans="1:11" ht="12.6" customHeight="1" x14ac:dyDescent="0.2">
      <c r="A203" s="13"/>
      <c r="B203" s="19" t="s">
        <v>1350</v>
      </c>
      <c r="C203" s="15"/>
      <c r="D203" s="14"/>
      <c r="E203" s="15">
        <f t="shared" si="16"/>
        <v>66.408999999999992</v>
      </c>
      <c r="F203" s="14"/>
      <c r="G203" s="15">
        <f t="shared" si="15"/>
        <v>0</v>
      </c>
      <c r="H203" s="34"/>
      <c r="I203" s="15">
        <f t="shared" si="17"/>
        <v>83.792000000000002</v>
      </c>
      <c r="J203" s="14"/>
      <c r="K203" s="13">
        <v>43647</v>
      </c>
    </row>
    <row r="204" spans="1:11" ht="12.6" customHeight="1" x14ac:dyDescent="0.2">
      <c r="A204" s="13"/>
      <c r="B204" s="19" t="s">
        <v>47</v>
      </c>
      <c r="C204" s="15"/>
      <c r="D204" s="14"/>
      <c r="E204" s="15">
        <f t="shared" si="16"/>
        <v>66.408999999999992</v>
      </c>
      <c r="F204" s="22"/>
      <c r="G204" s="15">
        <f t="shared" si="15"/>
        <v>0</v>
      </c>
      <c r="H204" s="34">
        <v>1</v>
      </c>
      <c r="I204" s="15">
        <f t="shared" si="17"/>
        <v>82.792000000000002</v>
      </c>
      <c r="J204" s="14"/>
      <c r="K204" s="13">
        <v>43655</v>
      </c>
    </row>
    <row r="205" spans="1:11" ht="12.6" customHeight="1" x14ac:dyDescent="0.2">
      <c r="A205" s="13"/>
      <c r="B205" s="19" t="s">
        <v>1350</v>
      </c>
      <c r="C205" s="15"/>
      <c r="D205" s="14"/>
      <c r="E205" s="15">
        <f t="shared" si="16"/>
        <v>66.408999999999992</v>
      </c>
      <c r="F205" s="14"/>
      <c r="G205" s="15">
        <f t="shared" si="15"/>
        <v>0</v>
      </c>
      <c r="H205" s="34"/>
      <c r="I205" s="15">
        <f t="shared" si="17"/>
        <v>82.792000000000002</v>
      </c>
      <c r="J205" s="14"/>
      <c r="K205" s="13">
        <v>43663</v>
      </c>
    </row>
    <row r="206" spans="1:11" ht="12.6" customHeight="1" x14ac:dyDescent="0.2">
      <c r="A206" s="13"/>
      <c r="B206" s="19" t="s">
        <v>77</v>
      </c>
      <c r="C206" s="15"/>
      <c r="D206" s="22">
        <v>2</v>
      </c>
      <c r="E206" s="15">
        <f t="shared" si="16"/>
        <v>64.408999999999992</v>
      </c>
      <c r="F206" s="14"/>
      <c r="G206" s="15">
        <f t="shared" si="15"/>
        <v>0</v>
      </c>
      <c r="H206" s="34"/>
      <c r="I206" s="15">
        <f t="shared" si="17"/>
        <v>82.792000000000002</v>
      </c>
      <c r="J206" s="14"/>
      <c r="K206" s="16" t="s">
        <v>1404</v>
      </c>
    </row>
    <row r="207" spans="1:11" ht="12.6" customHeight="1" x14ac:dyDescent="0.2">
      <c r="A207" s="13"/>
      <c r="B207" s="19" t="s">
        <v>52</v>
      </c>
      <c r="C207" s="15"/>
      <c r="D207" s="22"/>
      <c r="E207" s="15">
        <f t="shared" si="16"/>
        <v>64.408999999999992</v>
      </c>
      <c r="F207" s="14"/>
      <c r="G207" s="15">
        <f t="shared" si="15"/>
        <v>0</v>
      </c>
      <c r="H207" s="34">
        <v>2</v>
      </c>
      <c r="I207" s="15">
        <f t="shared" si="17"/>
        <v>80.792000000000002</v>
      </c>
      <c r="J207" s="14"/>
      <c r="K207" s="13" t="s">
        <v>1405</v>
      </c>
    </row>
    <row r="208" spans="1:11" ht="12.6" customHeight="1" x14ac:dyDescent="0.2">
      <c r="A208" s="13">
        <v>43678</v>
      </c>
      <c r="B208" s="19"/>
      <c r="C208" s="15">
        <v>1.25</v>
      </c>
      <c r="D208" s="14"/>
      <c r="E208" s="15">
        <f t="shared" si="16"/>
        <v>65.658999999999992</v>
      </c>
      <c r="F208" s="14"/>
      <c r="G208" s="15">
        <f t="shared" si="15"/>
        <v>1.25</v>
      </c>
      <c r="H208" s="34"/>
      <c r="I208" s="15">
        <f t="shared" si="17"/>
        <v>82.042000000000002</v>
      </c>
      <c r="J208" s="14"/>
      <c r="K208" s="13"/>
    </row>
    <row r="209" spans="1:11" ht="12.6" customHeight="1" x14ac:dyDescent="0.2">
      <c r="A209" s="13"/>
      <c r="B209" s="19" t="s">
        <v>1406</v>
      </c>
      <c r="C209" s="15"/>
      <c r="D209" s="14">
        <v>0.49199999999999999</v>
      </c>
      <c r="E209" s="15">
        <f t="shared" si="16"/>
        <v>65.166999999999987</v>
      </c>
      <c r="F209" s="22"/>
      <c r="G209" s="15">
        <f t="shared" si="15"/>
        <v>0</v>
      </c>
      <c r="H209" s="34"/>
      <c r="I209" s="15">
        <f t="shared" si="17"/>
        <v>82.042000000000002</v>
      </c>
      <c r="J209" s="14"/>
      <c r="K209" s="71">
        <v>43647</v>
      </c>
    </row>
    <row r="210" spans="1:11" ht="12.6" customHeight="1" x14ac:dyDescent="0.2">
      <c r="A210" s="13">
        <v>43739</v>
      </c>
      <c r="B210" s="19"/>
      <c r="C210" s="15">
        <v>2.5</v>
      </c>
      <c r="D210" s="14"/>
      <c r="E210" s="15">
        <f t="shared" si="16"/>
        <v>67.666999999999987</v>
      </c>
      <c r="F210" s="22"/>
      <c r="G210" s="15">
        <f t="shared" si="15"/>
        <v>2.5</v>
      </c>
      <c r="H210" s="34"/>
      <c r="I210" s="15">
        <f t="shared" si="17"/>
        <v>84.542000000000002</v>
      </c>
      <c r="J210" s="14"/>
      <c r="K210" s="13"/>
    </row>
    <row r="211" spans="1:11" ht="12.6" customHeight="1" x14ac:dyDescent="0.2">
      <c r="A211" s="13"/>
      <c r="B211" s="19" t="s">
        <v>47</v>
      </c>
      <c r="C211" s="15"/>
      <c r="D211" s="14"/>
      <c r="E211" s="15">
        <f t="shared" si="16"/>
        <v>67.666999999999987</v>
      </c>
      <c r="F211" s="14"/>
      <c r="G211" s="15">
        <f t="shared" si="15"/>
        <v>0</v>
      </c>
      <c r="H211" s="34">
        <v>1</v>
      </c>
      <c r="I211" s="15">
        <f t="shared" si="17"/>
        <v>83.542000000000002</v>
      </c>
      <c r="J211" s="14"/>
      <c r="K211" s="13">
        <v>43741</v>
      </c>
    </row>
    <row r="212" spans="1:11" ht="12.6" customHeight="1" x14ac:dyDescent="0.2">
      <c r="A212" s="13"/>
      <c r="B212" s="19" t="s">
        <v>47</v>
      </c>
      <c r="C212" s="15"/>
      <c r="D212" s="14"/>
      <c r="E212" s="15">
        <f t="shared" si="16"/>
        <v>67.666999999999987</v>
      </c>
      <c r="F212" s="14"/>
      <c r="G212" s="15">
        <f t="shared" si="15"/>
        <v>0</v>
      </c>
      <c r="H212" s="34">
        <v>1</v>
      </c>
      <c r="I212" s="15">
        <f t="shared" si="17"/>
        <v>82.542000000000002</v>
      </c>
      <c r="J212" s="14"/>
      <c r="K212" s="13">
        <v>43745</v>
      </c>
    </row>
    <row r="213" spans="1:11" ht="12.6" customHeight="1" x14ac:dyDescent="0.2">
      <c r="A213" s="13">
        <v>43800</v>
      </c>
      <c r="B213" s="19"/>
      <c r="C213" s="15">
        <v>2.5</v>
      </c>
      <c r="D213" s="14"/>
      <c r="E213" s="15">
        <f t="shared" si="16"/>
        <v>70.166999999999987</v>
      </c>
      <c r="F213" s="14"/>
      <c r="G213" s="15">
        <f t="shared" si="15"/>
        <v>2.5</v>
      </c>
      <c r="H213" s="34"/>
      <c r="I213" s="15">
        <f t="shared" si="17"/>
        <v>85.042000000000002</v>
      </c>
      <c r="J213" s="14"/>
      <c r="K213" s="13"/>
    </row>
    <row r="214" spans="1:11" ht="12.6" customHeight="1" x14ac:dyDescent="0.2">
      <c r="A214" s="13"/>
      <c r="B214" s="19" t="s">
        <v>87</v>
      </c>
      <c r="C214" s="15"/>
      <c r="D214" s="14">
        <v>3</v>
      </c>
      <c r="E214" s="15">
        <f t="shared" si="16"/>
        <v>67.166999999999987</v>
      </c>
      <c r="F214" s="14"/>
      <c r="G214" s="15">
        <f t="shared" si="15"/>
        <v>0</v>
      </c>
      <c r="H214" s="14"/>
      <c r="I214" s="15">
        <f t="shared" si="17"/>
        <v>85.042000000000002</v>
      </c>
      <c r="J214" s="14"/>
      <c r="K214" s="16" t="s">
        <v>193</v>
      </c>
    </row>
    <row r="215" spans="1:11" ht="12.6" customHeight="1" x14ac:dyDescent="0.2">
      <c r="A215" s="13">
        <v>43862</v>
      </c>
      <c r="B215" s="19"/>
      <c r="C215" s="15">
        <v>2.5</v>
      </c>
      <c r="D215" s="14"/>
      <c r="E215" s="15">
        <f t="shared" si="16"/>
        <v>69.666999999999987</v>
      </c>
      <c r="F215" s="14"/>
      <c r="G215" s="15">
        <f t="shared" si="15"/>
        <v>2.5</v>
      </c>
      <c r="H215" s="14"/>
      <c r="I215" s="15">
        <f t="shared" si="17"/>
        <v>87.542000000000002</v>
      </c>
      <c r="J215" s="14"/>
      <c r="K215" s="13"/>
    </row>
    <row r="216" spans="1:11" ht="12.6" customHeight="1" x14ac:dyDescent="0.2">
      <c r="A216" s="13"/>
      <c r="B216" s="19" t="s">
        <v>47</v>
      </c>
      <c r="C216" s="15"/>
      <c r="D216" s="14"/>
      <c r="E216" s="15">
        <f t="shared" si="16"/>
        <v>69.666999999999987</v>
      </c>
      <c r="F216" s="14"/>
      <c r="G216" s="15">
        <f t="shared" si="15"/>
        <v>0</v>
      </c>
      <c r="H216" s="14">
        <v>1</v>
      </c>
      <c r="I216" s="15">
        <f t="shared" si="17"/>
        <v>86.542000000000002</v>
      </c>
      <c r="J216" s="14"/>
      <c r="K216" s="13">
        <v>43864</v>
      </c>
    </row>
    <row r="217" spans="1:11" ht="12.6" customHeight="1" x14ac:dyDescent="0.2">
      <c r="A217" s="19"/>
      <c r="B217" s="19"/>
      <c r="C217" s="15">
        <f>SUM(C191:C216)</f>
        <v>21.25</v>
      </c>
      <c r="D217" s="15">
        <f>SUM(D191:D216)</f>
        <v>12.408999999999999</v>
      </c>
      <c r="E217" s="36"/>
      <c r="F217" s="39"/>
      <c r="G217" s="15">
        <f>SUM(G191:G216)</f>
        <v>21.25</v>
      </c>
      <c r="H217" s="15">
        <f>SUM(H191:H216)</f>
        <v>8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>
        <f>A1</f>
        <v>0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>
        <f>K1</f>
        <v>0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43983</v>
      </c>
      <c r="B230" s="19"/>
      <c r="C230" s="15">
        <v>5</v>
      </c>
      <c r="D230" s="14"/>
      <c r="E230" s="15">
        <f>E216+C230-D230</f>
        <v>74.666999999999987</v>
      </c>
      <c r="F230" s="14"/>
      <c r="G230" s="15">
        <f>C230</f>
        <v>5</v>
      </c>
      <c r="H230" s="14"/>
      <c r="I230" s="15">
        <f>I216+G230-H230</f>
        <v>91.542000000000002</v>
      </c>
      <c r="J230" s="14"/>
      <c r="K230" s="16"/>
    </row>
    <row r="231" spans="1:11" ht="12.6" customHeight="1" x14ac:dyDescent="0.2">
      <c r="A231" s="13"/>
      <c r="B231" s="19" t="s">
        <v>1407</v>
      </c>
      <c r="C231" s="15"/>
      <c r="D231" s="14">
        <v>6.5000000000000002E-2</v>
      </c>
      <c r="E231" s="15">
        <f>E230+C231-D231</f>
        <v>74.60199999999999</v>
      </c>
      <c r="F231" s="14"/>
      <c r="G231" s="15">
        <f t="shared" ref="G231:G255" si="18">C231</f>
        <v>0</v>
      </c>
      <c r="H231" s="14"/>
      <c r="I231" s="15">
        <f>I230+G231-H231</f>
        <v>91.542000000000002</v>
      </c>
      <c r="J231" s="14"/>
      <c r="K231" s="13">
        <v>44055</v>
      </c>
    </row>
    <row r="232" spans="1:11" ht="12.6" customHeight="1" x14ac:dyDescent="0.2">
      <c r="A232" s="13"/>
      <c r="B232" s="19" t="s">
        <v>1408</v>
      </c>
      <c r="C232" s="15"/>
      <c r="D232" s="14">
        <v>0.31900000000000001</v>
      </c>
      <c r="E232" s="15">
        <f t="shared" ref="E232:E255" si="19">E231+C232-D232</f>
        <v>74.282999999999987</v>
      </c>
      <c r="F232" s="14"/>
      <c r="G232" s="15">
        <f t="shared" si="18"/>
        <v>0</v>
      </c>
      <c r="H232" s="14"/>
      <c r="I232" s="15">
        <f t="shared" ref="I232:I255" si="20">I231+G232-H232</f>
        <v>91.542000000000002</v>
      </c>
      <c r="J232" s="14"/>
      <c r="K232" s="38" t="s">
        <v>1409</v>
      </c>
    </row>
    <row r="233" spans="1:11" ht="12.6" customHeight="1" x14ac:dyDescent="0.2">
      <c r="A233" s="13">
        <v>44075</v>
      </c>
      <c r="B233" s="19"/>
      <c r="C233" s="15">
        <v>3.75</v>
      </c>
      <c r="D233" s="14"/>
      <c r="E233" s="15">
        <f t="shared" si="19"/>
        <v>78.032999999999987</v>
      </c>
      <c r="F233" s="14"/>
      <c r="G233" s="15">
        <f t="shared" si="18"/>
        <v>3.75</v>
      </c>
      <c r="H233" s="14"/>
      <c r="I233" s="15">
        <f t="shared" si="20"/>
        <v>95.292000000000002</v>
      </c>
      <c r="J233" s="14"/>
      <c r="K233" s="16"/>
    </row>
    <row r="234" spans="1:11" ht="12.6" customHeight="1" x14ac:dyDescent="0.2">
      <c r="A234" s="13"/>
      <c r="B234" s="19" t="s">
        <v>1350</v>
      </c>
      <c r="C234" s="15"/>
      <c r="D234" s="14"/>
      <c r="E234" s="15">
        <f t="shared" si="19"/>
        <v>78.032999999999987</v>
      </c>
      <c r="F234" s="14"/>
      <c r="G234" s="15">
        <f t="shared" si="18"/>
        <v>0</v>
      </c>
      <c r="H234" s="14"/>
      <c r="I234" s="15">
        <f t="shared" si="20"/>
        <v>95.292000000000002</v>
      </c>
      <c r="J234" s="14"/>
      <c r="K234" s="13">
        <v>44081</v>
      </c>
    </row>
    <row r="235" spans="1:11" ht="12.6" customHeight="1" x14ac:dyDescent="0.2">
      <c r="A235" s="13">
        <v>44166</v>
      </c>
      <c r="B235" s="19"/>
      <c r="C235" s="15">
        <v>3.75</v>
      </c>
      <c r="D235" s="14"/>
      <c r="E235" s="15">
        <f t="shared" si="19"/>
        <v>81.782999999999987</v>
      </c>
      <c r="F235" s="14"/>
      <c r="G235" s="15">
        <f t="shared" si="18"/>
        <v>3.75</v>
      </c>
      <c r="H235" s="14"/>
      <c r="I235" s="15">
        <f t="shared" si="20"/>
        <v>99.042000000000002</v>
      </c>
      <c r="J235" s="14"/>
      <c r="K235" s="16"/>
    </row>
    <row r="236" spans="1:11" ht="12.6" customHeight="1" x14ac:dyDescent="0.2">
      <c r="A236" s="13"/>
      <c r="B236" s="19" t="s">
        <v>1410</v>
      </c>
      <c r="C236" s="15"/>
      <c r="D236" s="14"/>
      <c r="E236" s="15">
        <f t="shared" si="19"/>
        <v>81.782999999999987</v>
      </c>
      <c r="F236" s="14"/>
      <c r="G236" s="15">
        <f t="shared" si="18"/>
        <v>0</v>
      </c>
      <c r="H236" s="14"/>
      <c r="I236" s="15">
        <f t="shared" si="20"/>
        <v>99.042000000000002</v>
      </c>
      <c r="J236" s="14"/>
      <c r="K236" s="13" t="s">
        <v>541</v>
      </c>
    </row>
    <row r="237" spans="1:11" ht="12.6" customHeight="1" x14ac:dyDescent="0.2">
      <c r="A237" s="13">
        <v>44197</v>
      </c>
      <c r="B237" s="19"/>
      <c r="C237" s="15">
        <v>1.25</v>
      </c>
      <c r="D237" s="14"/>
      <c r="E237" s="15">
        <f t="shared" si="19"/>
        <v>83.032999999999987</v>
      </c>
      <c r="F237" s="14"/>
      <c r="G237" s="15">
        <f t="shared" si="18"/>
        <v>1.25</v>
      </c>
      <c r="H237" s="14"/>
      <c r="I237" s="15">
        <f t="shared" si="20"/>
        <v>100.292</v>
      </c>
      <c r="J237" s="14"/>
      <c r="K237" s="13"/>
    </row>
    <row r="238" spans="1:11" ht="12.6" customHeight="1" x14ac:dyDescent="0.2">
      <c r="A238" s="13"/>
      <c r="B238" s="19" t="s">
        <v>837</v>
      </c>
      <c r="C238" s="15"/>
      <c r="D238" s="14">
        <v>8.1000000000000003E-2</v>
      </c>
      <c r="E238" s="15">
        <f t="shared" si="19"/>
        <v>82.951999999999984</v>
      </c>
      <c r="F238" s="14"/>
      <c r="G238" s="15">
        <f t="shared" si="18"/>
        <v>0</v>
      </c>
      <c r="H238" s="14"/>
      <c r="I238" s="15">
        <f t="shared" si="20"/>
        <v>100.292</v>
      </c>
      <c r="J238" s="14"/>
      <c r="K238" s="93">
        <v>44146</v>
      </c>
    </row>
    <row r="239" spans="1:11" ht="12.6" customHeight="1" x14ac:dyDescent="0.2">
      <c r="A239" s="13">
        <v>44228</v>
      </c>
      <c r="B239" s="19"/>
      <c r="C239" s="15">
        <v>1.25</v>
      </c>
      <c r="D239" s="14"/>
      <c r="E239" s="15">
        <f t="shared" si="19"/>
        <v>84.201999999999984</v>
      </c>
      <c r="F239" s="14"/>
      <c r="G239" s="15">
        <f t="shared" si="18"/>
        <v>1.25</v>
      </c>
      <c r="H239" s="14"/>
      <c r="I239" s="15">
        <f t="shared" si="20"/>
        <v>101.542</v>
      </c>
      <c r="J239" s="14"/>
      <c r="K239" s="13"/>
    </row>
    <row r="240" spans="1:11" ht="12.6" customHeight="1" x14ac:dyDescent="0.2">
      <c r="A240" s="13"/>
      <c r="B240" s="19" t="s">
        <v>1350</v>
      </c>
      <c r="C240" s="15"/>
      <c r="D240" s="14"/>
      <c r="E240" s="15">
        <f t="shared" si="19"/>
        <v>84.201999999999984</v>
      </c>
      <c r="F240" s="14"/>
      <c r="G240" s="15">
        <f t="shared" si="18"/>
        <v>0</v>
      </c>
      <c r="H240" s="14"/>
      <c r="I240" s="15">
        <f t="shared" si="20"/>
        <v>101.542</v>
      </c>
      <c r="J240" s="14"/>
      <c r="K240" s="13">
        <v>44231</v>
      </c>
    </row>
    <row r="241" spans="1:11" ht="12.6" customHeight="1" x14ac:dyDescent="0.2">
      <c r="A241" s="13">
        <v>44287</v>
      </c>
      <c r="B241" s="19"/>
      <c r="C241" s="15">
        <v>2.5</v>
      </c>
      <c r="D241" s="14"/>
      <c r="E241" s="15">
        <f t="shared" si="19"/>
        <v>86.701999999999984</v>
      </c>
      <c r="F241" s="14"/>
      <c r="G241" s="15">
        <f t="shared" si="18"/>
        <v>2.5</v>
      </c>
      <c r="H241" s="14"/>
      <c r="I241" s="15">
        <f t="shared" si="20"/>
        <v>104.042</v>
      </c>
      <c r="J241" s="14"/>
      <c r="K241" s="13"/>
    </row>
    <row r="242" spans="1:11" ht="12.6" customHeight="1" x14ac:dyDescent="0.2">
      <c r="A242" s="13"/>
      <c r="B242" s="19" t="s">
        <v>1411</v>
      </c>
      <c r="C242" s="15"/>
      <c r="D242" s="14">
        <v>0.06</v>
      </c>
      <c r="E242" s="15">
        <f t="shared" si="19"/>
        <v>86.641999999999982</v>
      </c>
      <c r="F242" s="14"/>
      <c r="G242" s="15">
        <f t="shared" si="18"/>
        <v>0</v>
      </c>
      <c r="H242" s="14"/>
      <c r="I242" s="15">
        <f t="shared" si="20"/>
        <v>104.042</v>
      </c>
      <c r="J242" s="14"/>
      <c r="K242" s="13">
        <v>44199</v>
      </c>
    </row>
    <row r="243" spans="1:11" ht="12.6" customHeight="1" x14ac:dyDescent="0.2">
      <c r="A243" s="13">
        <v>44378</v>
      </c>
      <c r="B243" s="19"/>
      <c r="C243" s="15">
        <v>3.75</v>
      </c>
      <c r="D243" s="14"/>
      <c r="E243" s="15">
        <f t="shared" si="19"/>
        <v>90.391999999999982</v>
      </c>
      <c r="F243" s="14"/>
      <c r="G243" s="15">
        <f t="shared" si="18"/>
        <v>3.75</v>
      </c>
      <c r="H243" s="14"/>
      <c r="I243" s="15">
        <f t="shared" si="20"/>
        <v>107.792</v>
      </c>
      <c r="J243" s="14"/>
      <c r="K243" s="13"/>
    </row>
    <row r="244" spans="1:11" ht="12.6" customHeight="1" x14ac:dyDescent="0.2">
      <c r="A244" s="13"/>
      <c r="B244" s="19" t="s">
        <v>1412</v>
      </c>
      <c r="C244" s="15"/>
      <c r="D244" s="14">
        <v>1.4999999999999999E-2</v>
      </c>
      <c r="E244" s="15">
        <f t="shared" si="19"/>
        <v>90.376999999999981</v>
      </c>
      <c r="F244" s="14"/>
      <c r="G244" s="15">
        <f t="shared" si="18"/>
        <v>0</v>
      </c>
      <c r="H244" s="14"/>
      <c r="I244" s="15">
        <f t="shared" si="20"/>
        <v>107.792</v>
      </c>
      <c r="J244" s="14"/>
      <c r="K244" s="13">
        <v>43927</v>
      </c>
    </row>
    <row r="245" spans="1:11" ht="12.6" customHeight="1" x14ac:dyDescent="0.2">
      <c r="A245" s="13">
        <v>44440</v>
      </c>
      <c r="B245" s="19"/>
      <c r="C245" s="15">
        <v>2.5</v>
      </c>
      <c r="D245" s="14"/>
      <c r="E245" s="15">
        <f t="shared" si="19"/>
        <v>92.876999999999981</v>
      </c>
      <c r="F245" s="14"/>
      <c r="G245" s="15">
        <f t="shared" si="18"/>
        <v>2.5</v>
      </c>
      <c r="H245" s="14"/>
      <c r="I245" s="15">
        <f t="shared" si="20"/>
        <v>110.292</v>
      </c>
      <c r="J245" s="14"/>
      <c r="K245" s="13"/>
    </row>
    <row r="246" spans="1:11" ht="12.6" customHeight="1" x14ac:dyDescent="0.2">
      <c r="A246" s="16"/>
      <c r="B246" s="19" t="s">
        <v>47</v>
      </c>
      <c r="C246" s="15"/>
      <c r="D246" s="14"/>
      <c r="E246" s="15">
        <f t="shared" si="19"/>
        <v>92.876999999999981</v>
      </c>
      <c r="F246" s="14"/>
      <c r="G246" s="15">
        <f t="shared" si="18"/>
        <v>0</v>
      </c>
      <c r="H246" s="14">
        <v>1</v>
      </c>
      <c r="I246" s="15">
        <f t="shared" si="20"/>
        <v>109.292</v>
      </c>
      <c r="J246" s="14"/>
      <c r="K246" s="13">
        <v>44460</v>
      </c>
    </row>
    <row r="247" spans="1:11" ht="12.6" customHeight="1" x14ac:dyDescent="0.2">
      <c r="A247" s="13">
        <v>44470</v>
      </c>
      <c r="B247" s="19"/>
      <c r="C247" s="15">
        <v>1.25</v>
      </c>
      <c r="D247" s="15"/>
      <c r="E247" s="15">
        <f t="shared" si="19"/>
        <v>94.126999999999981</v>
      </c>
      <c r="F247" s="14"/>
      <c r="G247" s="15">
        <f t="shared" si="18"/>
        <v>1.25</v>
      </c>
      <c r="H247" s="14"/>
      <c r="I247" s="15">
        <f t="shared" si="20"/>
        <v>110.542</v>
      </c>
      <c r="J247" s="14"/>
      <c r="K247" s="13"/>
    </row>
    <row r="248" spans="1:11" ht="12.6" customHeight="1" x14ac:dyDescent="0.2">
      <c r="A248" s="13"/>
      <c r="B248" s="19" t="s">
        <v>1351</v>
      </c>
      <c r="C248" s="15"/>
      <c r="D248" s="14"/>
      <c r="E248" s="15">
        <f t="shared" si="19"/>
        <v>94.126999999999981</v>
      </c>
      <c r="F248" s="14"/>
      <c r="G248" s="15">
        <f t="shared" si="18"/>
        <v>0</v>
      </c>
      <c r="H248" s="14"/>
      <c r="I248" s="15">
        <f t="shared" si="20"/>
        <v>110.542</v>
      </c>
      <c r="J248" s="14"/>
      <c r="K248" s="13" t="s">
        <v>1413</v>
      </c>
    </row>
    <row r="249" spans="1:11" ht="12.6" customHeight="1" x14ac:dyDescent="0.2">
      <c r="A249" s="16"/>
      <c r="B249" s="19" t="s">
        <v>87</v>
      </c>
      <c r="C249" s="15"/>
      <c r="D249" s="15">
        <v>3</v>
      </c>
      <c r="E249" s="15">
        <f t="shared" si="19"/>
        <v>91.126999999999981</v>
      </c>
      <c r="F249" s="14"/>
      <c r="G249" s="15">
        <f t="shared" si="18"/>
        <v>0</v>
      </c>
      <c r="H249" s="14"/>
      <c r="I249" s="15">
        <f t="shared" si="20"/>
        <v>110.542</v>
      </c>
      <c r="J249" s="14"/>
      <c r="K249" s="13" t="s">
        <v>1414</v>
      </c>
    </row>
    <row r="250" spans="1:11" ht="12.6" customHeight="1" x14ac:dyDescent="0.2">
      <c r="A250" s="13">
        <v>44531</v>
      </c>
      <c r="B250" s="19"/>
      <c r="C250" s="15">
        <v>2.5</v>
      </c>
      <c r="D250" s="14"/>
      <c r="E250" s="15">
        <f t="shared" si="19"/>
        <v>93.626999999999981</v>
      </c>
      <c r="F250" s="14"/>
      <c r="G250" s="15">
        <f t="shared" si="18"/>
        <v>2.5</v>
      </c>
      <c r="H250" s="14"/>
      <c r="I250" s="15">
        <f t="shared" si="20"/>
        <v>113.042</v>
      </c>
      <c r="J250" s="14"/>
      <c r="K250" s="16"/>
    </row>
    <row r="251" spans="1:11" ht="12.6" customHeight="1" x14ac:dyDescent="0.2">
      <c r="A251" s="13"/>
      <c r="B251" s="19" t="s">
        <v>1415</v>
      </c>
      <c r="C251" s="15"/>
      <c r="D251" s="14"/>
      <c r="E251" s="15">
        <f t="shared" si="19"/>
        <v>93.626999999999981</v>
      </c>
      <c r="F251" s="14"/>
      <c r="G251" s="15">
        <f t="shared" si="18"/>
        <v>0</v>
      </c>
      <c r="H251" s="14"/>
      <c r="I251" s="15">
        <f t="shared" si="20"/>
        <v>113.042</v>
      </c>
      <c r="J251" s="14"/>
      <c r="K251" s="13" t="s">
        <v>1416</v>
      </c>
    </row>
    <row r="252" spans="1:11" ht="12.6" customHeight="1" x14ac:dyDescent="0.2">
      <c r="A252" s="13"/>
      <c r="B252" s="19" t="s">
        <v>47</v>
      </c>
      <c r="C252" s="15"/>
      <c r="D252" s="14"/>
      <c r="E252" s="15">
        <f t="shared" si="19"/>
        <v>93.626999999999981</v>
      </c>
      <c r="F252" s="14"/>
      <c r="G252" s="15">
        <f t="shared" si="18"/>
        <v>0</v>
      </c>
      <c r="H252" s="14">
        <v>1</v>
      </c>
      <c r="I252" s="15">
        <f t="shared" si="20"/>
        <v>112.042</v>
      </c>
      <c r="J252" s="14"/>
      <c r="K252" s="13">
        <v>44543</v>
      </c>
    </row>
    <row r="253" spans="1:11" ht="12.6" customHeight="1" x14ac:dyDescent="0.2">
      <c r="A253" s="13">
        <v>44562</v>
      </c>
      <c r="B253" s="19"/>
      <c r="C253" s="15">
        <v>1.25</v>
      </c>
      <c r="D253" s="14"/>
      <c r="E253" s="15">
        <f t="shared" si="19"/>
        <v>94.876999999999981</v>
      </c>
      <c r="F253" s="14"/>
      <c r="G253" s="15">
        <f t="shared" si="18"/>
        <v>1.25</v>
      </c>
      <c r="H253" s="14"/>
      <c r="I253" s="15">
        <f t="shared" si="20"/>
        <v>113.292</v>
      </c>
      <c r="J253" s="14"/>
      <c r="K253" s="13"/>
    </row>
    <row r="254" spans="1:11" ht="12.6" customHeight="1" x14ac:dyDescent="0.2">
      <c r="A254" s="13"/>
      <c r="B254" s="19" t="s">
        <v>1417</v>
      </c>
      <c r="C254" s="15"/>
      <c r="D254" s="14">
        <v>0.33100000000000002</v>
      </c>
      <c r="E254" s="15">
        <f t="shared" si="19"/>
        <v>94.545999999999978</v>
      </c>
      <c r="F254" s="14"/>
      <c r="G254" s="15">
        <f t="shared" si="18"/>
        <v>0</v>
      </c>
      <c r="H254" s="14"/>
      <c r="I254" s="15">
        <f t="shared" si="20"/>
        <v>113.292</v>
      </c>
      <c r="J254" s="14"/>
      <c r="K254" s="93">
        <v>44389</v>
      </c>
    </row>
    <row r="255" spans="1:11" ht="12.6" customHeight="1" x14ac:dyDescent="0.2">
      <c r="A255" s="13">
        <v>44621</v>
      </c>
      <c r="B255" s="19"/>
      <c r="C255" s="15">
        <v>2.5</v>
      </c>
      <c r="D255" s="14"/>
      <c r="E255" s="15">
        <f t="shared" si="19"/>
        <v>97.045999999999978</v>
      </c>
      <c r="F255" s="14"/>
      <c r="G255" s="15">
        <f t="shared" si="18"/>
        <v>2.5</v>
      </c>
      <c r="H255" s="14"/>
      <c r="I255" s="15">
        <f t="shared" si="20"/>
        <v>115.792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31.25</v>
      </c>
      <c r="D256" s="36">
        <f>SUM(D230:D255)</f>
        <v>3.871</v>
      </c>
      <c r="E256" s="36"/>
      <c r="F256" s="37"/>
      <c r="G256" s="36">
        <f>SUM(G230:G255)</f>
        <v>31.25</v>
      </c>
      <c r="H256" s="36">
        <f>SUM(H230:H255)</f>
        <v>2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>
        <f>A1</f>
        <v>0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>
        <f>K1</f>
        <v>0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47</v>
      </c>
      <c r="C265" s="15"/>
      <c r="D265" s="14"/>
      <c r="E265" s="15">
        <f>E255+C265-D265</f>
        <v>97.045999999999978</v>
      </c>
      <c r="F265" s="14"/>
      <c r="G265" s="15">
        <f>C265</f>
        <v>0</v>
      </c>
      <c r="H265" s="14">
        <v>1</v>
      </c>
      <c r="I265" s="15">
        <f>I255+G265-H265</f>
        <v>114.792</v>
      </c>
      <c r="J265" s="14"/>
      <c r="K265" s="13">
        <v>44624</v>
      </c>
    </row>
    <row r="266" spans="1:11" ht="12.6" customHeight="1" x14ac:dyDescent="0.2">
      <c r="A266" s="13"/>
      <c r="B266" s="19" t="s">
        <v>47</v>
      </c>
      <c r="C266" s="15"/>
      <c r="D266" s="14"/>
      <c r="E266" s="15">
        <f>E265+C266-D266</f>
        <v>97.045999999999978</v>
      </c>
      <c r="F266" s="14"/>
      <c r="G266" s="15">
        <f t="shared" ref="G266:G290" si="21">C266</f>
        <v>0</v>
      </c>
      <c r="H266" s="14">
        <v>1</v>
      </c>
      <c r="I266" s="15">
        <f>I265+G266-H266</f>
        <v>113.792</v>
      </c>
      <c r="J266" s="14"/>
      <c r="K266" s="13">
        <v>44637</v>
      </c>
    </row>
    <row r="267" spans="1:11" ht="12.6" customHeight="1" x14ac:dyDescent="0.2">
      <c r="A267" s="13"/>
      <c r="B267" s="19" t="s">
        <v>1226</v>
      </c>
      <c r="C267" s="15"/>
      <c r="D267" s="14"/>
      <c r="E267" s="15">
        <f t="shared" ref="E267:E290" si="22">E266+C267-D267</f>
        <v>97.045999999999978</v>
      </c>
      <c r="F267" s="14"/>
      <c r="G267" s="15">
        <f t="shared" si="21"/>
        <v>0</v>
      </c>
      <c r="H267" s="14"/>
      <c r="I267" s="15">
        <f t="shared" ref="I267:I290" si="23">I266+G267-H267</f>
        <v>113.792</v>
      </c>
      <c r="J267" s="14"/>
      <c r="K267" s="13" t="s">
        <v>1418</v>
      </c>
    </row>
    <row r="268" spans="1:11" ht="12.6" customHeight="1" x14ac:dyDescent="0.2">
      <c r="A268" s="13">
        <v>44774</v>
      </c>
      <c r="B268" s="19"/>
      <c r="C268" s="15">
        <v>6.25</v>
      </c>
      <c r="D268" s="14"/>
      <c r="E268" s="15">
        <f t="shared" si="22"/>
        <v>103.29599999999998</v>
      </c>
      <c r="F268" s="14"/>
      <c r="G268" s="15">
        <f t="shared" si="21"/>
        <v>6.25</v>
      </c>
      <c r="H268" s="14"/>
      <c r="I268" s="15">
        <f t="shared" si="23"/>
        <v>120.042</v>
      </c>
      <c r="J268" s="14"/>
      <c r="K268" s="16"/>
    </row>
    <row r="269" spans="1:11" ht="12.6" customHeight="1" x14ac:dyDescent="0.2">
      <c r="A269" s="13"/>
      <c r="B269" s="19" t="s">
        <v>74</v>
      </c>
      <c r="C269" s="15"/>
      <c r="D269" s="14">
        <v>1</v>
      </c>
      <c r="E269" s="15">
        <f t="shared" si="22"/>
        <v>102.29599999999998</v>
      </c>
      <c r="F269" s="14"/>
      <c r="G269" s="15">
        <f t="shared" si="21"/>
        <v>0</v>
      </c>
      <c r="H269" s="14"/>
      <c r="I269" s="15">
        <f t="shared" si="23"/>
        <v>120.042</v>
      </c>
      <c r="J269" s="14"/>
      <c r="K269" s="13">
        <v>44781</v>
      </c>
    </row>
    <row r="270" spans="1:11" ht="12.6" customHeight="1" x14ac:dyDescent="0.2">
      <c r="A270" s="13"/>
      <c r="B270" s="19" t="s">
        <v>47</v>
      </c>
      <c r="C270" s="15"/>
      <c r="D270" s="14"/>
      <c r="E270" s="15">
        <f t="shared" si="22"/>
        <v>102.29599999999998</v>
      </c>
      <c r="F270" s="14"/>
      <c r="G270" s="15">
        <f t="shared" si="21"/>
        <v>0</v>
      </c>
      <c r="H270" s="14">
        <v>1</v>
      </c>
      <c r="I270" s="15">
        <f t="shared" si="23"/>
        <v>119.042</v>
      </c>
      <c r="J270" s="14"/>
      <c r="K270" s="13">
        <v>44790</v>
      </c>
    </row>
    <row r="271" spans="1:11" ht="12.6" customHeight="1" x14ac:dyDescent="0.2">
      <c r="A271" s="13"/>
      <c r="B271" s="19" t="s">
        <v>47</v>
      </c>
      <c r="C271" s="15"/>
      <c r="D271" s="14"/>
      <c r="E271" s="15">
        <f t="shared" si="22"/>
        <v>102.29599999999998</v>
      </c>
      <c r="F271" s="14"/>
      <c r="G271" s="15">
        <f t="shared" si="21"/>
        <v>0</v>
      </c>
      <c r="H271" s="14">
        <v>1</v>
      </c>
      <c r="I271" s="15">
        <f t="shared" si="23"/>
        <v>118.042</v>
      </c>
      <c r="J271" s="14"/>
      <c r="K271" s="13">
        <v>44803</v>
      </c>
    </row>
    <row r="272" spans="1:11" ht="12.6" customHeight="1" x14ac:dyDescent="0.2">
      <c r="A272" s="13">
        <v>44835</v>
      </c>
      <c r="B272" s="19"/>
      <c r="C272" s="15">
        <v>2.5</v>
      </c>
      <c r="D272" s="14"/>
      <c r="E272" s="15">
        <f t="shared" si="22"/>
        <v>104.79599999999998</v>
      </c>
      <c r="F272" s="14"/>
      <c r="G272" s="15">
        <f t="shared" si="21"/>
        <v>2.5</v>
      </c>
      <c r="H272" s="14"/>
      <c r="I272" s="15">
        <f t="shared" si="23"/>
        <v>120.542</v>
      </c>
      <c r="J272" s="14"/>
      <c r="K272" s="13"/>
    </row>
    <row r="273" spans="1:11" ht="12.6" customHeight="1" x14ac:dyDescent="0.2">
      <c r="A273" s="13"/>
      <c r="B273" s="19" t="s">
        <v>47</v>
      </c>
      <c r="C273" s="15"/>
      <c r="D273" s="14"/>
      <c r="E273" s="15">
        <f t="shared" si="22"/>
        <v>104.79599999999998</v>
      </c>
      <c r="F273" s="14"/>
      <c r="G273" s="15">
        <f t="shared" si="21"/>
        <v>0</v>
      </c>
      <c r="H273" s="14">
        <v>1</v>
      </c>
      <c r="I273" s="15">
        <f t="shared" si="23"/>
        <v>119.542</v>
      </c>
      <c r="J273" s="14"/>
      <c r="K273" s="13">
        <v>44837</v>
      </c>
    </row>
    <row r="274" spans="1:11" ht="12.6" customHeight="1" x14ac:dyDescent="0.2">
      <c r="A274" s="13"/>
      <c r="B274" s="19" t="s">
        <v>47</v>
      </c>
      <c r="C274" s="15"/>
      <c r="D274" s="14"/>
      <c r="E274" s="15">
        <f t="shared" si="22"/>
        <v>104.79599999999998</v>
      </c>
      <c r="F274" s="14"/>
      <c r="G274" s="15">
        <f t="shared" si="21"/>
        <v>0</v>
      </c>
      <c r="H274" s="14">
        <v>1</v>
      </c>
      <c r="I274" s="15">
        <f t="shared" si="23"/>
        <v>118.542</v>
      </c>
      <c r="J274" s="14"/>
      <c r="K274" s="13">
        <v>44840</v>
      </c>
    </row>
    <row r="275" spans="1:11" ht="12.6" customHeight="1" x14ac:dyDescent="0.2">
      <c r="A275" s="13"/>
      <c r="B275" s="19" t="s">
        <v>47</v>
      </c>
      <c r="C275" s="15"/>
      <c r="D275" s="14"/>
      <c r="E275" s="15">
        <f t="shared" si="22"/>
        <v>104.79599999999998</v>
      </c>
      <c r="F275" s="14"/>
      <c r="G275" s="15">
        <f t="shared" si="21"/>
        <v>0</v>
      </c>
      <c r="H275" s="14">
        <v>1</v>
      </c>
      <c r="I275" s="15">
        <f t="shared" si="23"/>
        <v>117.542</v>
      </c>
      <c r="J275" s="14"/>
      <c r="K275" s="13">
        <v>44858</v>
      </c>
    </row>
    <row r="276" spans="1:11" ht="12.6" customHeight="1" x14ac:dyDescent="0.2">
      <c r="A276" s="13">
        <v>44896</v>
      </c>
      <c r="B276" s="19"/>
      <c r="C276" s="15">
        <v>2.5</v>
      </c>
      <c r="D276" s="14"/>
      <c r="E276" s="15">
        <f t="shared" si="22"/>
        <v>107.29599999999998</v>
      </c>
      <c r="F276" s="14"/>
      <c r="G276" s="15">
        <f t="shared" si="21"/>
        <v>2.5</v>
      </c>
      <c r="H276" s="14"/>
      <c r="I276" s="15">
        <f t="shared" si="23"/>
        <v>120.042</v>
      </c>
      <c r="J276" s="14"/>
      <c r="K276" s="13"/>
    </row>
    <row r="277" spans="1:11" ht="12.6" customHeight="1" x14ac:dyDescent="0.2">
      <c r="A277" s="13"/>
      <c r="B277" s="19" t="s">
        <v>105</v>
      </c>
      <c r="C277" s="15"/>
      <c r="D277" s="14">
        <v>4</v>
      </c>
      <c r="E277" s="15">
        <f t="shared" si="22"/>
        <v>103.29599999999998</v>
      </c>
      <c r="F277" s="14"/>
      <c r="G277" s="15">
        <f t="shared" si="21"/>
        <v>0</v>
      </c>
      <c r="H277" s="14"/>
      <c r="I277" s="15">
        <f t="shared" si="23"/>
        <v>120.042</v>
      </c>
      <c r="J277" s="14"/>
      <c r="K277" s="13" t="s">
        <v>1419</v>
      </c>
    </row>
    <row r="278" spans="1:11" ht="12.6" customHeight="1" x14ac:dyDescent="0.2">
      <c r="A278" s="13">
        <v>45139</v>
      </c>
      <c r="B278" s="19"/>
      <c r="C278" s="15">
        <v>10</v>
      </c>
      <c r="D278" s="14"/>
      <c r="E278" s="15">
        <f t="shared" si="22"/>
        <v>113.29599999999998</v>
      </c>
      <c r="F278" s="14"/>
      <c r="G278" s="15">
        <f t="shared" si="21"/>
        <v>10</v>
      </c>
      <c r="H278" s="14"/>
      <c r="I278" s="15">
        <f t="shared" si="23"/>
        <v>130.042</v>
      </c>
      <c r="J278" s="14"/>
      <c r="K278" s="13"/>
    </row>
    <row r="279" spans="1:11" ht="12.6" customHeight="1" x14ac:dyDescent="0.2">
      <c r="A279" s="13"/>
      <c r="B279" s="19" t="s">
        <v>52</v>
      </c>
      <c r="C279" s="15"/>
      <c r="D279" s="14"/>
      <c r="E279" s="15">
        <f t="shared" si="22"/>
        <v>113.29599999999998</v>
      </c>
      <c r="F279" s="14"/>
      <c r="G279" s="15">
        <f t="shared" si="21"/>
        <v>0</v>
      </c>
      <c r="H279" s="14">
        <v>2</v>
      </c>
      <c r="I279" s="15">
        <f t="shared" si="23"/>
        <v>128.042</v>
      </c>
      <c r="J279" s="14"/>
      <c r="K279" s="13" t="s">
        <v>1420</v>
      </c>
    </row>
    <row r="280" spans="1:11" ht="12.6" customHeight="1" x14ac:dyDescent="0.2">
      <c r="A280" s="13">
        <v>45200</v>
      </c>
      <c r="B280" s="19"/>
      <c r="C280" s="15">
        <v>2.5</v>
      </c>
      <c r="D280" s="14"/>
      <c r="E280" s="15">
        <f t="shared" si="22"/>
        <v>115.79599999999998</v>
      </c>
      <c r="F280" s="14"/>
      <c r="G280" s="15">
        <f t="shared" si="21"/>
        <v>2.5</v>
      </c>
      <c r="H280" s="14"/>
      <c r="I280" s="15">
        <f t="shared" si="23"/>
        <v>130.542</v>
      </c>
      <c r="J280" s="14"/>
      <c r="K280" s="13"/>
    </row>
    <row r="281" spans="1:11" ht="12.6" customHeight="1" x14ac:dyDescent="0.2">
      <c r="A281" s="13"/>
      <c r="B281" s="19" t="s">
        <v>1421</v>
      </c>
      <c r="C281" s="15"/>
      <c r="D281" s="14"/>
      <c r="E281" s="15">
        <f t="shared" si="22"/>
        <v>115.79599999999998</v>
      </c>
      <c r="F281" s="14"/>
      <c r="G281" s="15">
        <f t="shared" si="21"/>
        <v>0</v>
      </c>
      <c r="H281" s="14"/>
      <c r="I281" s="15">
        <f t="shared" si="23"/>
        <v>130.542</v>
      </c>
      <c r="J281" s="14"/>
      <c r="K281" s="13" t="s">
        <v>1423</v>
      </c>
    </row>
    <row r="282" spans="1:11" ht="12.6" customHeight="1" x14ac:dyDescent="0.2">
      <c r="A282" s="13"/>
      <c r="B282" s="19" t="s">
        <v>1422</v>
      </c>
      <c r="C282" s="15"/>
      <c r="D282" s="15">
        <v>0.38400000000000001</v>
      </c>
      <c r="E282" s="15">
        <f t="shared" si="22"/>
        <v>115.41199999999998</v>
      </c>
      <c r="F282" s="14"/>
      <c r="G282" s="15">
        <f t="shared" si="21"/>
        <v>0</v>
      </c>
      <c r="H282" s="14"/>
      <c r="I282" s="15">
        <f t="shared" si="23"/>
        <v>130.542</v>
      </c>
      <c r="J282" s="14"/>
      <c r="K282" s="13">
        <v>44935</v>
      </c>
    </row>
    <row r="283" spans="1:11" ht="12.6" customHeight="1" x14ac:dyDescent="0.2">
      <c r="A283" s="13">
        <v>45261</v>
      </c>
      <c r="B283" s="19"/>
      <c r="C283" s="15">
        <v>2.5</v>
      </c>
      <c r="D283" s="14"/>
      <c r="E283" s="15">
        <f t="shared" si="22"/>
        <v>117.91199999999998</v>
      </c>
      <c r="F283" s="14"/>
      <c r="G283" s="15">
        <f t="shared" si="21"/>
        <v>2.5</v>
      </c>
      <c r="H283" s="14"/>
      <c r="I283" s="15">
        <f t="shared" si="23"/>
        <v>133.042</v>
      </c>
      <c r="J283" s="14"/>
      <c r="K283" s="16"/>
    </row>
    <row r="284" spans="1:11" ht="12.6" customHeight="1" x14ac:dyDescent="0.2">
      <c r="A284" s="13"/>
      <c r="B284" s="19" t="s">
        <v>1424</v>
      </c>
      <c r="C284" s="15"/>
      <c r="D284" s="15"/>
      <c r="E284" s="15">
        <f t="shared" si="22"/>
        <v>117.91199999999998</v>
      </c>
      <c r="F284" s="14"/>
      <c r="G284" s="15">
        <f t="shared" si="21"/>
        <v>0</v>
      </c>
      <c r="H284" s="14"/>
      <c r="I284" s="15">
        <f t="shared" si="23"/>
        <v>133.042</v>
      </c>
      <c r="J284" s="14"/>
      <c r="K284" s="13" t="s">
        <v>1425</v>
      </c>
    </row>
    <row r="285" spans="1:11" ht="12.6" customHeight="1" x14ac:dyDescent="0.2">
      <c r="A285" s="13"/>
      <c r="B285" s="19" t="s">
        <v>1301</v>
      </c>
      <c r="C285" s="15"/>
      <c r="D285" s="14"/>
      <c r="E285" s="15">
        <f t="shared" si="22"/>
        <v>117.91199999999998</v>
      </c>
      <c r="F285" s="14"/>
      <c r="G285" s="15">
        <f t="shared" si="21"/>
        <v>0</v>
      </c>
      <c r="H285" s="14"/>
      <c r="I285" s="15">
        <f t="shared" si="23"/>
        <v>133.042</v>
      </c>
      <c r="J285" s="14"/>
      <c r="K285" s="13">
        <v>45275</v>
      </c>
    </row>
    <row r="286" spans="1:11" ht="12.6" customHeight="1" x14ac:dyDescent="0.2">
      <c r="A286" s="13">
        <v>45323</v>
      </c>
      <c r="B286" s="19"/>
      <c r="C286" s="15">
        <v>2.5</v>
      </c>
      <c r="D286" s="14"/>
      <c r="E286" s="15">
        <f t="shared" si="22"/>
        <v>120.41199999999998</v>
      </c>
      <c r="F286" s="14"/>
      <c r="G286" s="15">
        <f t="shared" si="21"/>
        <v>2.5</v>
      </c>
      <c r="H286" s="14"/>
      <c r="I286" s="15">
        <f t="shared" si="23"/>
        <v>135.542</v>
      </c>
      <c r="J286" s="14"/>
      <c r="K286" s="13"/>
    </row>
    <row r="287" spans="1:11" ht="12.6" customHeight="1" x14ac:dyDescent="0.2">
      <c r="A287" s="13"/>
      <c r="B287" s="19" t="s">
        <v>1426</v>
      </c>
      <c r="C287" s="15"/>
      <c r="D287" s="14">
        <v>0.82499999999999996</v>
      </c>
      <c r="E287" s="15">
        <f t="shared" si="22"/>
        <v>119.58699999999997</v>
      </c>
      <c r="F287" s="14"/>
      <c r="G287" s="15">
        <f t="shared" si="21"/>
        <v>0</v>
      </c>
      <c r="H287" s="14"/>
      <c r="I287" s="15">
        <f t="shared" si="23"/>
        <v>135.542</v>
      </c>
      <c r="J287" s="14"/>
      <c r="K287" s="13" t="s">
        <v>1427</v>
      </c>
    </row>
    <row r="288" spans="1:11" ht="12.6" customHeight="1" x14ac:dyDescent="0.2">
      <c r="A288" s="13"/>
      <c r="B288" s="19" t="s">
        <v>47</v>
      </c>
      <c r="C288" s="15"/>
      <c r="D288" s="14"/>
      <c r="E288" s="15">
        <f t="shared" si="22"/>
        <v>119.58699999999997</v>
      </c>
      <c r="F288" s="14"/>
      <c r="G288" s="15">
        <f t="shared" si="21"/>
        <v>0</v>
      </c>
      <c r="H288" s="14">
        <v>1</v>
      </c>
      <c r="I288" s="15">
        <f t="shared" si="23"/>
        <v>134.542</v>
      </c>
      <c r="J288" s="14"/>
      <c r="K288" s="13">
        <v>45327</v>
      </c>
    </row>
    <row r="289" spans="1:11" ht="12.6" customHeight="1" x14ac:dyDescent="0.2">
      <c r="A289" s="13">
        <v>45383</v>
      </c>
      <c r="B289" s="19"/>
      <c r="C289" s="15">
        <v>2.5</v>
      </c>
      <c r="D289" s="14"/>
      <c r="E289" s="15">
        <f t="shared" si="22"/>
        <v>122.08699999999997</v>
      </c>
      <c r="F289" s="14"/>
      <c r="G289" s="15">
        <f t="shared" si="21"/>
        <v>2.5</v>
      </c>
      <c r="H289" s="14"/>
      <c r="I289" s="15">
        <f t="shared" si="23"/>
        <v>137.042</v>
      </c>
      <c r="J289" s="14"/>
      <c r="K289" s="13"/>
    </row>
    <row r="290" spans="1:11" ht="12.6" customHeight="1" x14ac:dyDescent="0.2">
      <c r="A290" s="13"/>
      <c r="B290" s="19" t="s">
        <v>1428</v>
      </c>
      <c r="C290" s="15"/>
      <c r="D290" s="14">
        <v>0.29599999999999999</v>
      </c>
      <c r="E290" s="15">
        <f t="shared" si="22"/>
        <v>121.79099999999997</v>
      </c>
      <c r="F290" s="14"/>
      <c r="G290" s="15">
        <f t="shared" si="21"/>
        <v>0</v>
      </c>
      <c r="H290" s="14"/>
      <c r="I290" s="15">
        <f t="shared" si="23"/>
        <v>137.042</v>
      </c>
      <c r="J290" s="14"/>
      <c r="K290" s="13">
        <v>45294</v>
      </c>
    </row>
    <row r="291" spans="1:11" ht="12.6" customHeight="1" x14ac:dyDescent="0.2">
      <c r="A291" s="19"/>
      <c r="B291" s="19"/>
      <c r="C291" s="36">
        <f>SUM(C265:C290)</f>
        <v>31.25</v>
      </c>
      <c r="D291" s="36">
        <f>SUM(D265:D290)</f>
        <v>6.5050000000000008</v>
      </c>
      <c r="E291" s="36"/>
      <c r="F291" s="37"/>
      <c r="G291" s="36">
        <f>SUM(G265:G290)</f>
        <v>31.25</v>
      </c>
      <c r="H291" s="36">
        <f>SUM(H265:H290)</f>
        <v>10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>
        <f>A1</f>
        <v>0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>
        <f>K1</f>
        <v>0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>
        <v>45413</v>
      </c>
      <c r="B304" s="19"/>
      <c r="C304" s="15">
        <v>1.25</v>
      </c>
      <c r="D304" s="14"/>
      <c r="E304" s="15">
        <f>E290+C304-D304</f>
        <v>123.04099999999997</v>
      </c>
      <c r="F304" s="14"/>
      <c r="G304" s="15">
        <f>C304</f>
        <v>1.25</v>
      </c>
      <c r="H304" s="14"/>
      <c r="I304" s="15">
        <f>I290+G304-H304</f>
        <v>138.292</v>
      </c>
      <c r="J304" s="14"/>
      <c r="K304" s="16"/>
    </row>
    <row r="305" spans="1:11" ht="12.6" customHeight="1" x14ac:dyDescent="0.2">
      <c r="A305" s="13"/>
      <c r="B305" s="19" t="s">
        <v>1345</v>
      </c>
      <c r="C305" s="15"/>
      <c r="D305" s="14"/>
      <c r="E305" s="15">
        <f>E304+C305-D305</f>
        <v>123.04099999999997</v>
      </c>
      <c r="F305" s="14"/>
      <c r="G305" s="15">
        <f t="shared" ref="G305:G329" si="24">C305</f>
        <v>0</v>
      </c>
      <c r="H305" s="14">
        <v>2</v>
      </c>
      <c r="I305" s="15">
        <f>I304+G305-H305</f>
        <v>136.292</v>
      </c>
      <c r="J305" s="14"/>
      <c r="K305" s="13" t="s">
        <v>1429</v>
      </c>
    </row>
    <row r="306" spans="1:11" ht="12.6" customHeight="1" x14ac:dyDescent="0.2">
      <c r="A306" s="13">
        <v>45474</v>
      </c>
      <c r="B306" s="19"/>
      <c r="C306" s="15">
        <v>2.5</v>
      </c>
      <c r="D306" s="14"/>
      <c r="E306" s="15">
        <f t="shared" ref="E306:E329" si="25">E305+C306-D306</f>
        <v>125.54099999999997</v>
      </c>
      <c r="F306" s="14"/>
      <c r="G306" s="15">
        <f t="shared" si="24"/>
        <v>2.5</v>
      </c>
      <c r="H306" s="14"/>
      <c r="I306" s="15">
        <f t="shared" ref="I306:I329" si="26">I305+G306-H306</f>
        <v>138.792</v>
      </c>
      <c r="J306" s="14"/>
      <c r="K306" s="13"/>
    </row>
    <row r="307" spans="1:11" ht="12.6" customHeight="1" x14ac:dyDescent="0.2">
      <c r="A307" s="13"/>
      <c r="B307" s="19" t="s">
        <v>1269</v>
      </c>
      <c r="C307" s="15"/>
      <c r="D307" s="14"/>
      <c r="E307" s="15">
        <f t="shared" si="25"/>
        <v>125.54099999999997</v>
      </c>
      <c r="F307" s="14"/>
      <c r="G307" s="15">
        <f t="shared" si="24"/>
        <v>0</v>
      </c>
      <c r="H307" s="14"/>
      <c r="I307" s="15">
        <f t="shared" si="26"/>
        <v>138.792</v>
      </c>
      <c r="J307" s="14"/>
      <c r="K307" s="13">
        <v>45488</v>
      </c>
    </row>
    <row r="308" spans="1:11" ht="12.6" customHeight="1" x14ac:dyDescent="0.2">
      <c r="A308" s="13"/>
      <c r="B308" s="19" t="s">
        <v>1430</v>
      </c>
      <c r="C308" s="15"/>
      <c r="D308" s="14">
        <v>0.41299999999999998</v>
      </c>
      <c r="E308" s="15">
        <f t="shared" si="25"/>
        <v>125.12799999999997</v>
      </c>
      <c r="F308" s="14"/>
      <c r="G308" s="15">
        <f t="shared" si="24"/>
        <v>0</v>
      </c>
      <c r="H308" s="14"/>
      <c r="I308" s="15">
        <f t="shared" si="26"/>
        <v>138.792</v>
      </c>
      <c r="J308" s="14"/>
      <c r="K308" s="13">
        <v>45388</v>
      </c>
    </row>
    <row r="309" spans="1:11" ht="12.6" customHeight="1" x14ac:dyDescent="0.2">
      <c r="A309" s="13">
        <v>45505</v>
      </c>
      <c r="B309" s="19"/>
      <c r="C309" s="15">
        <v>1.25</v>
      </c>
      <c r="D309" s="14"/>
      <c r="E309" s="15">
        <f t="shared" si="25"/>
        <v>126.37799999999997</v>
      </c>
      <c r="F309" s="14"/>
      <c r="G309" s="15">
        <f t="shared" si="24"/>
        <v>1.25</v>
      </c>
      <c r="H309" s="14"/>
      <c r="I309" s="15">
        <f t="shared" si="26"/>
        <v>140.042</v>
      </c>
      <c r="J309" s="14"/>
      <c r="K309" s="13"/>
    </row>
    <row r="310" spans="1:11" ht="12.6" customHeight="1" x14ac:dyDescent="0.2">
      <c r="A310" s="13"/>
      <c r="B310" s="19" t="s">
        <v>1269</v>
      </c>
      <c r="C310" s="15"/>
      <c r="D310" s="14"/>
      <c r="E310" s="15">
        <f t="shared" si="25"/>
        <v>126.37799999999997</v>
      </c>
      <c r="F310" s="14"/>
      <c r="G310" s="15">
        <f t="shared" si="24"/>
        <v>0</v>
      </c>
      <c r="H310" s="14"/>
      <c r="I310" s="15">
        <f t="shared" si="26"/>
        <v>140.042</v>
      </c>
      <c r="J310" s="14"/>
      <c r="K310" s="13">
        <v>45510</v>
      </c>
    </row>
    <row r="311" spans="1:11" ht="12.6" customHeight="1" x14ac:dyDescent="0.2">
      <c r="A311" s="13"/>
      <c r="B311" s="19" t="s">
        <v>1269</v>
      </c>
      <c r="C311" s="15"/>
      <c r="D311" s="14"/>
      <c r="E311" s="15">
        <f t="shared" si="25"/>
        <v>126.37799999999997</v>
      </c>
      <c r="F311" s="14"/>
      <c r="G311" s="15">
        <f t="shared" si="24"/>
        <v>0</v>
      </c>
      <c r="H311" s="14"/>
      <c r="I311" s="15">
        <f t="shared" si="26"/>
        <v>140.042</v>
      </c>
      <c r="J311" s="14"/>
      <c r="K311" s="13">
        <v>45516</v>
      </c>
    </row>
    <row r="312" spans="1:11" ht="12.6" customHeight="1" x14ac:dyDescent="0.2">
      <c r="A312" s="13"/>
      <c r="B312" s="19" t="s">
        <v>1250</v>
      </c>
      <c r="C312" s="15"/>
      <c r="D312" s="14"/>
      <c r="E312" s="15">
        <f t="shared" si="25"/>
        <v>126.37799999999997</v>
      </c>
      <c r="F312" s="14"/>
      <c r="G312" s="15">
        <f t="shared" si="24"/>
        <v>0</v>
      </c>
      <c r="H312" s="14">
        <v>1</v>
      </c>
      <c r="I312" s="15">
        <f t="shared" si="26"/>
        <v>139.042</v>
      </c>
      <c r="J312" s="14"/>
      <c r="K312" s="13">
        <v>45517</v>
      </c>
    </row>
    <row r="313" spans="1:11" ht="12.6" customHeight="1" x14ac:dyDescent="0.2">
      <c r="A313" s="13">
        <v>45566</v>
      </c>
      <c r="B313" s="19"/>
      <c r="C313" s="15">
        <v>2.5</v>
      </c>
      <c r="D313" s="14"/>
      <c r="E313" s="15">
        <f t="shared" si="25"/>
        <v>128.87799999999999</v>
      </c>
      <c r="F313" s="14"/>
      <c r="G313" s="15">
        <f t="shared" si="24"/>
        <v>2.5</v>
      </c>
      <c r="H313" s="14"/>
      <c r="I313" s="15">
        <f t="shared" si="26"/>
        <v>141.542</v>
      </c>
      <c r="J313" s="14"/>
      <c r="K313" s="16"/>
    </row>
    <row r="314" spans="1:11" ht="12.6" customHeight="1" x14ac:dyDescent="0.2">
      <c r="A314" s="13"/>
      <c r="B314" s="19" t="s">
        <v>1431</v>
      </c>
      <c r="C314" s="15"/>
      <c r="D314" s="14">
        <v>0.53700000000000003</v>
      </c>
      <c r="E314" s="15">
        <f t="shared" si="25"/>
        <v>128.34099999999998</v>
      </c>
      <c r="F314" s="14"/>
      <c r="G314" s="15">
        <f t="shared" si="24"/>
        <v>0</v>
      </c>
      <c r="H314" s="14"/>
      <c r="I314" s="15">
        <f t="shared" si="26"/>
        <v>141.542</v>
      </c>
      <c r="J314" s="14"/>
      <c r="K314" s="13">
        <v>45482</v>
      </c>
    </row>
    <row r="315" spans="1:11" ht="12.6" customHeight="1" x14ac:dyDescent="0.2">
      <c r="A315" s="13">
        <v>45597</v>
      </c>
      <c r="B315" s="19"/>
      <c r="C315" s="15">
        <v>1.25</v>
      </c>
      <c r="D315" s="14"/>
      <c r="E315" s="15">
        <f t="shared" si="25"/>
        <v>129.59099999999998</v>
      </c>
      <c r="F315" s="14"/>
      <c r="G315" s="15">
        <f t="shared" si="24"/>
        <v>1.25</v>
      </c>
      <c r="H315" s="14"/>
      <c r="I315" s="15">
        <f t="shared" si="26"/>
        <v>142.792</v>
      </c>
      <c r="J315" s="14"/>
      <c r="K315" s="13"/>
    </row>
    <row r="316" spans="1:11" ht="12.6" customHeight="1" x14ac:dyDescent="0.2">
      <c r="A316" s="13"/>
      <c r="B316" s="19" t="s">
        <v>957</v>
      </c>
      <c r="C316" s="15"/>
      <c r="D316" s="14"/>
      <c r="E316" s="15">
        <f t="shared" si="25"/>
        <v>129.59099999999998</v>
      </c>
      <c r="F316" s="14"/>
      <c r="G316" s="15">
        <f t="shared" si="24"/>
        <v>0</v>
      </c>
      <c r="H316" s="14">
        <v>35</v>
      </c>
      <c r="I316" s="15">
        <f t="shared" si="26"/>
        <v>107.792</v>
      </c>
      <c r="J316" s="14"/>
      <c r="K316" s="13" t="s">
        <v>1432</v>
      </c>
    </row>
    <row r="317" spans="1:11" ht="12.6" customHeight="1" x14ac:dyDescent="0.2">
      <c r="A317" s="13">
        <v>45627</v>
      </c>
      <c r="B317" s="19"/>
      <c r="C317" s="15">
        <v>1.25</v>
      </c>
      <c r="D317" s="14"/>
      <c r="E317" s="15">
        <f>E316+C317-D317</f>
        <v>130.84099999999998</v>
      </c>
      <c r="F317" s="14"/>
      <c r="G317" s="15">
        <f t="shared" si="24"/>
        <v>1.25</v>
      </c>
      <c r="H317" s="14"/>
      <c r="I317" s="15">
        <f t="shared" si="26"/>
        <v>109.042</v>
      </c>
      <c r="J317" s="14"/>
      <c r="K317" s="13"/>
    </row>
    <row r="318" spans="1:11" ht="12.6" customHeight="1" x14ac:dyDescent="0.2">
      <c r="A318" s="13"/>
      <c r="B318" s="19" t="s">
        <v>1250</v>
      </c>
      <c r="C318" s="15"/>
      <c r="D318" s="14"/>
      <c r="E318" s="15">
        <f t="shared" si="25"/>
        <v>130.84099999999998</v>
      </c>
      <c r="F318" s="14"/>
      <c r="G318" s="15">
        <f t="shared" si="24"/>
        <v>0</v>
      </c>
      <c r="H318" s="14">
        <v>1</v>
      </c>
      <c r="I318" s="15">
        <f t="shared" si="26"/>
        <v>108.042</v>
      </c>
      <c r="J318" s="14"/>
      <c r="K318" s="13">
        <v>45631</v>
      </c>
    </row>
    <row r="319" spans="1:11" ht="12.6" customHeight="1" x14ac:dyDescent="0.2">
      <c r="A319" s="13"/>
      <c r="B319" s="19" t="s">
        <v>136</v>
      </c>
      <c r="C319" s="15"/>
      <c r="D319" s="14">
        <v>2</v>
      </c>
      <c r="E319" s="15">
        <f t="shared" si="25"/>
        <v>128.84099999999998</v>
      </c>
      <c r="F319" s="14"/>
      <c r="G319" s="15">
        <f t="shared" si="24"/>
        <v>0</v>
      </c>
      <c r="H319" s="14"/>
      <c r="I319" s="15">
        <f t="shared" si="26"/>
        <v>108.042</v>
      </c>
      <c r="J319" s="14"/>
      <c r="K319" s="13" t="s">
        <v>1433</v>
      </c>
    </row>
    <row r="320" spans="1:11" ht="12.6" customHeight="1" x14ac:dyDescent="0.2">
      <c r="A320" s="13">
        <v>45658</v>
      </c>
      <c r="B320" s="19"/>
      <c r="C320" s="15">
        <v>1.25</v>
      </c>
      <c r="D320" s="14"/>
      <c r="E320" s="15">
        <f t="shared" si="25"/>
        <v>130.09099999999998</v>
      </c>
      <c r="F320" s="14"/>
      <c r="G320" s="15">
        <f t="shared" si="24"/>
        <v>1.25</v>
      </c>
      <c r="H320" s="14"/>
      <c r="I320" s="15">
        <f t="shared" si="26"/>
        <v>109.292</v>
      </c>
      <c r="J320" s="14"/>
      <c r="K320" s="13"/>
    </row>
    <row r="321" spans="1:11" ht="12.6" customHeight="1" x14ac:dyDescent="0.2">
      <c r="A321" s="13"/>
      <c r="B321" s="19" t="s">
        <v>1434</v>
      </c>
      <c r="C321" s="15"/>
      <c r="D321" s="15">
        <v>1</v>
      </c>
      <c r="E321" s="15">
        <f t="shared" si="25"/>
        <v>129.09099999999998</v>
      </c>
      <c r="F321" s="14"/>
      <c r="G321" s="15">
        <f t="shared" si="24"/>
        <v>0</v>
      </c>
      <c r="H321" s="14"/>
      <c r="I321" s="15">
        <f t="shared" si="26"/>
        <v>109.292</v>
      </c>
      <c r="J321" s="14"/>
      <c r="K321" s="13">
        <v>45649</v>
      </c>
    </row>
    <row r="322" spans="1:11" ht="12.6" customHeight="1" x14ac:dyDescent="0.2">
      <c r="A322" s="13"/>
      <c r="B322" s="19" t="s">
        <v>1435</v>
      </c>
      <c r="C322" s="15"/>
      <c r="D322" s="14">
        <v>0.48099999999999998</v>
      </c>
      <c r="E322" s="15">
        <f t="shared" si="25"/>
        <v>128.60999999999999</v>
      </c>
      <c r="F322" s="14"/>
      <c r="G322" s="15">
        <f t="shared" si="24"/>
        <v>0</v>
      </c>
      <c r="H322" s="14"/>
      <c r="I322" s="15">
        <f t="shared" si="26"/>
        <v>109.292</v>
      </c>
      <c r="J322" s="14"/>
      <c r="K322" s="13">
        <v>45577</v>
      </c>
    </row>
    <row r="323" spans="1:11" ht="12.6" customHeight="1" x14ac:dyDescent="0.2">
      <c r="A323" s="13">
        <v>45717</v>
      </c>
      <c r="B323" s="19"/>
      <c r="C323" s="15">
        <v>2.5</v>
      </c>
      <c r="D323" s="15"/>
      <c r="E323" s="15">
        <f t="shared" si="25"/>
        <v>131.10999999999999</v>
      </c>
      <c r="F323" s="14"/>
      <c r="G323" s="15">
        <f t="shared" si="24"/>
        <v>2.5</v>
      </c>
      <c r="H323" s="14"/>
      <c r="I323" s="15">
        <f t="shared" si="26"/>
        <v>111.792</v>
      </c>
      <c r="J323" s="14"/>
      <c r="K323" s="13"/>
    </row>
    <row r="324" spans="1:11" ht="12.6" customHeight="1" x14ac:dyDescent="0.2">
      <c r="A324" s="13"/>
      <c r="B324" s="19" t="s">
        <v>1350</v>
      </c>
      <c r="C324" s="15"/>
      <c r="D324" s="14"/>
      <c r="E324" s="15">
        <f t="shared" si="25"/>
        <v>131.10999999999999</v>
      </c>
      <c r="F324" s="14"/>
      <c r="G324" s="15">
        <f t="shared" si="24"/>
        <v>0</v>
      </c>
      <c r="H324" s="14"/>
      <c r="I324" s="15">
        <f t="shared" si="26"/>
        <v>111.792</v>
      </c>
      <c r="J324" s="14"/>
      <c r="K324" s="13">
        <v>45754</v>
      </c>
    </row>
    <row r="325" spans="1:11" ht="12.6" customHeight="1" x14ac:dyDescent="0.2">
      <c r="A325" s="13">
        <v>45809</v>
      </c>
      <c r="B325" s="19"/>
      <c r="C325" s="15">
        <v>3.75</v>
      </c>
      <c r="D325" s="14"/>
      <c r="E325" s="15">
        <f t="shared" si="25"/>
        <v>134.85999999999999</v>
      </c>
      <c r="F325" s="14"/>
      <c r="G325" s="15">
        <f t="shared" si="24"/>
        <v>3.75</v>
      </c>
      <c r="H325" s="14"/>
      <c r="I325" s="15">
        <f t="shared" si="26"/>
        <v>115.542</v>
      </c>
      <c r="J325" s="14"/>
      <c r="K325" s="13"/>
    </row>
    <row r="326" spans="1:11" ht="12.6" customHeight="1" x14ac:dyDescent="0.2">
      <c r="A326" s="13"/>
      <c r="B326" s="19" t="s">
        <v>1250</v>
      </c>
      <c r="C326" s="15"/>
      <c r="D326" s="14"/>
      <c r="E326" s="15">
        <f t="shared" si="25"/>
        <v>134.85999999999999</v>
      </c>
      <c r="F326" s="14"/>
      <c r="G326" s="15">
        <f t="shared" si="24"/>
        <v>0</v>
      </c>
      <c r="H326" s="14">
        <v>1</v>
      </c>
      <c r="I326" s="15">
        <f t="shared" si="26"/>
        <v>114.542</v>
      </c>
      <c r="J326" s="14"/>
      <c r="K326" s="13">
        <v>45812</v>
      </c>
    </row>
    <row r="327" spans="1:11" ht="12.6" customHeight="1" x14ac:dyDescent="0.2">
      <c r="A327" s="13">
        <v>45839</v>
      </c>
      <c r="B327" s="19"/>
      <c r="C327" s="15">
        <v>1.25</v>
      </c>
      <c r="D327" s="14"/>
      <c r="E327" s="15">
        <f t="shared" si="25"/>
        <v>136.10999999999999</v>
      </c>
      <c r="F327" s="14"/>
      <c r="G327" s="15">
        <f t="shared" si="24"/>
        <v>1.25</v>
      </c>
      <c r="H327" s="14"/>
      <c r="I327" s="15">
        <f t="shared" si="26"/>
        <v>115.792</v>
      </c>
      <c r="J327" s="14"/>
      <c r="K327" s="13"/>
    </row>
    <row r="328" spans="1:11" ht="12.6" customHeight="1" x14ac:dyDescent="0.2">
      <c r="A328" s="13"/>
      <c r="B328" s="19" t="s">
        <v>67</v>
      </c>
      <c r="C328" s="15"/>
      <c r="D328" s="14"/>
      <c r="E328" s="15">
        <f t="shared" si="25"/>
        <v>136.10999999999999</v>
      </c>
      <c r="F328" s="14"/>
      <c r="G328" s="15">
        <f t="shared" si="24"/>
        <v>0</v>
      </c>
      <c r="H328" s="14">
        <v>3</v>
      </c>
      <c r="I328" s="15">
        <f t="shared" si="26"/>
        <v>112.792</v>
      </c>
      <c r="J328" s="14"/>
      <c r="K328" s="13" t="s">
        <v>1436</v>
      </c>
    </row>
    <row r="329" spans="1:11" ht="12.6" customHeight="1" x14ac:dyDescent="0.2">
      <c r="A329" s="13"/>
      <c r="B329" s="19" t="s">
        <v>74</v>
      </c>
      <c r="C329" s="15"/>
      <c r="D329" s="14">
        <v>1</v>
      </c>
      <c r="E329" s="15">
        <f t="shared" si="25"/>
        <v>135.10999999999999</v>
      </c>
      <c r="F329" s="14"/>
      <c r="G329" s="15">
        <f t="shared" si="24"/>
        <v>0</v>
      </c>
      <c r="H329" s="14"/>
      <c r="I329" s="15">
        <f t="shared" si="26"/>
        <v>112.792</v>
      </c>
      <c r="J329" s="14"/>
      <c r="K329" s="13">
        <v>45856</v>
      </c>
    </row>
    <row r="330" spans="1:11" ht="12.6" customHeight="1" x14ac:dyDescent="0.2">
      <c r="A330" s="19"/>
      <c r="B330" s="19"/>
      <c r="C330" s="36">
        <f>SUM(C304:C329)</f>
        <v>18.75</v>
      </c>
      <c r="D330" s="36">
        <f>SUM(D304:D329)</f>
        <v>5.431</v>
      </c>
      <c r="E330" s="36"/>
      <c r="F330" s="37"/>
      <c r="G330" s="36">
        <f>SUM(G304:G329)</f>
        <v>18.75</v>
      </c>
      <c r="H330" s="36">
        <f>SUM(H304:H329)</f>
        <v>43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>
        <f>A1</f>
        <v>0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>
        <f>K1</f>
        <v>0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>
        <v>45870</v>
      </c>
      <c r="B339" s="19"/>
      <c r="C339" s="15">
        <v>1.25</v>
      </c>
      <c r="D339" s="14"/>
      <c r="E339" s="15">
        <f>E329+C339-D339</f>
        <v>136.35999999999999</v>
      </c>
      <c r="F339" s="14"/>
      <c r="G339" s="15">
        <f>C339</f>
        <v>1.25</v>
      </c>
      <c r="H339" s="14"/>
      <c r="I339" s="15">
        <f>I329+G339-H339</f>
        <v>114.042</v>
      </c>
      <c r="J339" s="14"/>
      <c r="K339" s="16"/>
    </row>
    <row r="340" spans="1:11" ht="12.6" customHeight="1" x14ac:dyDescent="0.2">
      <c r="A340" s="13"/>
      <c r="B340" s="19" t="s">
        <v>76</v>
      </c>
      <c r="C340" s="15"/>
      <c r="D340" s="14">
        <v>2</v>
      </c>
      <c r="E340" s="15">
        <f>E339+C340-D340</f>
        <v>134.35999999999999</v>
      </c>
      <c r="F340" s="14"/>
      <c r="G340" s="15">
        <f t="shared" ref="G340:G364" si="27">C340</f>
        <v>0</v>
      </c>
      <c r="H340" s="14"/>
      <c r="I340" s="15">
        <f>I339+G340-H340</f>
        <v>114.042</v>
      </c>
      <c r="J340" s="14"/>
      <c r="K340" s="13" t="s">
        <v>1437</v>
      </c>
    </row>
    <row r="341" spans="1:11" ht="12.6" customHeight="1" x14ac:dyDescent="0.2">
      <c r="A341" s="13">
        <v>45901</v>
      </c>
      <c r="B341" s="19"/>
      <c r="C341" s="15">
        <v>1.25</v>
      </c>
      <c r="D341" s="14"/>
      <c r="E341" s="15">
        <f t="shared" ref="E341:E364" si="28">E340+C341-D341</f>
        <v>135.60999999999999</v>
      </c>
      <c r="F341" s="14"/>
      <c r="G341" s="15">
        <f t="shared" si="27"/>
        <v>1.25</v>
      </c>
      <c r="H341" s="14"/>
      <c r="I341" s="15">
        <f t="shared" ref="I341:I364" si="29">I340+G341-H341</f>
        <v>115.292</v>
      </c>
      <c r="J341" s="14"/>
      <c r="K341" s="13"/>
    </row>
    <row r="342" spans="1:11" ht="12.6" customHeight="1" x14ac:dyDescent="0.2">
      <c r="A342" s="13"/>
      <c r="B342" s="19" t="s">
        <v>52</v>
      </c>
      <c r="C342" s="15"/>
      <c r="D342" s="14"/>
      <c r="E342" s="15">
        <f t="shared" si="28"/>
        <v>135.60999999999999</v>
      </c>
      <c r="F342" s="14"/>
      <c r="G342" s="15">
        <f t="shared" si="27"/>
        <v>0</v>
      </c>
      <c r="H342" s="14">
        <v>2</v>
      </c>
      <c r="I342" s="15">
        <f t="shared" si="29"/>
        <v>113.292</v>
      </c>
      <c r="J342" s="14"/>
      <c r="K342" s="13" t="s">
        <v>1438</v>
      </c>
    </row>
    <row r="343" spans="1:11" ht="12.6" customHeight="1" x14ac:dyDescent="0.2">
      <c r="A343" s="13">
        <v>45931</v>
      </c>
      <c r="B343" s="19"/>
      <c r="C343" s="15">
        <v>1.25</v>
      </c>
      <c r="D343" s="14"/>
      <c r="E343" s="15">
        <f t="shared" si="28"/>
        <v>136.85999999999999</v>
      </c>
      <c r="F343" s="14"/>
      <c r="G343" s="15">
        <f t="shared" si="27"/>
        <v>1.25</v>
      </c>
      <c r="H343" s="14"/>
      <c r="I343" s="15">
        <f t="shared" si="29"/>
        <v>114.542</v>
      </c>
      <c r="J343" s="14"/>
      <c r="K343" s="13"/>
    </row>
    <row r="344" spans="1:11" ht="12.6" customHeight="1" x14ac:dyDescent="0.2">
      <c r="A344" s="13"/>
      <c r="B344" s="19" t="s">
        <v>47</v>
      </c>
      <c r="C344" s="15"/>
      <c r="D344" s="14"/>
      <c r="E344" s="15">
        <f t="shared" si="28"/>
        <v>136.85999999999999</v>
      </c>
      <c r="F344" s="14"/>
      <c r="G344" s="15">
        <f t="shared" si="27"/>
        <v>0</v>
      </c>
      <c r="H344" s="14">
        <v>1</v>
      </c>
      <c r="I344" s="15">
        <f t="shared" si="29"/>
        <v>113.542</v>
      </c>
      <c r="J344" s="14"/>
      <c r="K344" s="13">
        <v>45929</v>
      </c>
    </row>
    <row r="345" spans="1:11" ht="12.6" customHeight="1" x14ac:dyDescent="0.2">
      <c r="A345" s="13">
        <v>45962</v>
      </c>
      <c r="B345" s="19"/>
      <c r="C345" s="15">
        <v>1.25</v>
      </c>
      <c r="D345" s="14"/>
      <c r="E345" s="15">
        <f t="shared" si="28"/>
        <v>138.10999999999999</v>
      </c>
      <c r="F345" s="14"/>
      <c r="G345" s="15">
        <f t="shared" si="27"/>
        <v>1.25</v>
      </c>
      <c r="H345" s="14"/>
      <c r="I345" s="15">
        <f t="shared" si="29"/>
        <v>114.792</v>
      </c>
      <c r="J345" s="14"/>
      <c r="K345" s="13"/>
    </row>
    <row r="346" spans="1:11" ht="12.6" customHeight="1" x14ac:dyDescent="0.2">
      <c r="A346" s="13"/>
      <c r="B346" s="19" t="s">
        <v>47</v>
      </c>
      <c r="C346" s="15"/>
      <c r="D346" s="14"/>
      <c r="E346" s="15">
        <f t="shared" si="28"/>
        <v>138.10999999999999</v>
      </c>
      <c r="F346" s="14"/>
      <c r="G346" s="15">
        <f t="shared" si="27"/>
        <v>0</v>
      </c>
      <c r="H346" s="14">
        <v>1</v>
      </c>
      <c r="I346" s="15">
        <f t="shared" si="29"/>
        <v>113.792</v>
      </c>
      <c r="J346" s="14"/>
      <c r="K346" s="13">
        <v>45966</v>
      </c>
    </row>
    <row r="347" spans="1:11" ht="12.6" customHeight="1" x14ac:dyDescent="0.2">
      <c r="A347" s="13">
        <v>45992</v>
      </c>
      <c r="B347" s="19"/>
      <c r="C347" s="15">
        <v>1.25</v>
      </c>
      <c r="D347" s="14"/>
      <c r="E347" s="15">
        <f t="shared" si="28"/>
        <v>139.35999999999999</v>
      </c>
      <c r="F347" s="14"/>
      <c r="G347" s="15">
        <f t="shared" si="27"/>
        <v>1.25</v>
      </c>
      <c r="H347" s="14"/>
      <c r="I347" s="15">
        <f t="shared" si="29"/>
        <v>115.042</v>
      </c>
      <c r="J347" s="14"/>
      <c r="K347" s="13"/>
    </row>
    <row r="348" spans="1:11" ht="12.6" customHeight="1" x14ac:dyDescent="0.2">
      <c r="A348" s="13"/>
      <c r="B348" s="19" t="s">
        <v>47</v>
      </c>
      <c r="C348" s="15"/>
      <c r="D348" s="14"/>
      <c r="E348" s="15">
        <f t="shared" si="28"/>
        <v>139.35999999999999</v>
      </c>
      <c r="F348" s="14"/>
      <c r="G348" s="15">
        <f t="shared" si="27"/>
        <v>0</v>
      </c>
      <c r="H348" s="14">
        <v>1</v>
      </c>
      <c r="I348" s="15">
        <f t="shared" si="29"/>
        <v>114.042</v>
      </c>
      <c r="J348" s="14"/>
      <c r="K348" s="13">
        <v>45981</v>
      </c>
    </row>
    <row r="349" spans="1:11" ht="12.6" customHeight="1" x14ac:dyDescent="0.2">
      <c r="A349" s="13"/>
      <c r="B349" s="19" t="s">
        <v>1350</v>
      </c>
      <c r="C349" s="15"/>
      <c r="D349" s="14"/>
      <c r="E349" s="15">
        <f t="shared" si="28"/>
        <v>139.35999999999999</v>
      </c>
      <c r="F349" s="14"/>
      <c r="G349" s="15">
        <f t="shared" si="27"/>
        <v>0</v>
      </c>
      <c r="H349" s="14"/>
      <c r="I349" s="15">
        <f t="shared" si="29"/>
        <v>114.042</v>
      </c>
      <c r="J349" s="14"/>
      <c r="K349" s="13" t="s">
        <v>1439</v>
      </c>
    </row>
    <row r="350" spans="1:11" ht="12.6" customHeight="1" x14ac:dyDescent="0.2">
      <c r="A350" s="13"/>
      <c r="B350" s="19" t="s">
        <v>170</v>
      </c>
      <c r="C350" s="15"/>
      <c r="D350" s="14"/>
      <c r="E350" s="15">
        <f t="shared" si="28"/>
        <v>139.35999999999999</v>
      </c>
      <c r="F350" s="14"/>
      <c r="G350" s="15">
        <f t="shared" si="27"/>
        <v>0</v>
      </c>
      <c r="H350" s="14"/>
      <c r="I350" s="15">
        <f t="shared" si="29"/>
        <v>114.042</v>
      </c>
      <c r="J350" s="14"/>
      <c r="K350" s="13" t="s">
        <v>1440</v>
      </c>
    </row>
    <row r="351" spans="1:11" ht="12.6" customHeight="1" x14ac:dyDescent="0.2">
      <c r="A351" s="13">
        <v>46113</v>
      </c>
      <c r="B351" s="19"/>
      <c r="C351" s="15">
        <v>5</v>
      </c>
      <c r="D351" s="14"/>
      <c r="E351" s="15">
        <f t="shared" si="28"/>
        <v>144.35999999999999</v>
      </c>
      <c r="F351" s="14"/>
      <c r="G351" s="15">
        <f t="shared" si="27"/>
        <v>5</v>
      </c>
      <c r="H351" s="14"/>
      <c r="I351" s="15">
        <f t="shared" si="29"/>
        <v>119.042</v>
      </c>
      <c r="J351" s="14"/>
      <c r="K351" s="13"/>
    </row>
    <row r="352" spans="1:11" ht="12.6" customHeight="1" x14ac:dyDescent="0.2">
      <c r="A352" s="13"/>
      <c r="B352" s="19" t="s">
        <v>1391</v>
      </c>
      <c r="C352" s="15"/>
      <c r="D352" s="14"/>
      <c r="E352" s="15">
        <f t="shared" si="28"/>
        <v>144.35999999999999</v>
      </c>
      <c r="F352" s="14"/>
      <c r="G352" s="15">
        <f t="shared" si="27"/>
        <v>0</v>
      </c>
      <c r="H352" s="14"/>
      <c r="I352" s="15">
        <f t="shared" si="29"/>
        <v>119.042</v>
      </c>
      <c r="J352" s="14"/>
      <c r="K352" s="13" t="s">
        <v>1443</v>
      </c>
    </row>
    <row r="353" spans="1:11" ht="12.6" customHeight="1" x14ac:dyDescent="0.2">
      <c r="A353" s="13"/>
      <c r="B353" s="19" t="s">
        <v>1441</v>
      </c>
      <c r="C353" s="15"/>
      <c r="D353" s="14"/>
      <c r="E353" s="15">
        <f t="shared" si="28"/>
        <v>144.35999999999999</v>
      </c>
      <c r="F353" s="14"/>
      <c r="G353" s="15">
        <f t="shared" si="27"/>
        <v>0</v>
      </c>
      <c r="H353" s="14"/>
      <c r="I353" s="15">
        <f t="shared" si="29"/>
        <v>119.042</v>
      </c>
      <c r="J353" s="14"/>
      <c r="K353" s="13" t="s">
        <v>1444</v>
      </c>
    </row>
    <row r="354" spans="1:11" ht="12.6" customHeight="1" x14ac:dyDescent="0.2">
      <c r="A354" s="13"/>
      <c r="B354" s="19" t="s">
        <v>1442</v>
      </c>
      <c r="C354" s="15"/>
      <c r="D354" s="14"/>
      <c r="E354" s="15">
        <f t="shared" si="28"/>
        <v>144.35999999999999</v>
      </c>
      <c r="F354" s="14"/>
      <c r="G354" s="15">
        <f t="shared" si="27"/>
        <v>0</v>
      </c>
      <c r="H354" s="14"/>
      <c r="I354" s="15">
        <f t="shared" si="29"/>
        <v>119.042</v>
      </c>
      <c r="J354" s="14"/>
      <c r="K354" s="13" t="s">
        <v>1445</v>
      </c>
    </row>
    <row r="355" spans="1:11" ht="12.6" customHeight="1" x14ac:dyDescent="0.2">
      <c r="A355" s="13">
        <v>46204</v>
      </c>
      <c r="B355" s="19"/>
      <c r="C355" s="15">
        <v>3.75</v>
      </c>
      <c r="D355" s="14"/>
      <c r="E355" s="15">
        <f t="shared" si="28"/>
        <v>148.10999999999999</v>
      </c>
      <c r="F355" s="14"/>
      <c r="G355" s="15">
        <f t="shared" si="27"/>
        <v>3.75</v>
      </c>
      <c r="H355" s="14"/>
      <c r="I355" s="15">
        <f t="shared" si="29"/>
        <v>122.792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148.10999999999999</v>
      </c>
      <c r="F356" s="14"/>
      <c r="G356" s="15">
        <f t="shared" si="27"/>
        <v>0</v>
      </c>
      <c r="H356" s="14"/>
      <c r="I356" s="15">
        <f t="shared" si="29"/>
        <v>122.792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148.10999999999999</v>
      </c>
      <c r="F357" s="14"/>
      <c r="G357" s="15">
        <f t="shared" si="27"/>
        <v>0</v>
      </c>
      <c r="H357" s="14"/>
      <c r="I357" s="15">
        <f t="shared" si="29"/>
        <v>122.792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148.10999999999999</v>
      </c>
      <c r="F358" s="14"/>
      <c r="G358" s="15">
        <f t="shared" si="27"/>
        <v>0</v>
      </c>
      <c r="H358" s="14"/>
      <c r="I358" s="15">
        <f t="shared" si="29"/>
        <v>122.792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148.10999999999999</v>
      </c>
      <c r="F359" s="14"/>
      <c r="G359" s="15">
        <f t="shared" si="27"/>
        <v>0</v>
      </c>
      <c r="H359" s="14"/>
      <c r="I359" s="15">
        <f t="shared" si="29"/>
        <v>122.792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148.10999999999999</v>
      </c>
      <c r="F360" s="14"/>
      <c r="G360" s="15">
        <f t="shared" si="27"/>
        <v>0</v>
      </c>
      <c r="H360" s="14"/>
      <c r="I360" s="15">
        <f t="shared" si="29"/>
        <v>122.792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148.10999999999999</v>
      </c>
      <c r="F361" s="14"/>
      <c r="G361" s="15">
        <f t="shared" si="27"/>
        <v>0</v>
      </c>
      <c r="H361" s="14"/>
      <c r="I361" s="15">
        <f t="shared" si="29"/>
        <v>122.792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148.10999999999999</v>
      </c>
      <c r="F362" s="14"/>
      <c r="G362" s="15">
        <f t="shared" si="27"/>
        <v>0</v>
      </c>
      <c r="H362" s="14"/>
      <c r="I362" s="15">
        <f t="shared" si="29"/>
        <v>122.792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148.10999999999999</v>
      </c>
      <c r="F363" s="14"/>
      <c r="G363" s="15">
        <f t="shared" si="27"/>
        <v>0</v>
      </c>
      <c r="H363" s="14"/>
      <c r="I363" s="15">
        <f t="shared" si="29"/>
        <v>122.792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148.10999999999999</v>
      </c>
      <c r="F364" s="14"/>
      <c r="G364" s="15">
        <f t="shared" si="27"/>
        <v>0</v>
      </c>
      <c r="H364" s="14"/>
      <c r="I364" s="15">
        <f t="shared" si="29"/>
        <v>122.792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15</v>
      </c>
      <c r="D365" s="36">
        <f>SUM(D339:D364)</f>
        <v>2</v>
      </c>
      <c r="E365" s="36"/>
      <c r="F365" s="37"/>
      <c r="G365" s="36">
        <f>SUM(G339:G364)</f>
        <v>15</v>
      </c>
      <c r="H365" s="36">
        <f>SUM(H339:H364)</f>
        <v>5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>
        <f>A1</f>
        <v>0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>
        <f>K1</f>
        <v>0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148.10999999999999</v>
      </c>
      <c r="F378" s="14"/>
      <c r="G378" s="15">
        <f>C378</f>
        <v>0</v>
      </c>
      <c r="H378" s="14"/>
      <c r="I378" s="15">
        <f>I364+G378-H378</f>
        <v>122.792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148.10999999999999</v>
      </c>
      <c r="F379" s="14"/>
      <c r="G379" s="15">
        <f t="shared" ref="G379:G403" si="30">C379</f>
        <v>0</v>
      </c>
      <c r="H379" s="14"/>
      <c r="I379" s="15">
        <f>I378+G379-H379</f>
        <v>122.792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148.10999999999999</v>
      </c>
      <c r="F380" s="14"/>
      <c r="G380" s="15">
        <f t="shared" si="30"/>
        <v>0</v>
      </c>
      <c r="H380" s="14"/>
      <c r="I380" s="15">
        <f t="shared" ref="I380:I403" si="32">I379+G380-H380</f>
        <v>122.792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148.10999999999999</v>
      </c>
      <c r="F381" s="14"/>
      <c r="G381" s="15">
        <f t="shared" si="30"/>
        <v>0</v>
      </c>
      <c r="H381" s="14"/>
      <c r="I381" s="15">
        <f t="shared" si="32"/>
        <v>122.792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148.10999999999999</v>
      </c>
      <c r="F382" s="14"/>
      <c r="G382" s="15">
        <f t="shared" si="30"/>
        <v>0</v>
      </c>
      <c r="H382" s="14"/>
      <c r="I382" s="15">
        <f t="shared" si="32"/>
        <v>122.792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148.10999999999999</v>
      </c>
      <c r="F383" s="14"/>
      <c r="G383" s="15">
        <f t="shared" si="30"/>
        <v>0</v>
      </c>
      <c r="H383" s="14"/>
      <c r="I383" s="15">
        <f t="shared" si="32"/>
        <v>122.792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148.10999999999999</v>
      </c>
      <c r="F384" s="14"/>
      <c r="G384" s="15">
        <f t="shared" si="30"/>
        <v>0</v>
      </c>
      <c r="H384" s="14"/>
      <c r="I384" s="15">
        <f t="shared" si="32"/>
        <v>122.792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148.10999999999999</v>
      </c>
      <c r="F385" s="14"/>
      <c r="G385" s="15">
        <f t="shared" si="30"/>
        <v>0</v>
      </c>
      <c r="H385" s="14"/>
      <c r="I385" s="15">
        <f t="shared" si="32"/>
        <v>122.792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148.10999999999999</v>
      </c>
      <c r="F386" s="14"/>
      <c r="G386" s="15">
        <f t="shared" si="30"/>
        <v>0</v>
      </c>
      <c r="H386" s="14"/>
      <c r="I386" s="15">
        <f t="shared" si="32"/>
        <v>122.792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148.10999999999999</v>
      </c>
      <c r="F387" s="14"/>
      <c r="G387" s="15">
        <f t="shared" si="30"/>
        <v>0</v>
      </c>
      <c r="H387" s="14"/>
      <c r="I387" s="15">
        <f t="shared" si="32"/>
        <v>122.792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148.10999999999999</v>
      </c>
      <c r="F388" s="14"/>
      <c r="G388" s="15">
        <f t="shared" si="30"/>
        <v>0</v>
      </c>
      <c r="H388" s="14"/>
      <c r="I388" s="15">
        <f t="shared" si="32"/>
        <v>122.792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148.10999999999999</v>
      </c>
      <c r="F389" s="14"/>
      <c r="G389" s="15">
        <f t="shared" si="30"/>
        <v>0</v>
      </c>
      <c r="H389" s="14"/>
      <c r="I389" s="15">
        <f t="shared" si="32"/>
        <v>122.792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148.10999999999999</v>
      </c>
      <c r="F390" s="14"/>
      <c r="G390" s="15">
        <f t="shared" si="30"/>
        <v>0</v>
      </c>
      <c r="H390" s="14"/>
      <c r="I390" s="15">
        <f t="shared" si="32"/>
        <v>122.792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148.10999999999999</v>
      </c>
      <c r="F391" s="14"/>
      <c r="G391" s="15">
        <f t="shared" si="30"/>
        <v>0</v>
      </c>
      <c r="H391" s="14"/>
      <c r="I391" s="15">
        <f t="shared" si="32"/>
        <v>122.792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148.10999999999999</v>
      </c>
      <c r="F392" s="14"/>
      <c r="G392" s="15">
        <f t="shared" si="30"/>
        <v>0</v>
      </c>
      <c r="H392" s="14"/>
      <c r="I392" s="15">
        <f t="shared" si="32"/>
        <v>122.792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148.10999999999999</v>
      </c>
      <c r="F393" s="14"/>
      <c r="G393" s="15">
        <f t="shared" si="30"/>
        <v>0</v>
      </c>
      <c r="H393" s="14"/>
      <c r="I393" s="15">
        <f t="shared" si="32"/>
        <v>122.792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148.10999999999999</v>
      </c>
      <c r="F394" s="14"/>
      <c r="G394" s="15">
        <f t="shared" si="30"/>
        <v>0</v>
      </c>
      <c r="H394" s="14"/>
      <c r="I394" s="15">
        <f t="shared" si="32"/>
        <v>122.792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148.10999999999999</v>
      </c>
      <c r="F395" s="14"/>
      <c r="G395" s="15">
        <f t="shared" si="30"/>
        <v>0</v>
      </c>
      <c r="H395" s="14"/>
      <c r="I395" s="15">
        <f t="shared" si="32"/>
        <v>122.792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148.10999999999999</v>
      </c>
      <c r="F396" s="14"/>
      <c r="G396" s="15">
        <f t="shared" si="30"/>
        <v>0</v>
      </c>
      <c r="H396" s="14"/>
      <c r="I396" s="15">
        <f t="shared" si="32"/>
        <v>122.792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148.10999999999999</v>
      </c>
      <c r="F397" s="14"/>
      <c r="G397" s="15">
        <f t="shared" si="30"/>
        <v>0</v>
      </c>
      <c r="H397" s="14"/>
      <c r="I397" s="15">
        <f t="shared" si="32"/>
        <v>122.792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148.10999999999999</v>
      </c>
      <c r="F398" s="14"/>
      <c r="G398" s="15">
        <f t="shared" si="30"/>
        <v>0</v>
      </c>
      <c r="H398" s="14"/>
      <c r="I398" s="15">
        <f t="shared" si="32"/>
        <v>122.792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148.10999999999999</v>
      </c>
      <c r="F399" s="14"/>
      <c r="G399" s="15">
        <f t="shared" si="30"/>
        <v>0</v>
      </c>
      <c r="H399" s="14"/>
      <c r="I399" s="15">
        <f t="shared" si="32"/>
        <v>122.792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148.10999999999999</v>
      </c>
      <c r="F400" s="14"/>
      <c r="G400" s="15">
        <f t="shared" si="30"/>
        <v>0</v>
      </c>
      <c r="H400" s="14"/>
      <c r="I400" s="15">
        <f t="shared" si="32"/>
        <v>122.792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148.10999999999999</v>
      </c>
      <c r="F401" s="14"/>
      <c r="G401" s="15">
        <f t="shared" si="30"/>
        <v>0</v>
      </c>
      <c r="H401" s="14"/>
      <c r="I401" s="15">
        <f t="shared" si="32"/>
        <v>122.792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148.10999999999999</v>
      </c>
      <c r="F402" s="14"/>
      <c r="G402" s="15">
        <f t="shared" si="30"/>
        <v>0</v>
      </c>
      <c r="H402" s="14"/>
      <c r="I402" s="15">
        <f t="shared" si="32"/>
        <v>122.792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148.10999999999999</v>
      </c>
      <c r="F403" s="14"/>
      <c r="G403" s="15">
        <f t="shared" si="30"/>
        <v>0</v>
      </c>
      <c r="H403" s="14"/>
      <c r="I403" s="15">
        <f t="shared" si="32"/>
        <v>122.792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>
        <f>A1</f>
        <v>0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>
        <f>K1</f>
        <v>0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148.10999999999999</v>
      </c>
      <c r="F413" s="14"/>
      <c r="G413" s="15">
        <f>C413</f>
        <v>0</v>
      </c>
      <c r="H413" s="14"/>
      <c r="I413" s="15">
        <f>I403+G413-H413</f>
        <v>122.792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148.10999999999999</v>
      </c>
      <c r="F414" s="14"/>
      <c r="G414" s="15">
        <f t="shared" ref="G414:G438" si="33">C414</f>
        <v>0</v>
      </c>
      <c r="H414" s="14"/>
      <c r="I414" s="15">
        <f>I413+G414-H414</f>
        <v>122.792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148.10999999999999</v>
      </c>
      <c r="F415" s="14"/>
      <c r="G415" s="15">
        <f t="shared" si="33"/>
        <v>0</v>
      </c>
      <c r="H415" s="14"/>
      <c r="I415" s="15">
        <f t="shared" ref="I415:I438" si="35">I414+G415-H415</f>
        <v>122.792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148.10999999999999</v>
      </c>
      <c r="F416" s="14"/>
      <c r="G416" s="15">
        <f t="shared" si="33"/>
        <v>0</v>
      </c>
      <c r="H416" s="14"/>
      <c r="I416" s="15">
        <f t="shared" si="35"/>
        <v>122.792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148.10999999999999</v>
      </c>
      <c r="F417" s="14"/>
      <c r="G417" s="15">
        <f t="shared" si="33"/>
        <v>0</v>
      </c>
      <c r="H417" s="14"/>
      <c r="I417" s="15">
        <f t="shared" si="35"/>
        <v>122.792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148.10999999999999</v>
      </c>
      <c r="F418" s="14"/>
      <c r="G418" s="15">
        <f t="shared" si="33"/>
        <v>0</v>
      </c>
      <c r="H418" s="14"/>
      <c r="I418" s="15">
        <f t="shared" si="35"/>
        <v>122.792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148.10999999999999</v>
      </c>
      <c r="F419" s="14"/>
      <c r="G419" s="15">
        <f t="shared" si="33"/>
        <v>0</v>
      </c>
      <c r="H419" s="14"/>
      <c r="I419" s="15">
        <f t="shared" si="35"/>
        <v>122.792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148.10999999999999</v>
      </c>
      <c r="F420" s="14"/>
      <c r="G420" s="15">
        <f t="shared" si="33"/>
        <v>0</v>
      </c>
      <c r="H420" s="14"/>
      <c r="I420" s="15">
        <f t="shared" si="35"/>
        <v>122.792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148.10999999999999</v>
      </c>
      <c r="F421" s="14"/>
      <c r="G421" s="15">
        <f t="shared" si="33"/>
        <v>0</v>
      </c>
      <c r="H421" s="14"/>
      <c r="I421" s="15">
        <f t="shared" si="35"/>
        <v>122.792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148.10999999999999</v>
      </c>
      <c r="F422" s="14"/>
      <c r="G422" s="15">
        <f t="shared" si="33"/>
        <v>0</v>
      </c>
      <c r="H422" s="14"/>
      <c r="I422" s="15">
        <f t="shared" si="35"/>
        <v>122.792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148.10999999999999</v>
      </c>
      <c r="F423" s="14"/>
      <c r="G423" s="15">
        <f t="shared" si="33"/>
        <v>0</v>
      </c>
      <c r="H423" s="14"/>
      <c r="I423" s="15">
        <f t="shared" si="35"/>
        <v>122.792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148.10999999999999</v>
      </c>
      <c r="F424" s="14"/>
      <c r="G424" s="15">
        <f t="shared" si="33"/>
        <v>0</v>
      </c>
      <c r="H424" s="14"/>
      <c r="I424" s="15">
        <f t="shared" si="35"/>
        <v>122.792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148.10999999999999</v>
      </c>
      <c r="F425" s="14"/>
      <c r="G425" s="15">
        <f t="shared" si="33"/>
        <v>0</v>
      </c>
      <c r="H425" s="14"/>
      <c r="I425" s="15">
        <f t="shared" si="35"/>
        <v>122.792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148.10999999999999</v>
      </c>
      <c r="F426" s="14"/>
      <c r="G426" s="15">
        <f t="shared" si="33"/>
        <v>0</v>
      </c>
      <c r="H426" s="14"/>
      <c r="I426" s="15">
        <f t="shared" si="35"/>
        <v>122.792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148.10999999999999</v>
      </c>
      <c r="F427" s="14"/>
      <c r="G427" s="15">
        <f t="shared" si="33"/>
        <v>0</v>
      </c>
      <c r="H427" s="14"/>
      <c r="I427" s="15">
        <f t="shared" si="35"/>
        <v>122.792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148.10999999999999</v>
      </c>
      <c r="F428" s="14"/>
      <c r="G428" s="15">
        <f t="shared" si="33"/>
        <v>0</v>
      </c>
      <c r="H428" s="14"/>
      <c r="I428" s="15">
        <f t="shared" si="35"/>
        <v>122.792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148.10999999999999</v>
      </c>
      <c r="F429" s="14"/>
      <c r="G429" s="15">
        <f t="shared" si="33"/>
        <v>0</v>
      </c>
      <c r="H429" s="14"/>
      <c r="I429" s="15">
        <f t="shared" si="35"/>
        <v>122.792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148.10999999999999</v>
      </c>
      <c r="F430" s="14"/>
      <c r="G430" s="15">
        <f t="shared" si="33"/>
        <v>0</v>
      </c>
      <c r="H430" s="14"/>
      <c r="I430" s="15">
        <f t="shared" si="35"/>
        <v>122.792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148.10999999999999</v>
      </c>
      <c r="F431" s="14"/>
      <c r="G431" s="15">
        <f t="shared" si="33"/>
        <v>0</v>
      </c>
      <c r="H431" s="14"/>
      <c r="I431" s="15">
        <f t="shared" si="35"/>
        <v>122.792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148.10999999999999</v>
      </c>
      <c r="F432" s="14"/>
      <c r="G432" s="15">
        <f t="shared" si="33"/>
        <v>0</v>
      </c>
      <c r="H432" s="14"/>
      <c r="I432" s="15">
        <f t="shared" si="35"/>
        <v>122.792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148.10999999999999</v>
      </c>
      <c r="F433" s="14"/>
      <c r="G433" s="15">
        <f t="shared" si="33"/>
        <v>0</v>
      </c>
      <c r="H433" s="14"/>
      <c r="I433" s="15">
        <f t="shared" si="35"/>
        <v>122.792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148.10999999999999</v>
      </c>
      <c r="F434" s="14"/>
      <c r="G434" s="15">
        <f t="shared" si="33"/>
        <v>0</v>
      </c>
      <c r="H434" s="14"/>
      <c r="I434" s="15">
        <f t="shared" si="35"/>
        <v>122.792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148.10999999999999</v>
      </c>
      <c r="F435" s="14"/>
      <c r="G435" s="15">
        <f t="shared" si="33"/>
        <v>0</v>
      </c>
      <c r="H435" s="14"/>
      <c r="I435" s="15">
        <f t="shared" si="35"/>
        <v>122.792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148.10999999999999</v>
      </c>
      <c r="F436" s="14"/>
      <c r="G436" s="15">
        <f t="shared" si="33"/>
        <v>0</v>
      </c>
      <c r="H436" s="14"/>
      <c r="I436" s="15">
        <f t="shared" si="35"/>
        <v>122.792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148.10999999999999</v>
      </c>
      <c r="F437" s="14"/>
      <c r="G437" s="15">
        <f t="shared" si="33"/>
        <v>0</v>
      </c>
      <c r="H437" s="14"/>
      <c r="I437" s="15">
        <f t="shared" si="35"/>
        <v>122.792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148.10999999999999</v>
      </c>
      <c r="F438" s="14"/>
      <c r="G438" s="15">
        <f t="shared" si="33"/>
        <v>0</v>
      </c>
      <c r="H438" s="14"/>
      <c r="I438" s="15">
        <f t="shared" si="35"/>
        <v>122.792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>
        <f>A1</f>
        <v>0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>
        <f>K1</f>
        <v>0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148.10999999999999</v>
      </c>
      <c r="F452" s="14"/>
      <c r="G452" s="15">
        <f>C452</f>
        <v>0</v>
      </c>
      <c r="H452" s="14"/>
      <c r="I452" s="15">
        <f>I438+G452-H452</f>
        <v>122.792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148.10999999999999</v>
      </c>
      <c r="F453" s="14"/>
      <c r="G453" s="15">
        <f t="shared" ref="G453:G477" si="36">C453</f>
        <v>0</v>
      </c>
      <c r="H453" s="14"/>
      <c r="I453" s="15">
        <f>I452+G453-H453</f>
        <v>122.792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148.10999999999999</v>
      </c>
      <c r="F454" s="14"/>
      <c r="G454" s="15">
        <f t="shared" si="36"/>
        <v>0</v>
      </c>
      <c r="H454" s="14"/>
      <c r="I454" s="15">
        <f t="shared" ref="I454:I477" si="38">I453+G454-H454</f>
        <v>122.792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148.10999999999999</v>
      </c>
      <c r="F455" s="14"/>
      <c r="G455" s="15">
        <f t="shared" si="36"/>
        <v>0</v>
      </c>
      <c r="H455" s="14"/>
      <c r="I455" s="15">
        <f t="shared" si="38"/>
        <v>122.792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148.10999999999999</v>
      </c>
      <c r="F456" s="14"/>
      <c r="G456" s="15">
        <f t="shared" si="36"/>
        <v>0</v>
      </c>
      <c r="H456" s="14"/>
      <c r="I456" s="15">
        <f t="shared" si="38"/>
        <v>122.792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148.10999999999999</v>
      </c>
      <c r="F457" s="14"/>
      <c r="G457" s="15">
        <f t="shared" si="36"/>
        <v>0</v>
      </c>
      <c r="H457" s="14"/>
      <c r="I457" s="15">
        <f t="shared" si="38"/>
        <v>122.792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148.10999999999999</v>
      </c>
      <c r="F458" s="14"/>
      <c r="G458" s="15">
        <f t="shared" si="36"/>
        <v>0</v>
      </c>
      <c r="H458" s="14"/>
      <c r="I458" s="15">
        <f t="shared" si="38"/>
        <v>122.792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148.10999999999999</v>
      </c>
      <c r="F459" s="14"/>
      <c r="G459" s="15">
        <f t="shared" si="36"/>
        <v>0</v>
      </c>
      <c r="H459" s="14"/>
      <c r="I459" s="15">
        <f t="shared" si="38"/>
        <v>122.792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148.10999999999999</v>
      </c>
      <c r="F460" s="14"/>
      <c r="G460" s="15">
        <f t="shared" si="36"/>
        <v>0</v>
      </c>
      <c r="H460" s="14"/>
      <c r="I460" s="15">
        <f t="shared" si="38"/>
        <v>122.792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148.10999999999999</v>
      </c>
      <c r="F461" s="14"/>
      <c r="G461" s="15">
        <f t="shared" si="36"/>
        <v>0</v>
      </c>
      <c r="H461" s="14"/>
      <c r="I461" s="15">
        <f t="shared" si="38"/>
        <v>122.792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148.10999999999999</v>
      </c>
      <c r="F462" s="14"/>
      <c r="G462" s="15">
        <f t="shared" si="36"/>
        <v>0</v>
      </c>
      <c r="H462" s="14"/>
      <c r="I462" s="15">
        <f t="shared" si="38"/>
        <v>122.792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148.10999999999999</v>
      </c>
      <c r="F463" s="14"/>
      <c r="G463" s="15">
        <f t="shared" si="36"/>
        <v>0</v>
      </c>
      <c r="H463" s="14"/>
      <c r="I463" s="15">
        <f t="shared" si="38"/>
        <v>122.792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148.10999999999999</v>
      </c>
      <c r="F464" s="14"/>
      <c r="G464" s="15">
        <f t="shared" si="36"/>
        <v>0</v>
      </c>
      <c r="H464" s="14"/>
      <c r="I464" s="15">
        <f t="shared" si="38"/>
        <v>122.792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148.10999999999999</v>
      </c>
      <c r="F465" s="14"/>
      <c r="G465" s="15">
        <f t="shared" si="36"/>
        <v>0</v>
      </c>
      <c r="H465" s="14"/>
      <c r="I465" s="15">
        <f t="shared" si="38"/>
        <v>122.792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148.10999999999999</v>
      </c>
      <c r="F466" s="14"/>
      <c r="G466" s="15">
        <f t="shared" si="36"/>
        <v>0</v>
      </c>
      <c r="H466" s="14"/>
      <c r="I466" s="15">
        <f t="shared" si="38"/>
        <v>122.792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148.10999999999999</v>
      </c>
      <c r="F467" s="14"/>
      <c r="G467" s="15">
        <f t="shared" si="36"/>
        <v>0</v>
      </c>
      <c r="H467" s="14"/>
      <c r="I467" s="15">
        <f t="shared" si="38"/>
        <v>122.792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148.10999999999999</v>
      </c>
      <c r="F468" s="14"/>
      <c r="G468" s="15">
        <f t="shared" si="36"/>
        <v>0</v>
      </c>
      <c r="H468" s="14"/>
      <c r="I468" s="15">
        <f t="shared" si="38"/>
        <v>122.792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148.10999999999999</v>
      </c>
      <c r="F469" s="14"/>
      <c r="G469" s="15">
        <f t="shared" si="36"/>
        <v>0</v>
      </c>
      <c r="H469" s="14"/>
      <c r="I469" s="15">
        <f t="shared" si="38"/>
        <v>122.792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148.10999999999999</v>
      </c>
      <c r="F470" s="14"/>
      <c r="G470" s="15">
        <f t="shared" si="36"/>
        <v>0</v>
      </c>
      <c r="H470" s="14"/>
      <c r="I470" s="15">
        <f t="shared" si="38"/>
        <v>122.792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148.10999999999999</v>
      </c>
      <c r="F471" s="14"/>
      <c r="G471" s="15">
        <f t="shared" si="36"/>
        <v>0</v>
      </c>
      <c r="H471" s="14"/>
      <c r="I471" s="15">
        <f t="shared" si="38"/>
        <v>122.792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148.10999999999999</v>
      </c>
      <c r="F472" s="14"/>
      <c r="G472" s="15">
        <f t="shared" si="36"/>
        <v>0</v>
      </c>
      <c r="H472" s="14"/>
      <c r="I472" s="15">
        <f t="shared" si="38"/>
        <v>122.792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148.10999999999999</v>
      </c>
      <c r="F473" s="14"/>
      <c r="G473" s="15">
        <f t="shared" si="36"/>
        <v>0</v>
      </c>
      <c r="H473" s="14"/>
      <c r="I473" s="15">
        <f t="shared" si="38"/>
        <v>122.792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148.10999999999999</v>
      </c>
      <c r="F474" s="14"/>
      <c r="G474" s="15">
        <f t="shared" si="36"/>
        <v>0</v>
      </c>
      <c r="H474" s="14"/>
      <c r="I474" s="15">
        <f t="shared" si="38"/>
        <v>122.792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148.10999999999999</v>
      </c>
      <c r="F475" s="14"/>
      <c r="G475" s="15">
        <f t="shared" si="36"/>
        <v>0</v>
      </c>
      <c r="H475" s="14"/>
      <c r="I475" s="15">
        <f t="shared" si="38"/>
        <v>122.792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148.10999999999999</v>
      </c>
      <c r="F476" s="14"/>
      <c r="G476" s="15">
        <f t="shared" si="36"/>
        <v>0</v>
      </c>
      <c r="H476" s="14"/>
      <c r="I476" s="15">
        <f t="shared" si="38"/>
        <v>122.792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148.10999999999999</v>
      </c>
      <c r="F477" s="14"/>
      <c r="G477" s="15">
        <f t="shared" si="36"/>
        <v>0</v>
      </c>
      <c r="H477" s="14"/>
      <c r="I477" s="15">
        <f t="shared" si="38"/>
        <v>122.792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>
        <f>A1</f>
        <v>0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>
        <f>K1</f>
        <v>0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148.10999999999999</v>
      </c>
      <c r="F487" s="14"/>
      <c r="G487" s="15"/>
      <c r="H487" s="14"/>
      <c r="I487" s="15">
        <f>I477+G487-H487</f>
        <v>122.792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148.10999999999999</v>
      </c>
      <c r="F488" s="14"/>
      <c r="G488" s="15"/>
      <c r="H488" s="14"/>
      <c r="I488" s="15">
        <f>I487+G488-H488</f>
        <v>122.792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148.10999999999999</v>
      </c>
      <c r="F489" s="14"/>
      <c r="G489" s="15"/>
      <c r="H489" s="14"/>
      <c r="I489" s="15">
        <f t="shared" ref="I489:I512" si="40">I488+G489-H489</f>
        <v>122.792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148.10999999999999</v>
      </c>
      <c r="F490" s="14"/>
      <c r="G490" s="15"/>
      <c r="H490" s="14"/>
      <c r="I490" s="15">
        <f t="shared" si="40"/>
        <v>122.792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148.10999999999999</v>
      </c>
      <c r="F491" s="14"/>
      <c r="G491" s="15"/>
      <c r="H491" s="14"/>
      <c r="I491" s="15">
        <f t="shared" si="40"/>
        <v>122.792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148.10999999999999</v>
      </c>
      <c r="F492" s="14"/>
      <c r="G492" s="15"/>
      <c r="H492" s="14"/>
      <c r="I492" s="15">
        <f t="shared" si="40"/>
        <v>122.792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148.10999999999999</v>
      </c>
      <c r="F493" s="14"/>
      <c r="G493" s="15"/>
      <c r="H493" s="14"/>
      <c r="I493" s="15">
        <f t="shared" si="40"/>
        <v>122.792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148.10999999999999</v>
      </c>
      <c r="F494" s="14"/>
      <c r="G494" s="15"/>
      <c r="H494" s="14"/>
      <c r="I494" s="15">
        <f t="shared" si="40"/>
        <v>122.792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148.10999999999999</v>
      </c>
      <c r="F495" s="14"/>
      <c r="G495" s="15"/>
      <c r="H495" s="14"/>
      <c r="I495" s="15">
        <f t="shared" si="40"/>
        <v>122.792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148.10999999999999</v>
      </c>
      <c r="F496" s="14"/>
      <c r="G496" s="15"/>
      <c r="H496" s="14"/>
      <c r="I496" s="15">
        <f t="shared" si="40"/>
        <v>122.792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148.10999999999999</v>
      </c>
      <c r="F497" s="14"/>
      <c r="G497" s="15"/>
      <c r="H497" s="14"/>
      <c r="I497" s="15">
        <f t="shared" si="40"/>
        <v>122.792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148.10999999999999</v>
      </c>
      <c r="F498" s="14"/>
      <c r="G498" s="15"/>
      <c r="H498" s="14"/>
      <c r="I498" s="15">
        <f t="shared" si="40"/>
        <v>122.792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148.10999999999999</v>
      </c>
      <c r="F499" s="14"/>
      <c r="G499" s="15"/>
      <c r="H499" s="14"/>
      <c r="I499" s="15">
        <f t="shared" si="40"/>
        <v>122.792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148.10999999999999</v>
      </c>
      <c r="F500" s="14"/>
      <c r="G500" s="15"/>
      <c r="H500" s="14"/>
      <c r="I500" s="15">
        <f t="shared" si="40"/>
        <v>122.792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148.10999999999999</v>
      </c>
      <c r="F501" s="14"/>
      <c r="G501" s="15"/>
      <c r="H501" s="14"/>
      <c r="I501" s="15">
        <f t="shared" si="40"/>
        <v>122.792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148.10999999999999</v>
      </c>
      <c r="F502" s="14"/>
      <c r="G502" s="15"/>
      <c r="H502" s="14"/>
      <c r="I502" s="15">
        <f t="shared" si="40"/>
        <v>122.792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148.10999999999999</v>
      </c>
      <c r="F503" s="14"/>
      <c r="G503" s="15"/>
      <c r="H503" s="14"/>
      <c r="I503" s="15">
        <f t="shared" si="40"/>
        <v>122.792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148.10999999999999</v>
      </c>
      <c r="F504" s="14"/>
      <c r="G504" s="15"/>
      <c r="H504" s="14"/>
      <c r="I504" s="15">
        <f t="shared" si="40"/>
        <v>122.792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148.10999999999999</v>
      </c>
      <c r="F505" s="14"/>
      <c r="G505" s="15"/>
      <c r="H505" s="14"/>
      <c r="I505" s="15">
        <f t="shared" si="40"/>
        <v>122.792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148.10999999999999</v>
      </c>
      <c r="F506" s="14"/>
      <c r="G506" s="15"/>
      <c r="H506" s="14"/>
      <c r="I506" s="15">
        <f t="shared" si="40"/>
        <v>122.792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148.10999999999999</v>
      </c>
      <c r="F507" s="14"/>
      <c r="G507" s="15"/>
      <c r="H507" s="14"/>
      <c r="I507" s="15">
        <f t="shared" si="40"/>
        <v>122.792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148.10999999999999</v>
      </c>
      <c r="F508" s="14"/>
      <c r="G508" s="15"/>
      <c r="H508" s="14"/>
      <c r="I508" s="15">
        <f t="shared" si="40"/>
        <v>122.792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148.10999999999999</v>
      </c>
      <c r="F509" s="14"/>
      <c r="G509" s="15"/>
      <c r="H509" s="14"/>
      <c r="I509" s="15">
        <f t="shared" si="40"/>
        <v>122.792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148.10999999999999</v>
      </c>
      <c r="F510" s="14"/>
      <c r="G510" s="15"/>
      <c r="H510" s="14"/>
      <c r="I510" s="15">
        <f t="shared" si="40"/>
        <v>122.792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148.10999999999999</v>
      </c>
      <c r="F511" s="14"/>
      <c r="G511" s="15"/>
      <c r="H511" s="14"/>
      <c r="I511" s="15">
        <f t="shared" si="40"/>
        <v>122.792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148.10999999999999</v>
      </c>
      <c r="F512" s="14"/>
      <c r="G512" s="15"/>
      <c r="H512" s="14"/>
      <c r="I512" s="15">
        <f t="shared" si="40"/>
        <v>122.792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>
        <f>A1</f>
        <v>0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>
        <f>K1</f>
        <v>0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148.10999999999999</v>
      </c>
      <c r="F526" s="14"/>
      <c r="G526" s="15"/>
      <c r="H526" s="14"/>
      <c r="I526" s="15">
        <f>I512+G526-H526</f>
        <v>122.792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148.10999999999999</v>
      </c>
      <c r="F527" s="14"/>
      <c r="G527" s="15"/>
      <c r="H527" s="14"/>
      <c r="I527" s="15">
        <f>I526+G527-H527</f>
        <v>122.792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148.10999999999999</v>
      </c>
      <c r="F528" s="14"/>
      <c r="G528" s="15"/>
      <c r="H528" s="14"/>
      <c r="I528" s="15">
        <f t="shared" ref="I528:I551" si="42">I527+G528-H528</f>
        <v>122.792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148.10999999999999</v>
      </c>
      <c r="F529" s="14"/>
      <c r="G529" s="15"/>
      <c r="H529" s="14"/>
      <c r="I529" s="15">
        <f t="shared" si="42"/>
        <v>122.792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148.10999999999999</v>
      </c>
      <c r="F530" s="14"/>
      <c r="G530" s="15"/>
      <c r="H530" s="14"/>
      <c r="I530" s="15">
        <f t="shared" si="42"/>
        <v>122.792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148.10999999999999</v>
      </c>
      <c r="F531" s="14"/>
      <c r="G531" s="15"/>
      <c r="H531" s="14"/>
      <c r="I531" s="15">
        <f t="shared" si="42"/>
        <v>122.792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148.10999999999999</v>
      </c>
      <c r="F532" s="14"/>
      <c r="G532" s="15"/>
      <c r="H532" s="14"/>
      <c r="I532" s="15">
        <f t="shared" si="42"/>
        <v>122.792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148.10999999999999</v>
      </c>
      <c r="F533" s="14"/>
      <c r="G533" s="15"/>
      <c r="H533" s="14"/>
      <c r="I533" s="15">
        <f t="shared" si="42"/>
        <v>122.792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148.10999999999999</v>
      </c>
      <c r="F534" s="14"/>
      <c r="G534" s="15"/>
      <c r="H534" s="14"/>
      <c r="I534" s="15">
        <f t="shared" si="42"/>
        <v>122.792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148.10999999999999</v>
      </c>
      <c r="F535" s="14"/>
      <c r="G535" s="15"/>
      <c r="H535" s="14"/>
      <c r="I535" s="15">
        <f t="shared" si="42"/>
        <v>122.792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148.10999999999999</v>
      </c>
      <c r="F536" s="14"/>
      <c r="G536" s="15"/>
      <c r="H536" s="14"/>
      <c r="I536" s="15">
        <f t="shared" si="42"/>
        <v>122.792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148.10999999999999</v>
      </c>
      <c r="F537" s="14"/>
      <c r="G537" s="15"/>
      <c r="H537" s="14"/>
      <c r="I537" s="15">
        <f t="shared" si="42"/>
        <v>122.792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148.10999999999999</v>
      </c>
      <c r="F538" s="14"/>
      <c r="G538" s="15"/>
      <c r="H538" s="14"/>
      <c r="I538" s="15">
        <f t="shared" si="42"/>
        <v>122.792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148.10999999999999</v>
      </c>
      <c r="F539" s="14"/>
      <c r="G539" s="15"/>
      <c r="H539" s="14"/>
      <c r="I539" s="15">
        <f t="shared" si="42"/>
        <v>122.792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148.10999999999999</v>
      </c>
      <c r="F540" s="14"/>
      <c r="G540" s="15"/>
      <c r="H540" s="14"/>
      <c r="I540" s="15">
        <f t="shared" si="42"/>
        <v>122.792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148.10999999999999</v>
      </c>
      <c r="F541" s="14"/>
      <c r="G541" s="15"/>
      <c r="H541" s="14"/>
      <c r="I541" s="15">
        <f t="shared" si="42"/>
        <v>122.792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148.10999999999999</v>
      </c>
      <c r="F542" s="14"/>
      <c r="G542" s="15"/>
      <c r="H542" s="14"/>
      <c r="I542" s="15">
        <f t="shared" si="42"/>
        <v>122.792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148.10999999999999</v>
      </c>
      <c r="F543" s="14"/>
      <c r="G543" s="15"/>
      <c r="H543" s="14"/>
      <c r="I543" s="15">
        <f t="shared" si="42"/>
        <v>122.792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148.10999999999999</v>
      </c>
      <c r="F544" s="14"/>
      <c r="G544" s="15"/>
      <c r="H544" s="14"/>
      <c r="I544" s="15">
        <f t="shared" si="42"/>
        <v>122.792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148.10999999999999</v>
      </c>
      <c r="F545" s="14"/>
      <c r="G545" s="15"/>
      <c r="H545" s="14"/>
      <c r="I545" s="15">
        <f t="shared" si="42"/>
        <v>122.792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148.10999999999999</v>
      </c>
      <c r="F546" s="14"/>
      <c r="G546" s="15"/>
      <c r="H546" s="14"/>
      <c r="I546" s="15">
        <f t="shared" si="42"/>
        <v>122.792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148.10999999999999</v>
      </c>
      <c r="F547" s="14"/>
      <c r="G547" s="15"/>
      <c r="H547" s="14"/>
      <c r="I547" s="15">
        <f t="shared" si="42"/>
        <v>122.792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148.10999999999999</v>
      </c>
      <c r="F548" s="14"/>
      <c r="G548" s="15"/>
      <c r="H548" s="14"/>
      <c r="I548" s="15">
        <f t="shared" si="42"/>
        <v>122.792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148.10999999999999</v>
      </c>
      <c r="F549" s="14"/>
      <c r="G549" s="15"/>
      <c r="H549" s="14"/>
      <c r="I549" s="15">
        <f t="shared" si="42"/>
        <v>122.792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148.10999999999999</v>
      </c>
      <c r="F550" s="14"/>
      <c r="G550" s="15"/>
      <c r="H550" s="14"/>
      <c r="I550" s="15">
        <f t="shared" si="42"/>
        <v>122.792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148.10999999999999</v>
      </c>
      <c r="F551" s="14"/>
      <c r="G551" s="15"/>
      <c r="H551" s="14"/>
      <c r="I551" s="15">
        <f t="shared" si="42"/>
        <v>122.792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244.292</v>
      </c>
      <c r="D556" s="46">
        <f>SUM(D552+D513+D478+D439+D404+D365+D330+D291+D256+D217+D182+D143+D108+D69+D34)</f>
        <v>96.181999999999988</v>
      </c>
      <c r="E556" s="46"/>
      <c r="G556" s="26">
        <f>SUM(G552+G513+G478+G439+G404+G365+G330+G291+G256+G217+G182+G143+G108+G69+G34)</f>
        <v>244.292</v>
      </c>
      <c r="H556" s="46">
        <f>SUM(H552+H513+H478+H439+H404+H365+H330+H291+H256+H217+H182+H143+H108+H69+H34)</f>
        <v>121.5</v>
      </c>
      <c r="I556" s="46"/>
      <c r="K556" s="28">
        <v>319.875</v>
      </c>
    </row>
    <row r="557" spans="1:11" ht="12.6" customHeight="1" x14ac:dyDescent="0.2">
      <c r="K557" s="47">
        <f>G556-K556</f>
        <v>-75.582999999999998</v>
      </c>
    </row>
    <row r="566" spans="2:11" ht="12.6" customHeight="1" x14ac:dyDescent="0.2">
      <c r="B566" s="3" t="s">
        <v>33</v>
      </c>
      <c r="E566" s="46"/>
      <c r="F566" s="48">
        <f>C556</f>
        <v>244.292</v>
      </c>
      <c r="H566" s="48">
        <f>F566</f>
        <v>244.292</v>
      </c>
    </row>
    <row r="567" spans="2:11" ht="12.6" customHeight="1" x14ac:dyDescent="0.2">
      <c r="B567" s="3" t="s">
        <v>34</v>
      </c>
      <c r="E567" s="46"/>
      <c r="F567" s="48">
        <f>D556</f>
        <v>96.181999999999988</v>
      </c>
      <c r="H567" s="48">
        <f>H556</f>
        <v>121.5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148.11000000000001</v>
      </c>
      <c r="G570" s="50"/>
      <c r="H570" s="53">
        <f>SUM(H566-H567)</f>
        <v>122.792</v>
      </c>
      <c r="I570" s="54">
        <f>SUM(H570+F570)</f>
        <v>270.90200000000004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270.90200000000004</v>
      </c>
      <c r="D573" s="97"/>
      <c r="E573" s="100">
        <v>4.8192699999999998E-2</v>
      </c>
      <c r="F573" s="100"/>
      <c r="H573" s="101">
        <f>B573*C573*E573</f>
        <v>208509.37158075345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85D4-DCB7-41B5-B613-07010D41C086}">
  <dimension ref="A1:K574"/>
  <sheetViews>
    <sheetView zoomScale="145" zoomScaleNormal="145" workbookViewId="0">
      <selection activeCell="E11" sqref="E11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1295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>
        <v>41325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41365</v>
      </c>
      <c r="B7" s="14"/>
      <c r="C7" s="15">
        <v>1.708</v>
      </c>
      <c r="D7" s="14"/>
      <c r="E7" s="15">
        <f>C7+D7</f>
        <v>1.708</v>
      </c>
      <c r="F7" s="14"/>
      <c r="G7" s="15">
        <f>C7</f>
        <v>1.708</v>
      </c>
      <c r="H7" s="14"/>
      <c r="I7" s="15">
        <f>G7+H7</f>
        <v>1.708</v>
      </c>
      <c r="J7" s="14"/>
      <c r="K7" s="16"/>
    </row>
    <row r="8" spans="1:11" ht="12.6" hidden="1" customHeight="1" x14ac:dyDescent="0.2">
      <c r="A8" s="13"/>
      <c r="B8" s="17"/>
      <c r="C8" s="15"/>
      <c r="D8" s="18"/>
      <c r="E8" s="15">
        <f>E7+C8-D8</f>
        <v>1.708</v>
      </c>
      <c r="F8" s="14"/>
      <c r="G8" s="15">
        <f t="shared" ref="G8:G33" si="0">C8</f>
        <v>0</v>
      </c>
      <c r="H8" s="14"/>
      <c r="I8" s="15">
        <f>I7+G8-H8</f>
        <v>1.708</v>
      </c>
      <c r="J8" s="14"/>
      <c r="K8" s="16"/>
    </row>
    <row r="9" spans="1:11" ht="12.6" customHeight="1" x14ac:dyDescent="0.2">
      <c r="A9" s="13"/>
      <c r="B9" s="17" t="s">
        <v>1296</v>
      </c>
      <c r="C9" s="15"/>
      <c r="D9" s="14"/>
      <c r="E9" s="15">
        <f t="shared" ref="E9:E33" si="1">E8+C9-D9</f>
        <v>1.708</v>
      </c>
      <c r="F9" s="14"/>
      <c r="G9" s="15">
        <f t="shared" si="0"/>
        <v>0</v>
      </c>
      <c r="H9" s="14"/>
      <c r="I9" s="15">
        <f t="shared" ref="I9:I34" si="2">I8+G9-H9</f>
        <v>1.708</v>
      </c>
      <c r="J9" s="14"/>
      <c r="K9" s="13">
        <v>41390</v>
      </c>
    </row>
    <row r="10" spans="1:11" ht="12.6" customHeight="1" x14ac:dyDescent="0.2">
      <c r="A10" s="13">
        <v>41518</v>
      </c>
      <c r="B10" s="19"/>
      <c r="C10" s="15">
        <v>6.25</v>
      </c>
      <c r="D10" s="14"/>
      <c r="E10" s="15">
        <f t="shared" si="1"/>
        <v>7.9580000000000002</v>
      </c>
      <c r="F10" s="14"/>
      <c r="G10" s="15">
        <f t="shared" si="0"/>
        <v>6.25</v>
      </c>
      <c r="H10" s="14"/>
      <c r="I10" s="15">
        <f t="shared" si="2"/>
        <v>7.9580000000000002</v>
      </c>
      <c r="J10" s="14"/>
      <c r="K10" s="13"/>
    </row>
    <row r="11" spans="1:11" ht="12.6" customHeight="1" x14ac:dyDescent="0.2">
      <c r="A11" s="13"/>
      <c r="B11" s="17" t="s">
        <v>1297</v>
      </c>
      <c r="C11" s="15"/>
      <c r="D11" s="14"/>
      <c r="E11" s="15">
        <f t="shared" si="1"/>
        <v>7.9580000000000002</v>
      </c>
      <c r="F11" s="14"/>
      <c r="G11" s="15">
        <f t="shared" si="0"/>
        <v>0</v>
      </c>
      <c r="H11" s="14"/>
      <c r="I11" s="15">
        <f t="shared" si="2"/>
        <v>7.9580000000000002</v>
      </c>
      <c r="J11" s="14"/>
      <c r="K11" s="20" t="s">
        <v>1298</v>
      </c>
    </row>
    <row r="12" spans="1:11" ht="12.6" customHeight="1" x14ac:dyDescent="0.2">
      <c r="A12" s="13">
        <v>41548</v>
      </c>
      <c r="B12" s="19"/>
      <c r="C12" s="15">
        <v>1.25</v>
      </c>
      <c r="D12" s="14"/>
      <c r="E12" s="15">
        <f t="shared" si="1"/>
        <v>9.2080000000000002</v>
      </c>
      <c r="F12" s="14"/>
      <c r="G12" s="15">
        <f t="shared" si="0"/>
        <v>1.25</v>
      </c>
      <c r="H12" s="14"/>
      <c r="I12" s="15">
        <f t="shared" si="2"/>
        <v>9.2080000000000002</v>
      </c>
      <c r="J12" s="14"/>
      <c r="K12" s="13"/>
    </row>
    <row r="13" spans="1:11" ht="12.6" customHeight="1" x14ac:dyDescent="0.2">
      <c r="A13" s="13"/>
      <c r="B13" s="17" t="s">
        <v>77</v>
      </c>
      <c r="C13" s="15"/>
      <c r="D13" s="14">
        <v>2</v>
      </c>
      <c r="E13" s="15">
        <f t="shared" si="1"/>
        <v>7.2080000000000002</v>
      </c>
      <c r="F13" s="14"/>
      <c r="G13" s="15">
        <f t="shared" si="0"/>
        <v>0</v>
      </c>
      <c r="H13" s="14"/>
      <c r="I13" s="15">
        <f t="shared" si="2"/>
        <v>9.2080000000000002</v>
      </c>
      <c r="J13" s="14"/>
      <c r="K13" s="13" t="s">
        <v>1299</v>
      </c>
    </row>
    <row r="14" spans="1:11" ht="12.6" customHeight="1" x14ac:dyDescent="0.2">
      <c r="A14" s="13">
        <v>41579</v>
      </c>
      <c r="B14" s="17"/>
      <c r="C14" s="15">
        <v>1.25</v>
      </c>
      <c r="D14" s="14"/>
      <c r="E14" s="15">
        <f t="shared" si="1"/>
        <v>8.4580000000000002</v>
      </c>
      <c r="F14" s="14"/>
      <c r="G14" s="15">
        <f t="shared" si="0"/>
        <v>1.25</v>
      </c>
      <c r="H14" s="14"/>
      <c r="I14" s="15">
        <f t="shared" si="2"/>
        <v>10.458</v>
      </c>
      <c r="J14" s="14"/>
      <c r="K14" s="13"/>
    </row>
    <row r="15" spans="1:11" ht="12.6" customHeight="1" x14ac:dyDescent="0.2">
      <c r="A15" s="13"/>
      <c r="B15" s="17" t="s">
        <v>288</v>
      </c>
      <c r="C15" s="15"/>
      <c r="D15" s="14"/>
      <c r="E15" s="15">
        <f t="shared" si="1"/>
        <v>8.4580000000000002</v>
      </c>
      <c r="F15" s="14"/>
      <c r="G15" s="15">
        <f t="shared" si="0"/>
        <v>0</v>
      </c>
      <c r="H15" s="14">
        <v>4.5</v>
      </c>
      <c r="I15" s="15">
        <f t="shared" si="2"/>
        <v>5.9580000000000002</v>
      </c>
      <c r="J15" s="14"/>
      <c r="K15" s="13" t="s">
        <v>1300</v>
      </c>
    </row>
    <row r="16" spans="1:11" ht="12.6" customHeight="1" x14ac:dyDescent="0.2">
      <c r="A16" s="13">
        <v>41640</v>
      </c>
      <c r="B16" s="19"/>
      <c r="C16" s="15">
        <v>2.5</v>
      </c>
      <c r="D16" s="14"/>
      <c r="E16" s="15">
        <f t="shared" si="1"/>
        <v>10.958</v>
      </c>
      <c r="F16" s="14"/>
      <c r="G16" s="15">
        <f t="shared" si="0"/>
        <v>2.5</v>
      </c>
      <c r="H16" s="14"/>
      <c r="I16" s="15">
        <f t="shared" si="2"/>
        <v>8.4580000000000002</v>
      </c>
      <c r="J16" s="14"/>
      <c r="K16" s="13"/>
    </row>
    <row r="17" spans="1:11" ht="12.6" customHeight="1" x14ac:dyDescent="0.2">
      <c r="A17" s="13"/>
      <c r="B17" s="17" t="s">
        <v>1250</v>
      </c>
      <c r="C17" s="15"/>
      <c r="D17" s="14"/>
      <c r="E17" s="15">
        <f t="shared" si="1"/>
        <v>10.958</v>
      </c>
      <c r="F17" s="14"/>
      <c r="G17" s="15">
        <f t="shared" si="0"/>
        <v>0</v>
      </c>
      <c r="H17" s="14">
        <v>1</v>
      </c>
      <c r="I17" s="15">
        <f t="shared" si="2"/>
        <v>7.4580000000000002</v>
      </c>
      <c r="J17" s="14"/>
      <c r="K17" s="13">
        <v>41646</v>
      </c>
    </row>
    <row r="18" spans="1:11" ht="12.6" customHeight="1" x14ac:dyDescent="0.2">
      <c r="A18" s="13">
        <v>41699</v>
      </c>
      <c r="B18" s="17"/>
      <c r="C18" s="15">
        <v>2.5</v>
      </c>
      <c r="D18" s="14"/>
      <c r="E18" s="15">
        <f t="shared" si="1"/>
        <v>13.458</v>
      </c>
      <c r="F18" s="14"/>
      <c r="G18" s="15">
        <f t="shared" si="0"/>
        <v>2.5</v>
      </c>
      <c r="H18" s="14"/>
      <c r="I18" s="15">
        <f t="shared" si="2"/>
        <v>9.9580000000000002</v>
      </c>
      <c r="J18" s="14"/>
      <c r="K18" s="13"/>
    </row>
    <row r="19" spans="1:11" ht="12.6" customHeight="1" x14ac:dyDescent="0.2">
      <c r="A19" s="13"/>
      <c r="B19" s="17" t="s">
        <v>1301</v>
      </c>
      <c r="C19" s="15"/>
      <c r="D19" s="14"/>
      <c r="E19" s="15">
        <f t="shared" si="1"/>
        <v>13.458</v>
      </c>
      <c r="F19" s="14"/>
      <c r="G19" s="15">
        <f t="shared" si="0"/>
        <v>0</v>
      </c>
      <c r="H19" s="14"/>
      <c r="I19" s="15">
        <f t="shared" si="2"/>
        <v>9.9580000000000002</v>
      </c>
      <c r="J19" s="14"/>
      <c r="K19" s="13">
        <v>41726</v>
      </c>
    </row>
    <row r="20" spans="1:11" ht="12.6" customHeight="1" x14ac:dyDescent="0.2">
      <c r="A20" s="13">
        <v>41730</v>
      </c>
      <c r="B20" s="17"/>
      <c r="C20" s="15">
        <v>1.25</v>
      </c>
      <c r="D20" s="21"/>
      <c r="E20" s="15">
        <f t="shared" si="1"/>
        <v>14.708</v>
      </c>
      <c r="F20" s="14"/>
      <c r="G20" s="15">
        <f t="shared" si="0"/>
        <v>1.25</v>
      </c>
      <c r="H20" s="14"/>
      <c r="I20" s="15">
        <f t="shared" si="2"/>
        <v>11.208</v>
      </c>
      <c r="J20" s="14"/>
      <c r="K20" s="13"/>
    </row>
    <row r="21" spans="1:11" ht="12.6" customHeight="1" x14ac:dyDescent="0.2">
      <c r="A21" s="13"/>
      <c r="B21" s="17" t="s">
        <v>1250</v>
      </c>
      <c r="C21" s="15"/>
      <c r="D21" s="14"/>
      <c r="E21" s="15">
        <f t="shared" si="1"/>
        <v>14.708</v>
      </c>
      <c r="F21" s="14"/>
      <c r="G21" s="15">
        <f t="shared" si="0"/>
        <v>0</v>
      </c>
      <c r="H21" s="14">
        <v>1</v>
      </c>
      <c r="I21" s="15">
        <f t="shared" si="2"/>
        <v>10.208</v>
      </c>
      <c r="J21" s="14"/>
      <c r="K21" s="13">
        <v>41752</v>
      </c>
    </row>
    <row r="22" spans="1:11" ht="12.6" customHeight="1" x14ac:dyDescent="0.2">
      <c r="A22" s="13">
        <v>41760</v>
      </c>
      <c r="B22" s="17"/>
      <c r="C22" s="15">
        <v>1.25</v>
      </c>
      <c r="D22" s="14"/>
      <c r="E22" s="15">
        <f t="shared" si="1"/>
        <v>15.958</v>
      </c>
      <c r="F22" s="14"/>
      <c r="G22" s="15">
        <f t="shared" si="0"/>
        <v>1.25</v>
      </c>
      <c r="H22" s="14"/>
      <c r="I22" s="15">
        <f t="shared" si="2"/>
        <v>11.458</v>
      </c>
      <c r="J22" s="14"/>
      <c r="K22" s="13"/>
    </row>
    <row r="23" spans="1:11" ht="12.6" customHeight="1" x14ac:dyDescent="0.2">
      <c r="A23" s="13"/>
      <c r="B23" s="17" t="s">
        <v>77</v>
      </c>
      <c r="C23" s="15"/>
      <c r="D23" s="14">
        <v>2</v>
      </c>
      <c r="E23" s="15">
        <f t="shared" si="1"/>
        <v>13.958</v>
      </c>
      <c r="F23" s="14"/>
      <c r="G23" s="15">
        <f t="shared" si="0"/>
        <v>0</v>
      </c>
      <c r="H23" s="14"/>
      <c r="I23" s="15">
        <f t="shared" si="2"/>
        <v>11.458</v>
      </c>
      <c r="J23" s="14"/>
      <c r="K23" s="13" t="s">
        <v>1302</v>
      </c>
    </row>
    <row r="24" spans="1:11" ht="12.6" customHeight="1" x14ac:dyDescent="0.2">
      <c r="A24" s="13">
        <v>41821</v>
      </c>
      <c r="B24" s="19"/>
      <c r="C24" s="15">
        <v>2.5</v>
      </c>
      <c r="D24" s="14"/>
      <c r="E24" s="15">
        <f t="shared" si="1"/>
        <v>16.457999999999998</v>
      </c>
      <c r="F24" s="14"/>
      <c r="G24" s="15">
        <f t="shared" si="0"/>
        <v>2.5</v>
      </c>
      <c r="H24" s="14"/>
      <c r="I24" s="15">
        <f t="shared" si="2"/>
        <v>13.958</v>
      </c>
      <c r="J24" s="14"/>
      <c r="K24" s="13"/>
    </row>
    <row r="25" spans="1:11" ht="12.6" customHeight="1" x14ac:dyDescent="0.2">
      <c r="A25" s="13"/>
      <c r="B25" s="17"/>
      <c r="C25" s="15"/>
      <c r="D25" s="14">
        <v>5.1999999999999998E-2</v>
      </c>
      <c r="E25" s="15">
        <f t="shared" si="1"/>
        <v>16.405999999999999</v>
      </c>
      <c r="F25" s="14"/>
      <c r="G25" s="15">
        <f t="shared" si="0"/>
        <v>0</v>
      </c>
      <c r="H25" s="14"/>
      <c r="I25" s="15">
        <f t="shared" si="2"/>
        <v>13.958</v>
      </c>
      <c r="J25" s="14"/>
      <c r="K25" s="13" t="s">
        <v>1303</v>
      </c>
    </row>
    <row r="26" spans="1:11" ht="12.6" customHeight="1" x14ac:dyDescent="0.2">
      <c r="A26" s="13"/>
      <c r="B26" s="19" t="s">
        <v>1304</v>
      </c>
      <c r="C26" s="15"/>
      <c r="D26" s="14"/>
      <c r="E26" s="15">
        <f t="shared" si="1"/>
        <v>16.405999999999999</v>
      </c>
      <c r="F26" s="14"/>
      <c r="G26" s="15">
        <f t="shared" si="0"/>
        <v>0</v>
      </c>
      <c r="H26" s="14"/>
      <c r="I26" s="15">
        <f t="shared" si="2"/>
        <v>13.958</v>
      </c>
      <c r="J26" s="14"/>
      <c r="K26" s="13">
        <v>41906</v>
      </c>
    </row>
    <row r="27" spans="1:11" ht="12.6" customHeight="1" x14ac:dyDescent="0.2">
      <c r="A27" s="13">
        <v>41913</v>
      </c>
      <c r="B27" s="17"/>
      <c r="C27" s="15">
        <v>3.75</v>
      </c>
      <c r="D27" s="14"/>
      <c r="E27" s="15">
        <f t="shared" si="1"/>
        <v>20.155999999999999</v>
      </c>
      <c r="F27" s="14"/>
      <c r="G27" s="15">
        <f t="shared" si="0"/>
        <v>3.75</v>
      </c>
      <c r="H27" s="14"/>
      <c r="I27" s="15">
        <f t="shared" si="2"/>
        <v>17.707999999999998</v>
      </c>
      <c r="J27" s="14"/>
      <c r="K27" s="13"/>
    </row>
    <row r="28" spans="1:11" ht="12.6" customHeight="1" x14ac:dyDescent="0.2">
      <c r="A28" s="13"/>
      <c r="B28" s="19" t="s">
        <v>77</v>
      </c>
      <c r="C28" s="15"/>
      <c r="D28" s="14">
        <v>2</v>
      </c>
      <c r="E28" s="15">
        <f t="shared" si="1"/>
        <v>18.155999999999999</v>
      </c>
      <c r="F28" s="14"/>
      <c r="G28" s="15">
        <f t="shared" si="0"/>
        <v>0</v>
      </c>
      <c r="H28" s="14"/>
      <c r="I28" s="15">
        <f t="shared" si="2"/>
        <v>17.707999999999998</v>
      </c>
      <c r="J28" s="14"/>
      <c r="K28" s="13" t="s">
        <v>1305</v>
      </c>
    </row>
    <row r="29" spans="1:11" ht="12.6" customHeight="1" x14ac:dyDescent="0.2">
      <c r="A29" s="13"/>
      <c r="B29" s="19" t="s">
        <v>1250</v>
      </c>
      <c r="C29" s="15"/>
      <c r="D29" s="14"/>
      <c r="E29" s="15">
        <f t="shared" si="1"/>
        <v>18.155999999999999</v>
      </c>
      <c r="F29" s="14"/>
      <c r="G29" s="15">
        <f t="shared" si="0"/>
        <v>0</v>
      </c>
      <c r="H29" s="14">
        <v>1</v>
      </c>
      <c r="I29" s="15">
        <f t="shared" si="2"/>
        <v>16.707999999999998</v>
      </c>
      <c r="J29" s="14"/>
      <c r="K29" s="13">
        <v>41950</v>
      </c>
    </row>
    <row r="30" spans="1:11" ht="12.6" customHeight="1" x14ac:dyDescent="0.2">
      <c r="A30" s="13">
        <v>41974</v>
      </c>
      <c r="B30" s="19"/>
      <c r="C30" s="15">
        <v>2.5</v>
      </c>
      <c r="D30" s="14"/>
      <c r="E30" s="15">
        <f t="shared" si="1"/>
        <v>20.655999999999999</v>
      </c>
      <c r="F30" s="14"/>
      <c r="G30" s="15">
        <f t="shared" si="0"/>
        <v>2.5</v>
      </c>
      <c r="H30" s="14"/>
      <c r="I30" s="15">
        <f t="shared" si="2"/>
        <v>19.207999999999998</v>
      </c>
      <c r="J30" s="14"/>
      <c r="K30" s="16"/>
    </row>
    <row r="31" spans="1:11" ht="12.6" customHeight="1" x14ac:dyDescent="0.2">
      <c r="A31" s="13"/>
      <c r="B31" s="19" t="s">
        <v>57</v>
      </c>
      <c r="C31" s="15"/>
      <c r="D31" s="14">
        <v>1</v>
      </c>
      <c r="E31" s="15">
        <f t="shared" si="1"/>
        <v>19.655999999999999</v>
      </c>
      <c r="F31" s="22"/>
      <c r="G31" s="15">
        <f t="shared" si="0"/>
        <v>0</v>
      </c>
      <c r="H31" s="22"/>
      <c r="I31" s="15">
        <f t="shared" si="2"/>
        <v>19.207999999999998</v>
      </c>
      <c r="J31" s="22"/>
      <c r="K31" s="30">
        <v>41996</v>
      </c>
    </row>
    <row r="32" spans="1:11" ht="12.6" customHeight="1" x14ac:dyDescent="0.2">
      <c r="A32" s="13"/>
      <c r="B32" s="17"/>
      <c r="C32" s="15"/>
      <c r="D32" s="14">
        <v>0.05</v>
      </c>
      <c r="E32" s="15">
        <f t="shared" si="1"/>
        <v>19.605999999999998</v>
      </c>
      <c r="F32" s="22"/>
      <c r="G32" s="15">
        <f t="shared" si="0"/>
        <v>0</v>
      </c>
      <c r="H32" s="22"/>
      <c r="I32" s="15">
        <f t="shared" si="2"/>
        <v>19.207999999999998</v>
      </c>
      <c r="J32" s="22"/>
      <c r="K32" s="23" t="s">
        <v>1306</v>
      </c>
    </row>
    <row r="33" spans="1:11" ht="12.6" customHeight="1" x14ac:dyDescent="0.2">
      <c r="A33" s="13">
        <v>42036</v>
      </c>
      <c r="B33" s="17"/>
      <c r="C33" s="15">
        <v>2.5</v>
      </c>
      <c r="D33" s="14"/>
      <c r="E33" s="15">
        <f t="shared" si="1"/>
        <v>22.105999999999998</v>
      </c>
      <c r="F33" s="22"/>
      <c r="G33" s="15">
        <f t="shared" si="0"/>
        <v>2.5</v>
      </c>
      <c r="H33" s="22"/>
      <c r="I33" s="15">
        <f t="shared" si="2"/>
        <v>21.707999999999998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29.207999999999998</v>
      </c>
      <c r="D34" s="25">
        <f>SUM(D9:D33)</f>
        <v>7.1019999999999994</v>
      </c>
      <c r="E34" s="25"/>
      <c r="F34" s="22"/>
      <c r="G34" s="25">
        <f>SUM(G7:G33)</f>
        <v>29.207999999999998</v>
      </c>
      <c r="H34" s="25">
        <f>SUM(H7:H33)</f>
        <v>7.5</v>
      </c>
      <c r="I34" s="15">
        <f t="shared" si="2"/>
        <v>43.415999999999997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 xml:space="preserve">MENDOZA, LINAFE A. 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>
        <f>K1</f>
        <v>41325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/>
      <c r="C43" s="15"/>
      <c r="D43" s="14">
        <v>2E-3</v>
      </c>
      <c r="E43" s="15">
        <f>E33+C43-D43</f>
        <v>22.103999999999999</v>
      </c>
      <c r="F43" s="14"/>
      <c r="G43" s="15">
        <f>C43</f>
        <v>0</v>
      </c>
      <c r="H43" s="14"/>
      <c r="I43" s="15">
        <f>I33+G43-H43</f>
        <v>21.707999999999998</v>
      </c>
      <c r="J43" s="14"/>
      <c r="K43" s="13" t="s">
        <v>1307</v>
      </c>
    </row>
    <row r="44" spans="1:11" ht="12.6" customHeight="1" x14ac:dyDescent="0.2">
      <c r="A44" s="13"/>
      <c r="B44" s="17" t="s">
        <v>81</v>
      </c>
      <c r="C44" s="15"/>
      <c r="D44" s="14"/>
      <c r="E44" s="15">
        <f>E43+C44-D44</f>
        <v>22.103999999999999</v>
      </c>
      <c r="F44" s="14"/>
      <c r="G44" s="15">
        <f t="shared" ref="G44:G68" si="3">C44</f>
        <v>0</v>
      </c>
      <c r="H44" s="14"/>
      <c r="I44" s="15">
        <f>I43+G44-H44</f>
        <v>21.707999999999998</v>
      </c>
      <c r="J44" s="14"/>
      <c r="K44" s="13">
        <v>42086</v>
      </c>
    </row>
    <row r="45" spans="1:11" ht="12.6" customHeight="1" x14ac:dyDescent="0.2">
      <c r="A45" s="13">
        <v>42095</v>
      </c>
      <c r="B45" s="19"/>
      <c r="C45" s="15">
        <v>2.5</v>
      </c>
      <c r="D45" s="14"/>
      <c r="E45" s="15">
        <f t="shared" ref="E45:E68" si="4">E44+C45-D45</f>
        <v>24.603999999999999</v>
      </c>
      <c r="F45" s="14"/>
      <c r="G45" s="15">
        <f t="shared" si="3"/>
        <v>2.5</v>
      </c>
      <c r="H45" s="14"/>
      <c r="I45" s="15">
        <f t="shared" ref="I45:I68" si="5">I44+G45-H45</f>
        <v>24.207999999999998</v>
      </c>
      <c r="J45" s="14"/>
      <c r="K45" s="13"/>
    </row>
    <row r="46" spans="1:11" ht="12.6" customHeight="1" x14ac:dyDescent="0.2">
      <c r="A46" s="13"/>
      <c r="B46" s="17" t="s">
        <v>1308</v>
      </c>
      <c r="C46" s="15"/>
      <c r="D46" s="14">
        <v>2</v>
      </c>
      <c r="E46" s="15">
        <f t="shared" si="4"/>
        <v>22.603999999999999</v>
      </c>
      <c r="F46" s="14"/>
      <c r="G46" s="15">
        <f t="shared" si="3"/>
        <v>0</v>
      </c>
      <c r="H46" s="14"/>
      <c r="I46" s="15">
        <f t="shared" si="5"/>
        <v>24.207999999999998</v>
      </c>
      <c r="J46" s="14"/>
      <c r="K46" s="13" t="s">
        <v>1309</v>
      </c>
    </row>
    <row r="47" spans="1:11" ht="12.6" customHeight="1" x14ac:dyDescent="0.2">
      <c r="A47" s="13">
        <v>42186</v>
      </c>
      <c r="B47" s="19"/>
      <c r="C47" s="15">
        <v>3.75</v>
      </c>
      <c r="D47" s="14"/>
      <c r="E47" s="15">
        <f t="shared" si="4"/>
        <v>26.353999999999999</v>
      </c>
      <c r="F47" s="14"/>
      <c r="G47" s="15">
        <f t="shared" si="3"/>
        <v>3.75</v>
      </c>
      <c r="H47" s="14"/>
      <c r="I47" s="15">
        <f t="shared" si="5"/>
        <v>27.957999999999998</v>
      </c>
      <c r="J47" s="14"/>
      <c r="K47" s="13"/>
    </row>
    <row r="48" spans="1:11" ht="12.6" customHeight="1" x14ac:dyDescent="0.2">
      <c r="A48" s="13"/>
      <c r="B48" s="17" t="s">
        <v>1251</v>
      </c>
      <c r="C48" s="15"/>
      <c r="D48" s="14"/>
      <c r="E48" s="15">
        <f t="shared" si="4"/>
        <v>26.353999999999999</v>
      </c>
      <c r="F48" s="14"/>
      <c r="G48" s="15">
        <f t="shared" si="3"/>
        <v>0</v>
      </c>
      <c r="H48" s="14"/>
      <c r="I48" s="15">
        <f t="shared" si="5"/>
        <v>27.957999999999998</v>
      </c>
      <c r="J48" s="14"/>
      <c r="K48" s="13" t="s">
        <v>485</v>
      </c>
    </row>
    <row r="49" spans="1:11" ht="12.6" customHeight="1" x14ac:dyDescent="0.2">
      <c r="A49" s="13">
        <v>42217</v>
      </c>
      <c r="B49" s="19"/>
      <c r="C49" s="15">
        <v>1.25</v>
      </c>
      <c r="D49" s="14"/>
      <c r="E49" s="15">
        <f t="shared" si="4"/>
        <v>27.603999999999999</v>
      </c>
      <c r="F49" s="14"/>
      <c r="G49" s="15">
        <f t="shared" si="3"/>
        <v>1.25</v>
      </c>
      <c r="H49" s="14"/>
      <c r="I49" s="15">
        <f t="shared" si="5"/>
        <v>29.207999999999998</v>
      </c>
      <c r="J49" s="14"/>
      <c r="K49" s="13"/>
    </row>
    <row r="50" spans="1:11" ht="12.6" customHeight="1" x14ac:dyDescent="0.2">
      <c r="A50" s="13"/>
      <c r="B50" s="19" t="s">
        <v>47</v>
      </c>
      <c r="C50" s="15"/>
      <c r="D50" s="14"/>
      <c r="E50" s="15">
        <f t="shared" si="4"/>
        <v>27.603999999999999</v>
      </c>
      <c r="F50" s="14"/>
      <c r="G50" s="15">
        <f t="shared" si="3"/>
        <v>0</v>
      </c>
      <c r="H50" s="14">
        <v>1</v>
      </c>
      <c r="I50" s="15">
        <f t="shared" si="5"/>
        <v>28.207999999999998</v>
      </c>
      <c r="J50" s="14"/>
      <c r="K50" s="13">
        <v>42216</v>
      </c>
    </row>
    <row r="51" spans="1:11" ht="12.6" customHeight="1" x14ac:dyDescent="0.2">
      <c r="A51" s="13"/>
      <c r="B51" s="17" t="s">
        <v>125</v>
      </c>
      <c r="C51" s="15"/>
      <c r="D51" s="14"/>
      <c r="E51" s="15">
        <f t="shared" si="4"/>
        <v>27.603999999999999</v>
      </c>
      <c r="F51" s="14"/>
      <c r="G51" s="15">
        <f t="shared" si="3"/>
        <v>0</v>
      </c>
      <c r="H51" s="14">
        <v>4</v>
      </c>
      <c r="I51" s="15">
        <f t="shared" si="5"/>
        <v>24.207999999999998</v>
      </c>
      <c r="J51" s="14"/>
      <c r="K51" s="16" t="s">
        <v>1310</v>
      </c>
    </row>
    <row r="52" spans="1:11" ht="12.6" customHeight="1" x14ac:dyDescent="0.2">
      <c r="A52" s="13">
        <v>42248</v>
      </c>
      <c r="B52" s="19"/>
      <c r="C52" s="15">
        <v>1.25</v>
      </c>
      <c r="D52" s="14"/>
      <c r="E52" s="15">
        <f t="shared" si="4"/>
        <v>28.853999999999999</v>
      </c>
      <c r="F52" s="14"/>
      <c r="G52" s="15">
        <f t="shared" si="3"/>
        <v>1.25</v>
      </c>
      <c r="H52" s="14"/>
      <c r="I52" s="15">
        <f t="shared" si="5"/>
        <v>25.457999999999998</v>
      </c>
      <c r="J52" s="14"/>
      <c r="K52" s="13"/>
    </row>
    <row r="53" spans="1:11" ht="12.6" customHeight="1" x14ac:dyDescent="0.2">
      <c r="A53" s="13"/>
      <c r="B53" s="19" t="s">
        <v>74</v>
      </c>
      <c r="C53" s="15"/>
      <c r="D53" s="14">
        <v>1</v>
      </c>
      <c r="E53" s="15">
        <f t="shared" si="4"/>
        <v>27.853999999999999</v>
      </c>
      <c r="F53" s="14"/>
      <c r="G53" s="15">
        <f t="shared" si="3"/>
        <v>0</v>
      </c>
      <c r="H53" s="14"/>
      <c r="I53" s="15">
        <f t="shared" si="5"/>
        <v>25.457999999999998</v>
      </c>
      <c r="J53" s="14"/>
      <c r="K53" s="13">
        <v>42271</v>
      </c>
    </row>
    <row r="54" spans="1:11" ht="12.6" customHeight="1" x14ac:dyDescent="0.2">
      <c r="A54" s="13">
        <v>42309</v>
      </c>
      <c r="B54" s="19"/>
      <c r="C54" s="15">
        <v>2.5</v>
      </c>
      <c r="D54" s="14"/>
      <c r="E54" s="15">
        <f t="shared" si="4"/>
        <v>30.353999999999999</v>
      </c>
      <c r="F54" s="14"/>
      <c r="G54" s="15">
        <f t="shared" si="3"/>
        <v>2.5</v>
      </c>
      <c r="H54" s="14"/>
      <c r="I54" s="15">
        <f t="shared" si="5"/>
        <v>27.957999999999998</v>
      </c>
      <c r="J54" s="14"/>
      <c r="K54" s="13"/>
    </row>
    <row r="55" spans="1:11" ht="12.6" customHeight="1" x14ac:dyDescent="0.2">
      <c r="A55" s="13"/>
      <c r="B55" s="19" t="s">
        <v>1250</v>
      </c>
      <c r="C55" s="15"/>
      <c r="D55" s="14"/>
      <c r="E55" s="15">
        <f t="shared" si="4"/>
        <v>30.353999999999999</v>
      </c>
      <c r="F55" s="14"/>
      <c r="G55" s="15">
        <f t="shared" si="3"/>
        <v>0</v>
      </c>
      <c r="H55" s="14">
        <v>1</v>
      </c>
      <c r="I55" s="15">
        <f t="shared" si="5"/>
        <v>26.957999999999998</v>
      </c>
      <c r="J55" s="14"/>
      <c r="K55" s="13">
        <v>42332</v>
      </c>
    </row>
    <row r="56" spans="1:11" ht="12.6" customHeight="1" x14ac:dyDescent="0.2">
      <c r="A56" s="13">
        <v>42339</v>
      </c>
      <c r="B56" s="19"/>
      <c r="C56" s="15">
        <v>1.25</v>
      </c>
      <c r="D56" s="14"/>
      <c r="E56" s="15">
        <f t="shared" si="4"/>
        <v>31.603999999999999</v>
      </c>
      <c r="F56" s="14"/>
      <c r="G56" s="15">
        <f t="shared" si="3"/>
        <v>1.25</v>
      </c>
      <c r="H56" s="14"/>
      <c r="I56" s="15">
        <f t="shared" si="5"/>
        <v>28.207999999999998</v>
      </c>
      <c r="J56" s="14"/>
      <c r="K56" s="16"/>
    </row>
    <row r="57" spans="1:11" ht="12.6" customHeight="1" x14ac:dyDescent="0.2">
      <c r="A57" s="13"/>
      <c r="B57" s="19" t="s">
        <v>87</v>
      </c>
      <c r="C57" s="15"/>
      <c r="D57" s="14">
        <v>3</v>
      </c>
      <c r="E57" s="15">
        <f t="shared" si="4"/>
        <v>28.603999999999999</v>
      </c>
      <c r="F57" s="14"/>
      <c r="G57" s="15">
        <f t="shared" si="3"/>
        <v>0</v>
      </c>
      <c r="H57" s="14"/>
      <c r="I57" s="15">
        <f t="shared" si="5"/>
        <v>28.207999999999998</v>
      </c>
      <c r="J57" s="14"/>
      <c r="K57" s="13" t="s">
        <v>1311</v>
      </c>
    </row>
    <row r="58" spans="1:11" ht="12.6" customHeight="1" x14ac:dyDescent="0.2">
      <c r="A58" s="13">
        <v>42401</v>
      </c>
      <c r="B58" s="17"/>
      <c r="C58" s="15">
        <v>2.5</v>
      </c>
      <c r="D58" s="14"/>
      <c r="E58" s="15">
        <f t="shared" si="4"/>
        <v>31.103999999999999</v>
      </c>
      <c r="F58" s="14"/>
      <c r="G58" s="15">
        <f t="shared" si="3"/>
        <v>2.5</v>
      </c>
      <c r="H58" s="14"/>
      <c r="I58" s="15">
        <f t="shared" si="5"/>
        <v>30.707999999999998</v>
      </c>
      <c r="J58" s="14"/>
      <c r="K58" s="13"/>
    </row>
    <row r="59" spans="1:11" ht="12.6" customHeight="1" x14ac:dyDescent="0.2">
      <c r="A59" s="13"/>
      <c r="B59" s="19"/>
      <c r="C59" s="15"/>
      <c r="D59" s="14">
        <v>2E-3</v>
      </c>
      <c r="E59" s="15">
        <f t="shared" si="4"/>
        <v>31.102</v>
      </c>
      <c r="F59" s="14"/>
      <c r="G59" s="15">
        <f t="shared" si="3"/>
        <v>0</v>
      </c>
      <c r="H59" s="14"/>
      <c r="I59" s="15">
        <f t="shared" si="5"/>
        <v>30.707999999999998</v>
      </c>
      <c r="J59" s="14"/>
      <c r="K59" s="13" t="s">
        <v>1312</v>
      </c>
    </row>
    <row r="60" spans="1:11" ht="12.6" customHeight="1" x14ac:dyDescent="0.2">
      <c r="A60" s="13"/>
      <c r="B60" s="19" t="s">
        <v>47</v>
      </c>
      <c r="C60" s="15"/>
      <c r="D60" s="14"/>
      <c r="E60" s="15">
        <f t="shared" si="4"/>
        <v>31.102</v>
      </c>
      <c r="F60" s="14"/>
      <c r="G60" s="15">
        <f t="shared" si="3"/>
        <v>0</v>
      </c>
      <c r="H60" s="14">
        <v>1</v>
      </c>
      <c r="I60" s="15">
        <f t="shared" si="5"/>
        <v>29.707999999999998</v>
      </c>
      <c r="J60" s="14"/>
      <c r="K60" s="13">
        <v>42410</v>
      </c>
    </row>
    <row r="61" spans="1:11" ht="12.6" customHeight="1" x14ac:dyDescent="0.2">
      <c r="A61" s="13">
        <v>42430</v>
      </c>
      <c r="B61" s="19"/>
      <c r="C61" s="15">
        <v>1.25</v>
      </c>
      <c r="D61" s="14"/>
      <c r="E61" s="15">
        <f t="shared" si="4"/>
        <v>32.352000000000004</v>
      </c>
      <c r="F61" s="14"/>
      <c r="G61" s="15">
        <f t="shared" si="3"/>
        <v>1.25</v>
      </c>
      <c r="H61" s="14"/>
      <c r="I61" s="15">
        <f t="shared" si="5"/>
        <v>30.957999999999998</v>
      </c>
      <c r="J61" s="14"/>
      <c r="K61" s="13"/>
    </row>
    <row r="62" spans="1:11" ht="12.6" customHeight="1" x14ac:dyDescent="0.2">
      <c r="A62" s="13"/>
      <c r="B62" s="17" t="s">
        <v>1251</v>
      </c>
      <c r="C62" s="15"/>
      <c r="D62" s="14"/>
      <c r="E62" s="15">
        <f t="shared" si="4"/>
        <v>32.352000000000004</v>
      </c>
      <c r="F62" s="14"/>
      <c r="G62" s="15">
        <f t="shared" si="3"/>
        <v>0</v>
      </c>
      <c r="H62" s="14"/>
      <c r="I62" s="15">
        <f t="shared" si="5"/>
        <v>30.957999999999998</v>
      </c>
      <c r="J62" s="14"/>
      <c r="K62" s="16" t="s">
        <v>1313</v>
      </c>
    </row>
    <row r="63" spans="1:11" ht="12.6" customHeight="1" x14ac:dyDescent="0.2">
      <c r="A63" s="13">
        <v>42461</v>
      </c>
      <c r="B63" s="19"/>
      <c r="C63" s="15">
        <v>1.25</v>
      </c>
      <c r="D63" s="14"/>
      <c r="E63" s="15">
        <f t="shared" si="4"/>
        <v>33.602000000000004</v>
      </c>
      <c r="F63" s="14"/>
      <c r="G63" s="15">
        <f t="shared" si="3"/>
        <v>1.25</v>
      </c>
      <c r="H63" s="14"/>
      <c r="I63" s="15">
        <f t="shared" si="5"/>
        <v>32.207999999999998</v>
      </c>
      <c r="J63" s="14"/>
      <c r="K63" s="13"/>
    </row>
    <row r="64" spans="1:11" ht="12.6" customHeight="1" x14ac:dyDescent="0.2">
      <c r="A64" s="29"/>
      <c r="B64" s="17" t="s">
        <v>57</v>
      </c>
      <c r="C64" s="15"/>
      <c r="D64" s="14">
        <v>1</v>
      </c>
      <c r="E64" s="15">
        <f t="shared" si="4"/>
        <v>32.602000000000004</v>
      </c>
      <c r="F64" s="14"/>
      <c r="G64" s="15">
        <f>C64</f>
        <v>0</v>
      </c>
      <c r="H64" s="14"/>
      <c r="I64" s="15">
        <f t="shared" si="5"/>
        <v>32.207999999999998</v>
      </c>
      <c r="J64" s="14"/>
      <c r="K64" s="29">
        <v>42481</v>
      </c>
    </row>
    <row r="65" spans="1:11" ht="12.6" customHeight="1" x14ac:dyDescent="0.2">
      <c r="A65" s="13"/>
      <c r="B65" s="19" t="s">
        <v>47</v>
      </c>
      <c r="C65" s="15"/>
      <c r="D65" s="21"/>
      <c r="E65" s="15">
        <f t="shared" si="4"/>
        <v>32.602000000000004</v>
      </c>
      <c r="F65" s="14"/>
      <c r="G65" s="15">
        <f t="shared" si="3"/>
        <v>0</v>
      </c>
      <c r="H65" s="14">
        <v>1</v>
      </c>
      <c r="I65" s="15">
        <f t="shared" si="5"/>
        <v>31.207999999999998</v>
      </c>
      <c r="J65" s="14"/>
      <c r="K65" s="13">
        <v>42475</v>
      </c>
    </row>
    <row r="66" spans="1:11" ht="12.6" customHeight="1" x14ac:dyDescent="0.2">
      <c r="A66" s="13">
        <v>42491</v>
      </c>
      <c r="B66" s="19"/>
      <c r="C66" s="15">
        <v>1.25</v>
      </c>
      <c r="D66" s="14"/>
      <c r="E66" s="15">
        <f t="shared" si="4"/>
        <v>33.852000000000004</v>
      </c>
      <c r="F66" s="14"/>
      <c r="G66" s="15">
        <f t="shared" si="3"/>
        <v>1.25</v>
      </c>
      <c r="H66" s="14"/>
      <c r="I66" s="15">
        <f t="shared" si="5"/>
        <v>32.457999999999998</v>
      </c>
      <c r="J66" s="14"/>
      <c r="K66" s="13"/>
    </row>
    <row r="67" spans="1:11" ht="12.6" customHeight="1" x14ac:dyDescent="0.2">
      <c r="A67" s="30"/>
      <c r="B67" s="19" t="s">
        <v>47</v>
      </c>
      <c r="C67" s="15"/>
      <c r="D67" s="14"/>
      <c r="E67" s="15">
        <f t="shared" si="4"/>
        <v>33.852000000000004</v>
      </c>
      <c r="F67" s="14"/>
      <c r="G67" s="15">
        <f t="shared" si="3"/>
        <v>0</v>
      </c>
      <c r="H67" s="31">
        <v>1</v>
      </c>
      <c r="I67" s="15">
        <f t="shared" si="5"/>
        <v>31.457999999999998</v>
      </c>
      <c r="J67" s="31"/>
      <c r="K67" s="30">
        <v>42503</v>
      </c>
    </row>
    <row r="68" spans="1:11" ht="12.6" customHeight="1" x14ac:dyDescent="0.2">
      <c r="A68" s="13">
        <v>42522</v>
      </c>
      <c r="B68" s="19"/>
      <c r="C68" s="15">
        <v>1.25</v>
      </c>
      <c r="D68" s="14"/>
      <c r="E68" s="15">
        <f t="shared" si="4"/>
        <v>35.102000000000004</v>
      </c>
      <c r="F68" s="14"/>
      <c r="G68" s="15">
        <f t="shared" si="3"/>
        <v>1.25</v>
      </c>
      <c r="H68" s="14"/>
      <c r="I68" s="15">
        <f t="shared" si="5"/>
        <v>32.707999999999998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20</v>
      </c>
      <c r="D69" s="15">
        <f>SUM(D43:D68)</f>
        <v>7.0039999999999996</v>
      </c>
      <c r="E69" s="15" t="s">
        <v>17</v>
      </c>
      <c r="F69" s="32"/>
      <c r="G69" s="15">
        <f>SUM(G43:G68)</f>
        <v>20</v>
      </c>
      <c r="H69" s="15">
        <f>SUM(H43:H68)</f>
        <v>9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 xml:space="preserve">MENDOZA, LINAFE A. 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>
        <f>K1</f>
        <v>41325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47</v>
      </c>
      <c r="C82" s="15"/>
      <c r="D82" s="14"/>
      <c r="E82" s="15">
        <f>E68+C82-D82</f>
        <v>35.102000000000004</v>
      </c>
      <c r="F82" s="14"/>
      <c r="G82" s="15">
        <f>C82</f>
        <v>0</v>
      </c>
      <c r="H82" s="14">
        <v>1</v>
      </c>
      <c r="I82" s="15">
        <f>I68+G82-H82</f>
        <v>31.707999999999998</v>
      </c>
      <c r="J82" s="14"/>
      <c r="K82" s="13">
        <v>42543</v>
      </c>
    </row>
    <row r="83" spans="1:11" ht="12.6" customHeight="1" x14ac:dyDescent="0.2">
      <c r="A83" s="13">
        <v>42552</v>
      </c>
      <c r="B83" s="17"/>
      <c r="C83" s="15">
        <v>1.25</v>
      </c>
      <c r="D83" s="14"/>
      <c r="E83" s="15">
        <f>E82+C83-D83</f>
        <v>36.352000000000004</v>
      </c>
      <c r="F83" s="14"/>
      <c r="G83" s="15">
        <f t="shared" ref="G83:G107" si="6">C83</f>
        <v>1.25</v>
      </c>
      <c r="H83" s="14"/>
      <c r="I83" s="15">
        <f>I82+G83-H83</f>
        <v>32.957999999999998</v>
      </c>
      <c r="J83" s="22"/>
      <c r="K83" s="23"/>
    </row>
    <row r="84" spans="1:11" ht="12.6" customHeight="1" x14ac:dyDescent="0.2">
      <c r="A84" s="13"/>
      <c r="B84" s="19" t="s">
        <v>1314</v>
      </c>
      <c r="C84" s="15"/>
      <c r="D84" s="14"/>
      <c r="E84" s="15">
        <f t="shared" ref="E84:E107" si="7">E83+C84-D84</f>
        <v>36.352000000000004</v>
      </c>
      <c r="F84" s="14"/>
      <c r="G84" s="15">
        <f t="shared" si="6"/>
        <v>0</v>
      </c>
      <c r="H84" s="14">
        <v>1</v>
      </c>
      <c r="I84" s="15">
        <f t="shared" ref="I84:I107" si="8">I83+G84-H84</f>
        <v>31.957999999999998</v>
      </c>
      <c r="J84" s="14"/>
      <c r="K84" s="13">
        <v>42559</v>
      </c>
    </row>
    <row r="85" spans="1:11" ht="12.6" customHeight="1" x14ac:dyDescent="0.2">
      <c r="A85" s="13">
        <v>42614</v>
      </c>
      <c r="B85" s="19"/>
      <c r="C85" s="15">
        <v>2.5</v>
      </c>
      <c r="D85" s="14"/>
      <c r="E85" s="15">
        <f t="shared" si="7"/>
        <v>38.852000000000004</v>
      </c>
      <c r="F85" s="14"/>
      <c r="G85" s="15">
        <f t="shared" si="6"/>
        <v>2.5</v>
      </c>
      <c r="H85" s="14"/>
      <c r="I85" s="15">
        <f t="shared" si="8"/>
        <v>34.457999999999998</v>
      </c>
      <c r="J85" s="14"/>
      <c r="K85" s="13"/>
    </row>
    <row r="86" spans="1:11" ht="12.6" customHeight="1" x14ac:dyDescent="0.2">
      <c r="A86" s="29"/>
      <c r="B86" s="19" t="s">
        <v>1301</v>
      </c>
      <c r="C86" s="15"/>
      <c r="D86" s="14"/>
      <c r="E86" s="15">
        <f t="shared" si="7"/>
        <v>38.852000000000004</v>
      </c>
      <c r="F86" s="14"/>
      <c r="G86" s="15">
        <f t="shared" si="6"/>
        <v>0</v>
      </c>
      <c r="H86" s="14"/>
      <c r="I86" s="15">
        <f t="shared" si="8"/>
        <v>34.457999999999998</v>
      </c>
      <c r="J86" s="14"/>
      <c r="K86" s="13">
        <v>42636</v>
      </c>
    </row>
    <row r="87" spans="1:11" ht="12.6" customHeight="1" x14ac:dyDescent="0.2">
      <c r="A87" s="13">
        <v>42644</v>
      </c>
      <c r="B87" s="19"/>
      <c r="C87" s="15">
        <v>1.25</v>
      </c>
      <c r="D87" s="14"/>
      <c r="E87" s="15">
        <f t="shared" si="7"/>
        <v>40.102000000000004</v>
      </c>
      <c r="F87" s="14"/>
      <c r="G87" s="15">
        <f t="shared" si="6"/>
        <v>1.25</v>
      </c>
      <c r="H87" s="14"/>
      <c r="I87" s="15">
        <f t="shared" si="8"/>
        <v>35.707999999999998</v>
      </c>
      <c r="J87" s="14"/>
      <c r="K87" s="13"/>
    </row>
    <row r="88" spans="1:11" ht="12.6" customHeight="1" x14ac:dyDescent="0.2">
      <c r="A88" s="13"/>
      <c r="B88" s="17" t="s">
        <v>77</v>
      </c>
      <c r="C88" s="15"/>
      <c r="D88" s="14">
        <v>2</v>
      </c>
      <c r="E88" s="15">
        <f t="shared" si="7"/>
        <v>38.102000000000004</v>
      </c>
      <c r="F88" s="14"/>
      <c r="G88" s="15">
        <f t="shared" si="6"/>
        <v>0</v>
      </c>
      <c r="H88" s="14"/>
      <c r="I88" s="15">
        <f t="shared" si="8"/>
        <v>35.707999999999998</v>
      </c>
      <c r="J88" s="14"/>
      <c r="K88" s="13" t="s">
        <v>1315</v>
      </c>
    </row>
    <row r="89" spans="1:11" ht="12.6" customHeight="1" x14ac:dyDescent="0.2">
      <c r="A89" s="13">
        <v>42705</v>
      </c>
      <c r="B89" s="19"/>
      <c r="C89" s="15">
        <v>2.5</v>
      </c>
      <c r="D89" s="14"/>
      <c r="E89" s="15">
        <f t="shared" si="7"/>
        <v>40.602000000000004</v>
      </c>
      <c r="F89" s="14"/>
      <c r="G89" s="15">
        <f t="shared" si="6"/>
        <v>2.5</v>
      </c>
      <c r="H89" s="14"/>
      <c r="I89" s="15">
        <f t="shared" si="8"/>
        <v>38.207999999999998</v>
      </c>
      <c r="J89" s="14"/>
      <c r="K89" s="16"/>
    </row>
    <row r="90" spans="1:11" ht="12.6" customHeight="1" x14ac:dyDescent="0.2">
      <c r="A90" s="13"/>
      <c r="B90" s="17" t="s">
        <v>77</v>
      </c>
      <c r="C90" s="15"/>
      <c r="D90" s="14">
        <v>2</v>
      </c>
      <c r="E90" s="15">
        <f t="shared" si="7"/>
        <v>38.602000000000004</v>
      </c>
      <c r="F90" s="14"/>
      <c r="G90" s="15">
        <f t="shared" si="6"/>
        <v>0</v>
      </c>
      <c r="H90" s="14"/>
      <c r="I90" s="15">
        <f t="shared" si="8"/>
        <v>38.207999999999998</v>
      </c>
      <c r="J90" s="14"/>
      <c r="K90" s="16" t="s">
        <v>1316</v>
      </c>
    </row>
    <row r="91" spans="1:11" ht="12.6" customHeight="1" x14ac:dyDescent="0.2">
      <c r="A91" s="13">
        <v>42767</v>
      </c>
      <c r="B91" s="17"/>
      <c r="C91" s="15">
        <v>2.5</v>
      </c>
      <c r="D91" s="14"/>
      <c r="E91" s="15">
        <f t="shared" si="7"/>
        <v>41.102000000000004</v>
      </c>
      <c r="F91" s="14"/>
      <c r="G91" s="15">
        <f t="shared" si="6"/>
        <v>2.5</v>
      </c>
      <c r="H91" s="14"/>
      <c r="I91" s="15">
        <f t="shared" si="8"/>
        <v>40.707999999999998</v>
      </c>
      <c r="J91" s="14"/>
      <c r="K91" s="16"/>
    </row>
    <row r="92" spans="1:11" ht="12.6" customHeight="1" x14ac:dyDescent="0.2">
      <c r="A92" s="13"/>
      <c r="B92" s="19" t="s">
        <v>47</v>
      </c>
      <c r="C92" s="15"/>
      <c r="D92" s="14"/>
      <c r="E92" s="15">
        <f t="shared" si="7"/>
        <v>41.102000000000004</v>
      </c>
      <c r="F92" s="14"/>
      <c r="G92" s="15">
        <f t="shared" si="6"/>
        <v>0</v>
      </c>
      <c r="H92" s="14">
        <v>1</v>
      </c>
      <c r="I92" s="15">
        <f t="shared" si="8"/>
        <v>39.707999999999998</v>
      </c>
      <c r="J92" s="14"/>
      <c r="K92" s="13">
        <v>42781</v>
      </c>
    </row>
    <row r="93" spans="1:11" ht="12.6" customHeight="1" x14ac:dyDescent="0.2">
      <c r="A93" s="13">
        <v>42795</v>
      </c>
      <c r="B93" s="17"/>
      <c r="C93" s="15">
        <v>1.25</v>
      </c>
      <c r="D93" s="14"/>
      <c r="E93" s="15">
        <f t="shared" si="7"/>
        <v>42.352000000000004</v>
      </c>
      <c r="F93" s="14"/>
      <c r="G93" s="15">
        <f t="shared" si="6"/>
        <v>1.25</v>
      </c>
      <c r="H93" s="14"/>
      <c r="I93" s="15">
        <f t="shared" si="8"/>
        <v>40.957999999999998</v>
      </c>
      <c r="J93" s="14"/>
      <c r="K93" s="13"/>
    </row>
    <row r="94" spans="1:11" ht="12.6" customHeight="1" x14ac:dyDescent="0.2">
      <c r="A94" s="13"/>
      <c r="B94" s="19" t="s">
        <v>1102</v>
      </c>
      <c r="C94" s="15"/>
      <c r="D94" s="14"/>
      <c r="E94" s="15">
        <f t="shared" si="7"/>
        <v>42.352000000000004</v>
      </c>
      <c r="F94" s="14"/>
      <c r="G94" s="15">
        <f t="shared" si="6"/>
        <v>0</v>
      </c>
      <c r="H94" s="14">
        <v>20</v>
      </c>
      <c r="I94" s="15">
        <f t="shared" si="8"/>
        <v>20.957999999999998</v>
      </c>
      <c r="J94" s="14"/>
      <c r="K94" s="13" t="s">
        <v>1317</v>
      </c>
    </row>
    <row r="95" spans="1:11" ht="12.6" customHeight="1" x14ac:dyDescent="0.2">
      <c r="A95" s="13">
        <v>42826</v>
      </c>
      <c r="B95" s="19"/>
      <c r="C95" s="15">
        <v>1.25</v>
      </c>
      <c r="D95" s="14"/>
      <c r="E95" s="15">
        <f t="shared" si="7"/>
        <v>43.602000000000004</v>
      </c>
      <c r="F95" s="14"/>
      <c r="G95" s="15">
        <f t="shared" si="6"/>
        <v>1.25</v>
      </c>
      <c r="H95" s="14"/>
      <c r="I95" s="15">
        <f t="shared" si="8"/>
        <v>22.207999999999998</v>
      </c>
      <c r="J95" s="14"/>
      <c r="K95" s="13"/>
    </row>
    <row r="96" spans="1:11" ht="12.6" customHeight="1" x14ac:dyDescent="0.2">
      <c r="A96" s="13"/>
      <c r="B96" s="19" t="s">
        <v>77</v>
      </c>
      <c r="C96" s="15"/>
      <c r="D96" s="14">
        <v>2</v>
      </c>
      <c r="E96" s="15">
        <f t="shared" si="7"/>
        <v>41.602000000000004</v>
      </c>
      <c r="F96" s="14"/>
      <c r="G96" s="15">
        <f t="shared" si="6"/>
        <v>0</v>
      </c>
      <c r="H96" s="14"/>
      <c r="I96" s="15">
        <f t="shared" si="8"/>
        <v>22.207999999999998</v>
      </c>
      <c r="J96" s="14"/>
      <c r="K96" s="33" t="s">
        <v>1318</v>
      </c>
    </row>
    <row r="97" spans="1:11" ht="12.6" customHeight="1" x14ac:dyDescent="0.2">
      <c r="A97" s="13">
        <v>42887</v>
      </c>
      <c r="B97" s="19"/>
      <c r="C97" s="15">
        <v>2.5</v>
      </c>
      <c r="D97" s="14"/>
      <c r="E97" s="15">
        <f t="shared" si="7"/>
        <v>44.102000000000004</v>
      </c>
      <c r="F97" s="14"/>
      <c r="G97" s="15">
        <f t="shared" si="6"/>
        <v>2.5</v>
      </c>
      <c r="H97" s="14"/>
      <c r="I97" s="15">
        <f t="shared" si="8"/>
        <v>24.707999999999998</v>
      </c>
      <c r="J97" s="14"/>
      <c r="K97" s="13"/>
    </row>
    <row r="98" spans="1:11" ht="12.6" customHeight="1" x14ac:dyDescent="0.2">
      <c r="A98" s="13"/>
      <c r="B98" s="19" t="s">
        <v>1102</v>
      </c>
      <c r="C98" s="15"/>
      <c r="D98" s="14"/>
      <c r="E98" s="15">
        <f t="shared" si="7"/>
        <v>44.102000000000004</v>
      </c>
      <c r="F98" s="14"/>
      <c r="G98" s="15">
        <f t="shared" si="6"/>
        <v>0</v>
      </c>
      <c r="H98" s="14">
        <v>20</v>
      </c>
      <c r="I98" s="15">
        <f t="shared" si="8"/>
        <v>4.7079999999999984</v>
      </c>
      <c r="J98" s="14"/>
      <c r="K98" s="16" t="s">
        <v>1319</v>
      </c>
    </row>
    <row r="99" spans="1:11" ht="12.6" customHeight="1" x14ac:dyDescent="0.2">
      <c r="A99" s="13">
        <v>42917</v>
      </c>
      <c r="B99" s="19"/>
      <c r="C99" s="15">
        <v>1.25</v>
      </c>
      <c r="D99" s="14"/>
      <c r="E99" s="15">
        <f t="shared" si="7"/>
        <v>45.352000000000004</v>
      </c>
      <c r="F99" s="14"/>
      <c r="G99" s="15">
        <f t="shared" si="6"/>
        <v>1.25</v>
      </c>
      <c r="H99" s="14"/>
      <c r="I99" s="15">
        <f t="shared" si="8"/>
        <v>5.9579999999999984</v>
      </c>
      <c r="J99" s="14"/>
      <c r="K99" s="13"/>
    </row>
    <row r="100" spans="1:11" ht="12.6" customHeight="1" x14ac:dyDescent="0.2">
      <c r="A100" s="13"/>
      <c r="B100" s="19" t="s">
        <v>57</v>
      </c>
      <c r="C100" s="15"/>
      <c r="D100" s="14">
        <v>1</v>
      </c>
      <c r="E100" s="15">
        <f t="shared" si="7"/>
        <v>44.352000000000004</v>
      </c>
      <c r="F100" s="14"/>
      <c r="G100" s="15">
        <f t="shared" si="6"/>
        <v>0</v>
      </c>
      <c r="H100" s="14"/>
      <c r="I100" s="15">
        <f t="shared" si="8"/>
        <v>5.9579999999999984</v>
      </c>
      <c r="J100" s="14"/>
      <c r="K100" s="13">
        <v>42913</v>
      </c>
    </row>
    <row r="101" spans="1:11" ht="12.6" customHeight="1" x14ac:dyDescent="0.2">
      <c r="A101" s="13"/>
      <c r="B101" s="19" t="s">
        <v>67</v>
      </c>
      <c r="C101" s="15"/>
      <c r="D101" s="14"/>
      <c r="E101" s="15">
        <f t="shared" si="7"/>
        <v>44.352000000000004</v>
      </c>
      <c r="F101" s="14"/>
      <c r="G101" s="15">
        <f t="shared" si="6"/>
        <v>0</v>
      </c>
      <c r="H101" s="14">
        <v>3</v>
      </c>
      <c r="I101" s="15">
        <f t="shared" si="8"/>
        <v>2.9579999999999984</v>
      </c>
      <c r="J101" s="14"/>
      <c r="K101" s="13" t="s">
        <v>1320</v>
      </c>
    </row>
    <row r="102" spans="1:11" ht="12.6" customHeight="1" x14ac:dyDescent="0.2">
      <c r="A102" s="13"/>
      <c r="B102" s="19" t="s">
        <v>74</v>
      </c>
      <c r="C102" s="15"/>
      <c r="D102" s="14">
        <v>1</v>
      </c>
      <c r="E102" s="15">
        <f t="shared" si="7"/>
        <v>43.352000000000004</v>
      </c>
      <c r="F102" s="14"/>
      <c r="G102" s="15">
        <f t="shared" si="6"/>
        <v>0</v>
      </c>
      <c r="H102" s="14"/>
      <c r="I102" s="15">
        <f t="shared" si="8"/>
        <v>2.9579999999999984</v>
      </c>
      <c r="J102" s="14"/>
      <c r="K102" s="13">
        <v>42933</v>
      </c>
    </row>
    <row r="103" spans="1:11" ht="12.6" customHeight="1" x14ac:dyDescent="0.2">
      <c r="A103" s="13">
        <v>42979</v>
      </c>
      <c r="B103" s="19"/>
      <c r="C103" s="15">
        <v>2.5</v>
      </c>
      <c r="D103" s="14"/>
      <c r="E103" s="15">
        <f t="shared" si="7"/>
        <v>45.852000000000004</v>
      </c>
      <c r="F103" s="14"/>
      <c r="G103" s="15">
        <f t="shared" si="6"/>
        <v>2.5</v>
      </c>
      <c r="H103" s="14"/>
      <c r="I103" s="15">
        <f t="shared" si="8"/>
        <v>5.4579999999999984</v>
      </c>
      <c r="J103" s="14"/>
      <c r="K103" s="19"/>
    </row>
    <row r="104" spans="1:11" ht="12.6" customHeight="1" x14ac:dyDescent="0.2">
      <c r="A104" s="13"/>
      <c r="B104" s="19" t="s">
        <v>1251</v>
      </c>
      <c r="C104" s="15"/>
      <c r="D104" s="14"/>
      <c r="E104" s="15">
        <f t="shared" si="7"/>
        <v>45.852000000000004</v>
      </c>
      <c r="F104" s="14"/>
      <c r="G104" s="15">
        <f t="shared" si="6"/>
        <v>0</v>
      </c>
      <c r="H104" s="14"/>
      <c r="I104" s="15">
        <f t="shared" si="8"/>
        <v>5.4579999999999984</v>
      </c>
      <c r="J104" s="14"/>
      <c r="K104" s="13" t="s">
        <v>1321</v>
      </c>
    </row>
    <row r="105" spans="1:11" ht="12.6" customHeight="1" x14ac:dyDescent="0.2">
      <c r="A105" s="13">
        <v>43009</v>
      </c>
      <c r="B105" s="19"/>
      <c r="C105" s="15">
        <v>1.25</v>
      </c>
      <c r="D105" s="14"/>
      <c r="E105" s="15">
        <f t="shared" si="7"/>
        <v>47.102000000000004</v>
      </c>
      <c r="F105" s="14"/>
      <c r="G105" s="15">
        <f t="shared" si="6"/>
        <v>1.25</v>
      </c>
      <c r="H105" s="14"/>
      <c r="I105" s="15">
        <f t="shared" si="8"/>
        <v>6.7079999999999984</v>
      </c>
      <c r="J105" s="14"/>
      <c r="K105" s="13"/>
    </row>
    <row r="106" spans="1:11" ht="12.6" customHeight="1" x14ac:dyDescent="0.2">
      <c r="A106" s="13"/>
      <c r="B106" s="19" t="s">
        <v>1301</v>
      </c>
      <c r="C106" s="15"/>
      <c r="D106" s="14"/>
      <c r="E106" s="15">
        <f t="shared" si="7"/>
        <v>47.102000000000004</v>
      </c>
      <c r="F106" s="14"/>
      <c r="G106" s="15">
        <f t="shared" si="6"/>
        <v>0</v>
      </c>
      <c r="H106" s="14"/>
      <c r="I106" s="15">
        <f t="shared" si="8"/>
        <v>6.7079999999999984</v>
      </c>
      <c r="J106" s="14"/>
      <c r="K106" s="13">
        <v>43034</v>
      </c>
    </row>
    <row r="107" spans="1:11" ht="12.6" customHeight="1" x14ac:dyDescent="0.2">
      <c r="A107" s="13"/>
      <c r="B107" s="19" t="s">
        <v>77</v>
      </c>
      <c r="C107" s="15"/>
      <c r="D107" s="14">
        <v>2</v>
      </c>
      <c r="E107" s="15">
        <f t="shared" si="7"/>
        <v>45.102000000000004</v>
      </c>
      <c r="F107" s="14"/>
      <c r="G107" s="15">
        <f t="shared" si="6"/>
        <v>0</v>
      </c>
      <c r="H107" s="14"/>
      <c r="I107" s="15">
        <f t="shared" si="8"/>
        <v>6.7079999999999984</v>
      </c>
      <c r="J107" s="14"/>
      <c r="K107" s="16" t="s">
        <v>1322</v>
      </c>
    </row>
    <row r="108" spans="1:11" ht="12.6" customHeight="1" x14ac:dyDescent="0.2">
      <c r="A108" s="19"/>
      <c r="B108" s="19"/>
      <c r="C108" s="15">
        <f>SUM(C82:C107)</f>
        <v>20</v>
      </c>
      <c r="D108" s="15">
        <f>SUM(D82:D107)</f>
        <v>10</v>
      </c>
      <c r="E108" s="15"/>
      <c r="F108" s="14"/>
      <c r="G108" s="15">
        <f>SUM(G82:G107)</f>
        <v>20</v>
      </c>
      <c r="H108" s="15">
        <f>SUM(H82:H107)</f>
        <v>46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 xml:space="preserve">MENDOZA, LINAFE A. 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>
        <f>K1</f>
        <v>41325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43040</v>
      </c>
      <c r="B117" s="19"/>
      <c r="C117" s="15">
        <v>1.25</v>
      </c>
      <c r="D117" s="14"/>
      <c r="E117" s="15">
        <f>E107+C117-D117</f>
        <v>46.352000000000004</v>
      </c>
      <c r="F117" s="14"/>
      <c r="G117" s="15">
        <f>C117</f>
        <v>1.25</v>
      </c>
      <c r="H117" s="14"/>
      <c r="I117" s="15">
        <f>I107+G117-H117</f>
        <v>7.9579999999999984</v>
      </c>
      <c r="J117" s="14"/>
      <c r="K117" s="13"/>
    </row>
    <row r="118" spans="1:11" ht="12.6" customHeight="1" x14ac:dyDescent="0.2">
      <c r="A118" s="13"/>
      <c r="B118" s="17" t="s">
        <v>47</v>
      </c>
      <c r="C118" s="15"/>
      <c r="D118" s="14"/>
      <c r="E118" s="15">
        <f>E117+C118-D118</f>
        <v>46.352000000000004</v>
      </c>
      <c r="F118" s="14"/>
      <c r="G118" s="15">
        <f t="shared" ref="G118:G142" si="9">C118</f>
        <v>0</v>
      </c>
      <c r="H118" s="14">
        <v>1</v>
      </c>
      <c r="I118" s="15">
        <f>I117+G118-H118</f>
        <v>6.9579999999999984</v>
      </c>
      <c r="J118" s="22"/>
      <c r="K118" s="30">
        <v>43048</v>
      </c>
    </row>
    <row r="119" spans="1:11" ht="12.6" customHeight="1" x14ac:dyDescent="0.2">
      <c r="A119" s="13">
        <v>43101</v>
      </c>
      <c r="B119" s="19"/>
      <c r="C119" s="15">
        <v>2.5</v>
      </c>
      <c r="D119" s="14"/>
      <c r="E119" s="15">
        <f t="shared" ref="E119:E142" si="10">E118+C119-D119</f>
        <v>48.852000000000004</v>
      </c>
      <c r="F119" s="14"/>
      <c r="G119" s="15">
        <f t="shared" si="9"/>
        <v>2.5</v>
      </c>
      <c r="H119" s="14"/>
      <c r="I119" s="15">
        <f t="shared" ref="I119:I142" si="11">I118+G119-H119</f>
        <v>9.4579999999999984</v>
      </c>
      <c r="J119" s="14"/>
      <c r="K119" s="16"/>
    </row>
    <row r="120" spans="1:11" ht="12.6" customHeight="1" x14ac:dyDescent="0.2">
      <c r="A120" s="13"/>
      <c r="B120" s="19" t="s">
        <v>57</v>
      </c>
      <c r="C120" s="15"/>
      <c r="D120" s="14">
        <v>1</v>
      </c>
      <c r="E120" s="15">
        <f t="shared" si="10"/>
        <v>47.852000000000004</v>
      </c>
      <c r="F120" s="14"/>
      <c r="G120" s="15">
        <f t="shared" si="9"/>
        <v>0</v>
      </c>
      <c r="H120" s="14"/>
      <c r="I120" s="15">
        <f t="shared" si="11"/>
        <v>9.4579999999999984</v>
      </c>
      <c r="J120" s="14"/>
      <c r="K120" s="13" t="s">
        <v>734</v>
      </c>
    </row>
    <row r="121" spans="1:11" ht="12.6" customHeight="1" x14ac:dyDescent="0.2">
      <c r="A121" s="29">
        <v>43160</v>
      </c>
      <c r="B121" s="19"/>
      <c r="C121" s="15">
        <v>2.5</v>
      </c>
      <c r="D121" s="14"/>
      <c r="E121" s="15">
        <f t="shared" si="10"/>
        <v>50.352000000000004</v>
      </c>
      <c r="F121" s="14"/>
      <c r="G121" s="15">
        <f t="shared" si="9"/>
        <v>2.5</v>
      </c>
      <c r="H121" s="14"/>
      <c r="I121" s="15">
        <f t="shared" si="11"/>
        <v>11.957999999999998</v>
      </c>
      <c r="J121" s="14"/>
      <c r="K121" s="13"/>
    </row>
    <row r="122" spans="1:11" ht="12.6" customHeight="1" x14ac:dyDescent="0.2">
      <c r="A122" s="13"/>
      <c r="B122" s="19" t="s">
        <v>47</v>
      </c>
      <c r="C122" s="15"/>
      <c r="D122" s="14"/>
      <c r="E122" s="15">
        <f t="shared" si="10"/>
        <v>50.352000000000004</v>
      </c>
      <c r="F122" s="14"/>
      <c r="G122" s="15">
        <f t="shared" si="9"/>
        <v>0</v>
      </c>
      <c r="H122" s="14">
        <v>1</v>
      </c>
      <c r="I122" s="15">
        <f t="shared" si="11"/>
        <v>10.957999999999998</v>
      </c>
      <c r="J122" s="14"/>
      <c r="K122" s="13">
        <v>43164</v>
      </c>
    </row>
    <row r="123" spans="1:11" ht="12.6" customHeight="1" x14ac:dyDescent="0.2">
      <c r="A123" s="13"/>
      <c r="B123" s="17" t="s">
        <v>1269</v>
      </c>
      <c r="C123" s="15"/>
      <c r="D123" s="14"/>
      <c r="E123" s="15">
        <f t="shared" si="10"/>
        <v>50.352000000000004</v>
      </c>
      <c r="F123" s="14"/>
      <c r="G123" s="15">
        <f t="shared" si="9"/>
        <v>0</v>
      </c>
      <c r="H123" s="14"/>
      <c r="I123" s="15">
        <f t="shared" si="11"/>
        <v>10.957999999999998</v>
      </c>
      <c r="J123" s="14"/>
      <c r="K123" s="13">
        <v>43181</v>
      </c>
    </row>
    <row r="124" spans="1:11" ht="12.6" customHeight="1" x14ac:dyDescent="0.2">
      <c r="A124" s="13">
        <v>43313</v>
      </c>
      <c r="B124" s="19"/>
      <c r="C124" s="15">
        <v>6.25</v>
      </c>
      <c r="D124" s="14"/>
      <c r="E124" s="15">
        <f t="shared" si="10"/>
        <v>56.602000000000004</v>
      </c>
      <c r="F124" s="14"/>
      <c r="G124" s="15">
        <f t="shared" si="9"/>
        <v>6.25</v>
      </c>
      <c r="H124" s="14"/>
      <c r="I124" s="15">
        <f t="shared" si="11"/>
        <v>17.207999999999998</v>
      </c>
      <c r="J124" s="14"/>
      <c r="K124" s="16"/>
    </row>
    <row r="125" spans="1:11" ht="12.6" customHeight="1" x14ac:dyDescent="0.2">
      <c r="A125" s="13"/>
      <c r="B125" s="17" t="s">
        <v>47</v>
      </c>
      <c r="C125" s="15"/>
      <c r="D125" s="14"/>
      <c r="E125" s="15">
        <f t="shared" si="10"/>
        <v>56.602000000000004</v>
      </c>
      <c r="F125" s="14"/>
      <c r="G125" s="15">
        <f t="shared" si="9"/>
        <v>0</v>
      </c>
      <c r="H125" s="14">
        <v>1</v>
      </c>
      <c r="I125" s="15">
        <f t="shared" si="11"/>
        <v>16.207999999999998</v>
      </c>
      <c r="J125" s="14"/>
      <c r="K125" s="13">
        <v>43315</v>
      </c>
    </row>
    <row r="126" spans="1:11" ht="12.6" customHeight="1" x14ac:dyDescent="0.2">
      <c r="A126" s="13"/>
      <c r="B126" s="17" t="s">
        <v>1246</v>
      </c>
      <c r="C126" s="15"/>
      <c r="D126" s="14">
        <v>10</v>
      </c>
      <c r="E126" s="15">
        <f t="shared" si="10"/>
        <v>46.602000000000004</v>
      </c>
      <c r="F126" s="14"/>
      <c r="G126" s="15">
        <f t="shared" si="9"/>
        <v>0</v>
      </c>
      <c r="H126" s="14"/>
      <c r="I126" s="15">
        <f t="shared" si="11"/>
        <v>16.207999999999998</v>
      </c>
      <c r="J126" s="14"/>
      <c r="K126" s="71">
        <v>43313</v>
      </c>
    </row>
    <row r="127" spans="1:11" ht="12.6" customHeight="1" x14ac:dyDescent="0.2">
      <c r="A127" s="13">
        <v>43344</v>
      </c>
      <c r="B127" s="19"/>
      <c r="C127" s="15">
        <v>1.25</v>
      </c>
      <c r="D127" s="14"/>
      <c r="E127" s="15">
        <f t="shared" si="10"/>
        <v>47.852000000000004</v>
      </c>
      <c r="F127" s="14"/>
      <c r="G127" s="15">
        <f t="shared" si="9"/>
        <v>1.25</v>
      </c>
      <c r="H127" s="14"/>
      <c r="I127" s="15">
        <f t="shared" si="11"/>
        <v>17.457999999999998</v>
      </c>
      <c r="J127" s="14"/>
      <c r="K127" s="13"/>
    </row>
    <row r="128" spans="1:11" ht="12.6" customHeight="1" x14ac:dyDescent="0.2">
      <c r="A128" s="13"/>
      <c r="B128" s="17" t="s">
        <v>52</v>
      </c>
      <c r="C128" s="15"/>
      <c r="D128" s="14"/>
      <c r="E128" s="15">
        <f t="shared" si="10"/>
        <v>47.852000000000004</v>
      </c>
      <c r="F128" s="14"/>
      <c r="G128" s="15">
        <f t="shared" si="9"/>
        <v>0</v>
      </c>
      <c r="H128" s="14">
        <v>2</v>
      </c>
      <c r="I128" s="15">
        <f t="shared" si="11"/>
        <v>15.457999999999998</v>
      </c>
      <c r="J128" s="14"/>
      <c r="K128" s="13" t="s">
        <v>1323</v>
      </c>
    </row>
    <row r="129" spans="1:11" ht="12.6" customHeight="1" x14ac:dyDescent="0.2">
      <c r="A129" s="13">
        <v>43405</v>
      </c>
      <c r="B129" s="19"/>
      <c r="C129" s="15">
        <v>2.5</v>
      </c>
      <c r="D129" s="14"/>
      <c r="E129" s="15">
        <f t="shared" si="10"/>
        <v>50.352000000000004</v>
      </c>
      <c r="F129" s="14"/>
      <c r="G129" s="15">
        <f t="shared" si="9"/>
        <v>2.5</v>
      </c>
      <c r="H129" s="14"/>
      <c r="I129" s="15">
        <f t="shared" si="11"/>
        <v>17.957999999999998</v>
      </c>
      <c r="J129" s="14"/>
      <c r="K129" s="13"/>
    </row>
    <row r="130" spans="1:11" ht="12.6" customHeight="1" x14ac:dyDescent="0.2">
      <c r="A130" s="13"/>
      <c r="B130" s="19" t="s">
        <v>1269</v>
      </c>
      <c r="C130" s="15"/>
      <c r="D130" s="14"/>
      <c r="E130" s="15">
        <f t="shared" si="10"/>
        <v>50.352000000000004</v>
      </c>
      <c r="F130" s="14"/>
      <c r="G130" s="15">
        <f t="shared" si="9"/>
        <v>0</v>
      </c>
      <c r="H130" s="14"/>
      <c r="I130" s="15">
        <f t="shared" si="11"/>
        <v>17.957999999999998</v>
      </c>
      <c r="J130" s="14"/>
      <c r="K130" s="13">
        <v>43396</v>
      </c>
    </row>
    <row r="131" spans="1:11" ht="12.6" customHeight="1" x14ac:dyDescent="0.2">
      <c r="A131" s="13">
        <v>43435</v>
      </c>
      <c r="B131" s="19"/>
      <c r="C131" s="15">
        <v>1.25</v>
      </c>
      <c r="D131" s="14"/>
      <c r="E131" s="15">
        <f t="shared" si="10"/>
        <v>51.602000000000004</v>
      </c>
      <c r="F131" s="14"/>
      <c r="G131" s="15">
        <f t="shared" si="9"/>
        <v>1.25</v>
      </c>
      <c r="H131" s="14"/>
      <c r="I131" s="15">
        <f t="shared" si="11"/>
        <v>19.207999999999998</v>
      </c>
      <c r="J131" s="14"/>
      <c r="K131" s="33"/>
    </row>
    <row r="132" spans="1:11" ht="12.6" customHeight="1" x14ac:dyDescent="0.2">
      <c r="A132" s="13"/>
      <c r="B132" s="19" t="s">
        <v>1250</v>
      </c>
      <c r="C132" s="15"/>
      <c r="D132" s="14"/>
      <c r="E132" s="15">
        <f t="shared" si="10"/>
        <v>51.602000000000004</v>
      </c>
      <c r="F132" s="14"/>
      <c r="G132" s="15">
        <f t="shared" si="9"/>
        <v>0</v>
      </c>
      <c r="H132" s="14">
        <v>1</v>
      </c>
      <c r="I132" s="15">
        <f t="shared" si="11"/>
        <v>18.207999999999998</v>
      </c>
      <c r="J132" s="14"/>
      <c r="K132" s="13">
        <v>43441</v>
      </c>
    </row>
    <row r="133" spans="1:11" ht="12.6" customHeight="1" x14ac:dyDescent="0.2">
      <c r="A133" s="13"/>
      <c r="B133" s="19" t="s">
        <v>65</v>
      </c>
      <c r="C133" s="15"/>
      <c r="D133" s="14">
        <v>5</v>
      </c>
      <c r="E133" s="15">
        <f t="shared" si="10"/>
        <v>46.602000000000004</v>
      </c>
      <c r="F133" s="14"/>
      <c r="G133" s="15">
        <f t="shared" si="9"/>
        <v>0</v>
      </c>
      <c r="H133" s="14"/>
      <c r="I133" s="15">
        <f t="shared" si="11"/>
        <v>18.207999999999998</v>
      </c>
      <c r="J133" s="14"/>
      <c r="K133" s="16" t="s">
        <v>1326</v>
      </c>
    </row>
    <row r="134" spans="1:11" ht="12.6" customHeight="1" x14ac:dyDescent="0.2">
      <c r="A134" s="13">
        <v>43497</v>
      </c>
      <c r="B134" s="19"/>
      <c r="C134" s="15">
        <v>2.5</v>
      </c>
      <c r="D134" s="14"/>
      <c r="E134" s="15">
        <f t="shared" si="10"/>
        <v>49.102000000000004</v>
      </c>
      <c r="F134" s="14"/>
      <c r="G134" s="15">
        <f t="shared" si="9"/>
        <v>2.5</v>
      </c>
      <c r="H134" s="14"/>
      <c r="I134" s="15">
        <f t="shared" si="11"/>
        <v>20.707999999999998</v>
      </c>
      <c r="J134" s="14"/>
      <c r="K134" s="13"/>
    </row>
    <row r="135" spans="1:11" ht="12.6" customHeight="1" x14ac:dyDescent="0.2">
      <c r="A135" s="13"/>
      <c r="B135" s="19" t="s">
        <v>77</v>
      </c>
      <c r="C135" s="15"/>
      <c r="D135" s="14">
        <v>2</v>
      </c>
      <c r="E135" s="15">
        <f t="shared" si="10"/>
        <v>47.102000000000004</v>
      </c>
      <c r="F135" s="14"/>
      <c r="G135" s="15">
        <f t="shared" si="9"/>
        <v>0</v>
      </c>
      <c r="H135" s="14"/>
      <c r="I135" s="15">
        <f t="shared" si="11"/>
        <v>20.707999999999998</v>
      </c>
      <c r="J135" s="14"/>
      <c r="K135" s="13" t="s">
        <v>1324</v>
      </c>
    </row>
    <row r="136" spans="1:11" ht="12.6" customHeight="1" x14ac:dyDescent="0.2">
      <c r="A136" s="13">
        <v>43525</v>
      </c>
      <c r="B136" s="19"/>
      <c r="C136" s="15">
        <v>1.25</v>
      </c>
      <c r="D136" s="14"/>
      <c r="E136" s="15">
        <f t="shared" si="10"/>
        <v>48.352000000000004</v>
      </c>
      <c r="F136" s="14"/>
      <c r="G136" s="15">
        <f t="shared" si="9"/>
        <v>1.25</v>
      </c>
      <c r="H136" s="14"/>
      <c r="I136" s="15">
        <f t="shared" si="11"/>
        <v>21.957999999999998</v>
      </c>
      <c r="J136" s="14"/>
      <c r="K136" s="13"/>
    </row>
    <row r="137" spans="1:11" ht="12.6" customHeight="1" x14ac:dyDescent="0.2">
      <c r="A137" s="13"/>
      <c r="B137" s="19" t="s">
        <v>1269</v>
      </c>
      <c r="C137" s="15"/>
      <c r="D137" s="14"/>
      <c r="E137" s="15">
        <f t="shared" si="10"/>
        <v>48.352000000000004</v>
      </c>
      <c r="F137" s="14"/>
      <c r="G137" s="15">
        <f t="shared" si="9"/>
        <v>0</v>
      </c>
      <c r="H137" s="14"/>
      <c r="I137" s="15">
        <f t="shared" si="11"/>
        <v>21.957999999999998</v>
      </c>
      <c r="J137" s="14"/>
      <c r="K137" s="13">
        <v>43558</v>
      </c>
    </row>
    <row r="138" spans="1:11" ht="12.6" customHeight="1" x14ac:dyDescent="0.2">
      <c r="A138" s="13">
        <v>43647</v>
      </c>
      <c r="B138" s="19"/>
      <c r="C138" s="15">
        <v>5</v>
      </c>
      <c r="D138" s="14"/>
      <c r="E138" s="15">
        <f t="shared" si="10"/>
        <v>53.352000000000004</v>
      </c>
      <c r="F138" s="14"/>
      <c r="G138" s="15">
        <f t="shared" si="9"/>
        <v>5</v>
      </c>
      <c r="H138" s="14"/>
      <c r="I138" s="15">
        <f t="shared" si="11"/>
        <v>26.957999999999998</v>
      </c>
      <c r="J138" s="14"/>
      <c r="K138" s="19"/>
    </row>
    <row r="139" spans="1:11" ht="12.6" customHeight="1" x14ac:dyDescent="0.2">
      <c r="A139" s="13"/>
      <c r="B139" s="19" t="s">
        <v>47</v>
      </c>
      <c r="C139" s="15"/>
      <c r="D139" s="14"/>
      <c r="E139" s="15">
        <f t="shared" si="10"/>
        <v>53.352000000000004</v>
      </c>
      <c r="F139" s="14"/>
      <c r="G139" s="15">
        <f t="shared" si="9"/>
        <v>0</v>
      </c>
      <c r="H139" s="14">
        <v>1</v>
      </c>
      <c r="I139" s="15">
        <f t="shared" si="11"/>
        <v>25.957999999999998</v>
      </c>
      <c r="J139" s="14"/>
      <c r="K139" s="13">
        <v>43651</v>
      </c>
    </row>
    <row r="140" spans="1:11" ht="12.6" customHeight="1" x14ac:dyDescent="0.2">
      <c r="A140" s="13">
        <v>43678</v>
      </c>
      <c r="B140" s="19"/>
      <c r="C140" s="15">
        <v>1.25</v>
      </c>
      <c r="D140" s="14"/>
      <c r="E140" s="15">
        <f t="shared" si="10"/>
        <v>54.602000000000004</v>
      </c>
      <c r="F140" s="14"/>
      <c r="G140" s="15">
        <f t="shared" si="9"/>
        <v>1.25</v>
      </c>
      <c r="H140" s="14"/>
      <c r="I140" s="15">
        <f t="shared" si="11"/>
        <v>27.207999999999998</v>
      </c>
      <c r="J140" s="14"/>
      <c r="K140" s="13"/>
    </row>
    <row r="141" spans="1:11" ht="12.6" customHeight="1" x14ac:dyDescent="0.2">
      <c r="A141" s="13"/>
      <c r="B141" s="19" t="s">
        <v>76</v>
      </c>
      <c r="C141" s="15"/>
      <c r="D141" s="14">
        <v>2</v>
      </c>
      <c r="E141" s="15">
        <f t="shared" si="10"/>
        <v>52.602000000000004</v>
      </c>
      <c r="F141" s="14"/>
      <c r="G141" s="15">
        <f t="shared" si="9"/>
        <v>0</v>
      </c>
      <c r="H141" s="14"/>
      <c r="I141" s="15">
        <f t="shared" si="11"/>
        <v>27.207999999999998</v>
      </c>
      <c r="J141" s="14"/>
      <c r="K141" s="13" t="s">
        <v>1325</v>
      </c>
    </row>
    <row r="142" spans="1:11" ht="12.6" customHeight="1" x14ac:dyDescent="0.2">
      <c r="A142" s="13">
        <v>43739</v>
      </c>
      <c r="B142" s="19"/>
      <c r="C142" s="15">
        <v>2.5</v>
      </c>
      <c r="D142" s="14"/>
      <c r="E142" s="15">
        <f t="shared" si="10"/>
        <v>55.102000000000004</v>
      </c>
      <c r="F142" s="14"/>
      <c r="G142" s="15">
        <f t="shared" si="9"/>
        <v>2.5</v>
      </c>
      <c r="H142" s="14"/>
      <c r="I142" s="15">
        <f t="shared" si="11"/>
        <v>29.707999999999998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30</v>
      </c>
      <c r="D143" s="15">
        <f>SUM(D117:D142)</f>
        <v>20</v>
      </c>
      <c r="E143" s="15"/>
      <c r="F143" s="14"/>
      <c r="G143" s="15">
        <f>SUM(G117:G142)</f>
        <v>30</v>
      </c>
      <c r="H143" s="15">
        <f>SUM(H117:H142)</f>
        <v>7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 xml:space="preserve">MENDOZA, LINAFE A. 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>
        <f>K1</f>
        <v>41325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1301</v>
      </c>
      <c r="C156" s="15"/>
      <c r="D156" s="14"/>
      <c r="E156" s="15">
        <f>E142+C156-D156</f>
        <v>55.102000000000004</v>
      </c>
      <c r="F156" s="14"/>
      <c r="G156" s="15">
        <f>C156</f>
        <v>0</v>
      </c>
      <c r="H156" s="14"/>
      <c r="I156" s="15">
        <f>I142+G156-H156</f>
        <v>29.707999999999998</v>
      </c>
      <c r="J156" s="14"/>
      <c r="K156" s="13">
        <v>43761</v>
      </c>
    </row>
    <row r="157" spans="1:11" ht="12.6" customHeight="1" x14ac:dyDescent="0.2">
      <c r="A157" s="13"/>
      <c r="B157" s="19" t="s">
        <v>57</v>
      </c>
      <c r="C157" s="15"/>
      <c r="D157" s="14">
        <v>1</v>
      </c>
      <c r="E157" s="15">
        <f>E156+C157-D157</f>
        <v>54.102000000000004</v>
      </c>
      <c r="F157" s="14"/>
      <c r="G157" s="15">
        <f t="shared" ref="G157:G181" si="12">C157</f>
        <v>0</v>
      </c>
      <c r="H157" s="14"/>
      <c r="I157" s="15">
        <f>I156+G157-H157</f>
        <v>29.707999999999998</v>
      </c>
      <c r="J157" s="14"/>
      <c r="K157" s="13">
        <v>43766</v>
      </c>
    </row>
    <row r="158" spans="1:11" ht="12.6" customHeight="1" x14ac:dyDescent="0.2">
      <c r="A158" s="13">
        <v>43800</v>
      </c>
      <c r="B158" s="19"/>
      <c r="C158" s="15">
        <v>2.5</v>
      </c>
      <c r="D158" s="14"/>
      <c r="E158" s="15">
        <f t="shared" ref="E158:E181" si="13">E157+C158-D158</f>
        <v>56.602000000000004</v>
      </c>
      <c r="F158" s="22"/>
      <c r="G158" s="15">
        <f t="shared" si="12"/>
        <v>2.5</v>
      </c>
      <c r="H158" s="34"/>
      <c r="I158" s="15">
        <f t="shared" ref="I158:I181" si="14">I157+G158-H158</f>
        <v>32.207999999999998</v>
      </c>
      <c r="J158" s="14"/>
      <c r="K158" s="13"/>
    </row>
    <row r="159" spans="1:11" ht="12.6" customHeight="1" x14ac:dyDescent="0.2">
      <c r="A159" s="13"/>
      <c r="B159" s="19" t="s">
        <v>1301</v>
      </c>
      <c r="C159" s="15"/>
      <c r="D159" s="14"/>
      <c r="E159" s="15">
        <f t="shared" si="13"/>
        <v>56.602000000000004</v>
      </c>
      <c r="F159" s="14"/>
      <c r="G159" s="15">
        <f t="shared" si="12"/>
        <v>0</v>
      </c>
      <c r="H159" s="34"/>
      <c r="I159" s="15">
        <f t="shared" si="14"/>
        <v>32.207999999999998</v>
      </c>
      <c r="J159" s="14"/>
      <c r="K159" s="13">
        <v>43819</v>
      </c>
    </row>
    <row r="160" spans="1:11" ht="12.6" customHeight="1" x14ac:dyDescent="0.2">
      <c r="A160" s="13">
        <v>43831</v>
      </c>
      <c r="B160" s="19"/>
      <c r="C160" s="15">
        <v>1.25</v>
      </c>
      <c r="D160" s="14"/>
      <c r="E160" s="15">
        <f t="shared" si="13"/>
        <v>57.852000000000004</v>
      </c>
      <c r="F160" s="14"/>
      <c r="G160" s="15">
        <f t="shared" si="12"/>
        <v>1.25</v>
      </c>
      <c r="H160" s="34"/>
      <c r="I160" s="15">
        <f t="shared" si="14"/>
        <v>33.457999999999998</v>
      </c>
      <c r="J160" s="14"/>
      <c r="K160" s="16"/>
    </row>
    <row r="161" spans="1:11" ht="12.6" customHeight="1" x14ac:dyDescent="0.2">
      <c r="A161" s="13"/>
      <c r="B161" s="19" t="s">
        <v>47</v>
      </c>
      <c r="C161" s="15"/>
      <c r="D161" s="14"/>
      <c r="E161" s="15">
        <f t="shared" si="13"/>
        <v>57.852000000000004</v>
      </c>
      <c r="F161" s="14"/>
      <c r="G161" s="15">
        <f t="shared" si="12"/>
        <v>0</v>
      </c>
      <c r="H161" s="34">
        <v>1</v>
      </c>
      <c r="I161" s="15">
        <f t="shared" si="14"/>
        <v>32.457999999999998</v>
      </c>
      <c r="J161" s="14"/>
      <c r="K161" s="13">
        <v>43825</v>
      </c>
    </row>
    <row r="162" spans="1:11" ht="12.6" customHeight="1" x14ac:dyDescent="0.2">
      <c r="A162" s="13"/>
      <c r="B162" s="19" t="s">
        <v>52</v>
      </c>
      <c r="C162" s="15"/>
      <c r="D162" s="14"/>
      <c r="E162" s="15">
        <f t="shared" si="13"/>
        <v>57.852000000000004</v>
      </c>
      <c r="F162" s="14"/>
      <c r="G162" s="15">
        <f t="shared" si="12"/>
        <v>0</v>
      </c>
      <c r="H162" s="34">
        <v>2</v>
      </c>
      <c r="I162" s="15">
        <f t="shared" si="14"/>
        <v>30.457999999999998</v>
      </c>
      <c r="J162" s="14"/>
      <c r="K162" s="16" t="s">
        <v>1327</v>
      </c>
    </row>
    <row r="163" spans="1:11" ht="12.6" customHeight="1" x14ac:dyDescent="0.2">
      <c r="A163" s="13">
        <v>44105</v>
      </c>
      <c r="B163" s="19"/>
      <c r="C163" s="15">
        <v>11.25</v>
      </c>
      <c r="D163" s="22"/>
      <c r="E163" s="15">
        <f t="shared" si="13"/>
        <v>69.102000000000004</v>
      </c>
      <c r="F163" s="22"/>
      <c r="G163" s="15">
        <f t="shared" si="12"/>
        <v>11.25</v>
      </c>
      <c r="H163" s="14"/>
      <c r="I163" s="15">
        <f t="shared" si="14"/>
        <v>41.707999999999998</v>
      </c>
      <c r="J163" s="14"/>
      <c r="K163" s="13"/>
    </row>
    <row r="164" spans="1:11" ht="12.6" customHeight="1" x14ac:dyDescent="0.2">
      <c r="A164" s="13"/>
      <c r="B164" s="19" t="s">
        <v>271</v>
      </c>
      <c r="C164" s="15"/>
      <c r="D164" s="22"/>
      <c r="E164" s="15">
        <f t="shared" si="13"/>
        <v>69.102000000000004</v>
      </c>
      <c r="F164" s="14"/>
      <c r="G164" s="15">
        <f t="shared" si="12"/>
        <v>0</v>
      </c>
      <c r="H164" s="34">
        <v>5</v>
      </c>
      <c r="I164" s="15">
        <f t="shared" si="14"/>
        <v>36.707999999999998</v>
      </c>
      <c r="J164" s="14"/>
      <c r="K164" s="13" t="s">
        <v>1328</v>
      </c>
    </row>
    <row r="165" spans="1:11" ht="12.6" customHeight="1" x14ac:dyDescent="0.2">
      <c r="A165" s="13">
        <v>44166</v>
      </c>
      <c r="B165" s="19"/>
      <c r="C165" s="15">
        <v>2.5</v>
      </c>
      <c r="D165" s="14"/>
      <c r="E165" s="15">
        <f t="shared" si="13"/>
        <v>71.602000000000004</v>
      </c>
      <c r="F165" s="14"/>
      <c r="G165" s="15">
        <f t="shared" si="12"/>
        <v>2.5</v>
      </c>
      <c r="H165" s="34"/>
      <c r="I165" s="15">
        <f t="shared" si="14"/>
        <v>39.207999999999998</v>
      </c>
      <c r="J165" s="14"/>
      <c r="K165" s="13"/>
    </row>
    <row r="166" spans="1:11" ht="12.6" customHeight="1" x14ac:dyDescent="0.2">
      <c r="A166" s="13"/>
      <c r="B166" s="19" t="s">
        <v>1330</v>
      </c>
      <c r="C166" s="15"/>
      <c r="D166" s="14"/>
      <c r="E166" s="15">
        <f t="shared" si="13"/>
        <v>71.602000000000004</v>
      </c>
      <c r="F166" s="22"/>
      <c r="G166" s="15">
        <f t="shared" si="12"/>
        <v>0</v>
      </c>
      <c r="H166" s="34"/>
      <c r="I166" s="15">
        <f t="shared" si="14"/>
        <v>39.207999999999998</v>
      </c>
      <c r="J166" s="14"/>
      <c r="K166" s="13" t="s">
        <v>1329</v>
      </c>
    </row>
    <row r="167" spans="1:11" ht="12.6" customHeight="1" x14ac:dyDescent="0.2">
      <c r="A167" s="13">
        <v>44228</v>
      </c>
      <c r="B167" s="19"/>
      <c r="C167" s="15">
        <v>2.5</v>
      </c>
      <c r="D167" s="14"/>
      <c r="E167" s="15">
        <f t="shared" si="13"/>
        <v>74.102000000000004</v>
      </c>
      <c r="F167" s="22"/>
      <c r="G167" s="15">
        <f t="shared" si="12"/>
        <v>2.5</v>
      </c>
      <c r="H167" s="35"/>
      <c r="I167" s="15">
        <f t="shared" si="14"/>
        <v>41.707999999999998</v>
      </c>
      <c r="J167" s="14"/>
      <c r="K167" s="16"/>
    </row>
    <row r="168" spans="1:11" ht="12.6" customHeight="1" x14ac:dyDescent="0.2">
      <c r="A168" s="13"/>
      <c r="B168" s="19" t="s">
        <v>47</v>
      </c>
      <c r="C168" s="15"/>
      <c r="D168" s="14"/>
      <c r="E168" s="15">
        <f t="shared" si="13"/>
        <v>74.102000000000004</v>
      </c>
      <c r="F168" s="14"/>
      <c r="G168" s="15">
        <f t="shared" si="12"/>
        <v>0</v>
      </c>
      <c r="H168" s="32">
        <v>1</v>
      </c>
      <c r="I168" s="15">
        <f t="shared" si="14"/>
        <v>40.707999999999998</v>
      </c>
      <c r="J168" s="14"/>
      <c r="K168" s="13">
        <v>44253</v>
      </c>
    </row>
    <row r="169" spans="1:11" ht="12.6" customHeight="1" x14ac:dyDescent="0.2">
      <c r="A169" s="13">
        <v>44287</v>
      </c>
      <c r="B169" s="19"/>
      <c r="C169" s="15">
        <v>2.5</v>
      </c>
      <c r="D169" s="14"/>
      <c r="E169" s="15">
        <f t="shared" si="13"/>
        <v>76.602000000000004</v>
      </c>
      <c r="F169" s="22"/>
      <c r="G169" s="15">
        <f t="shared" si="12"/>
        <v>2.5</v>
      </c>
      <c r="H169" s="34"/>
      <c r="I169" s="15">
        <f t="shared" si="14"/>
        <v>43.207999999999998</v>
      </c>
      <c r="J169" s="14"/>
      <c r="K169" s="13"/>
    </row>
    <row r="170" spans="1:11" ht="12.6" customHeight="1" x14ac:dyDescent="0.2">
      <c r="A170" s="13"/>
      <c r="B170" s="19" t="s">
        <v>1301</v>
      </c>
      <c r="C170" s="15"/>
      <c r="D170" s="14"/>
      <c r="E170" s="15">
        <f t="shared" si="13"/>
        <v>76.602000000000004</v>
      </c>
      <c r="F170" s="14"/>
      <c r="G170" s="15">
        <f t="shared" si="12"/>
        <v>0</v>
      </c>
      <c r="H170" s="14"/>
      <c r="I170" s="15">
        <f t="shared" si="14"/>
        <v>43.207999999999998</v>
      </c>
      <c r="J170" s="14"/>
      <c r="K170" s="13">
        <v>44308</v>
      </c>
    </row>
    <row r="171" spans="1:11" ht="12.6" customHeight="1" x14ac:dyDescent="0.2">
      <c r="A171" s="13">
        <v>44409</v>
      </c>
      <c r="B171" s="19"/>
      <c r="C171" s="15">
        <v>5</v>
      </c>
      <c r="D171" s="14"/>
      <c r="E171" s="15">
        <f t="shared" si="13"/>
        <v>81.602000000000004</v>
      </c>
      <c r="F171" s="14"/>
      <c r="G171" s="15">
        <f t="shared" si="12"/>
        <v>5</v>
      </c>
      <c r="H171" s="34"/>
      <c r="I171" s="15">
        <f t="shared" si="14"/>
        <v>48.207999999999998</v>
      </c>
      <c r="J171" s="14"/>
      <c r="K171" s="16"/>
    </row>
    <row r="172" spans="1:11" ht="12.6" customHeight="1" x14ac:dyDescent="0.2">
      <c r="A172" s="13"/>
      <c r="B172" s="19" t="s">
        <v>52</v>
      </c>
      <c r="C172" s="15"/>
      <c r="D172" s="14"/>
      <c r="E172" s="15">
        <f t="shared" si="13"/>
        <v>81.602000000000004</v>
      </c>
      <c r="F172" s="14"/>
      <c r="G172" s="15">
        <f t="shared" si="12"/>
        <v>0</v>
      </c>
      <c r="H172" s="34">
        <v>2</v>
      </c>
      <c r="I172" s="15">
        <f t="shared" si="14"/>
        <v>46.207999999999998</v>
      </c>
      <c r="J172" s="14"/>
      <c r="K172" s="13" t="s">
        <v>1331</v>
      </c>
    </row>
    <row r="173" spans="1:11" ht="12.6" customHeight="1" x14ac:dyDescent="0.2">
      <c r="A173" s="13">
        <v>44531</v>
      </c>
      <c r="B173" s="19"/>
      <c r="C173" s="15">
        <v>5</v>
      </c>
      <c r="D173" s="14"/>
      <c r="E173" s="15">
        <f t="shared" si="13"/>
        <v>86.602000000000004</v>
      </c>
      <c r="F173" s="14"/>
      <c r="G173" s="15">
        <f t="shared" si="12"/>
        <v>5</v>
      </c>
      <c r="H173" s="35"/>
      <c r="I173" s="15">
        <f t="shared" si="14"/>
        <v>51.207999999999998</v>
      </c>
      <c r="J173" s="14"/>
      <c r="K173" s="13"/>
    </row>
    <row r="174" spans="1:11" ht="12.6" customHeight="1" x14ac:dyDescent="0.2">
      <c r="A174" s="13"/>
      <c r="B174" s="19" t="s">
        <v>1330</v>
      </c>
      <c r="C174" s="15"/>
      <c r="D174" s="14"/>
      <c r="E174" s="15">
        <f t="shared" si="13"/>
        <v>86.602000000000004</v>
      </c>
      <c r="F174" s="22"/>
      <c r="G174" s="15">
        <f t="shared" si="12"/>
        <v>0</v>
      </c>
      <c r="H174" s="14"/>
      <c r="I174" s="15">
        <f t="shared" si="14"/>
        <v>51.207999999999998</v>
      </c>
      <c r="J174" s="14"/>
      <c r="K174" s="13" t="s">
        <v>1332</v>
      </c>
    </row>
    <row r="175" spans="1:11" ht="12.6" customHeight="1" x14ac:dyDescent="0.2">
      <c r="A175" s="13"/>
      <c r="B175" s="19" t="s">
        <v>1251</v>
      </c>
      <c r="C175" s="15"/>
      <c r="D175" s="14"/>
      <c r="E175" s="15">
        <f t="shared" si="13"/>
        <v>86.602000000000004</v>
      </c>
      <c r="F175" s="22"/>
      <c r="G175" s="15">
        <f t="shared" si="12"/>
        <v>0</v>
      </c>
      <c r="H175" s="34"/>
      <c r="I175" s="15">
        <f t="shared" si="14"/>
        <v>51.207999999999998</v>
      </c>
      <c r="J175" s="14"/>
      <c r="K175" s="13" t="s">
        <v>1333</v>
      </c>
    </row>
    <row r="176" spans="1:11" ht="12.6" customHeight="1" x14ac:dyDescent="0.2">
      <c r="A176" s="13">
        <v>44593</v>
      </c>
      <c r="B176" s="19"/>
      <c r="C176" s="15">
        <v>2.5</v>
      </c>
      <c r="D176" s="14"/>
      <c r="E176" s="15">
        <f t="shared" si="13"/>
        <v>89.102000000000004</v>
      </c>
      <c r="F176" s="14"/>
      <c r="G176" s="15">
        <f t="shared" si="12"/>
        <v>2.5</v>
      </c>
      <c r="H176" s="32"/>
      <c r="I176" s="15">
        <f t="shared" si="14"/>
        <v>53.707999999999998</v>
      </c>
      <c r="J176" s="14"/>
      <c r="K176" s="16"/>
    </row>
    <row r="177" spans="1:11" ht="12.6" customHeight="1" x14ac:dyDescent="0.2">
      <c r="A177" s="13"/>
      <c r="B177" s="19"/>
      <c r="C177" s="15"/>
      <c r="D177" s="14">
        <v>2.7E-2</v>
      </c>
      <c r="E177" s="15">
        <f t="shared" si="13"/>
        <v>89.075000000000003</v>
      </c>
      <c r="F177" s="14"/>
      <c r="G177" s="15">
        <f t="shared" si="12"/>
        <v>0</v>
      </c>
      <c r="H177" s="34"/>
      <c r="I177" s="15">
        <f t="shared" si="14"/>
        <v>53.707999999999998</v>
      </c>
      <c r="J177" s="14"/>
      <c r="K177" s="16" t="s">
        <v>1335</v>
      </c>
    </row>
    <row r="178" spans="1:11" ht="12.6" customHeight="1" x14ac:dyDescent="0.2">
      <c r="A178" s="13">
        <v>44621</v>
      </c>
      <c r="B178" s="19"/>
      <c r="C178" s="15">
        <v>1.25</v>
      </c>
      <c r="D178" s="14"/>
      <c r="E178" s="15">
        <f t="shared" si="13"/>
        <v>90.325000000000003</v>
      </c>
      <c r="F178" s="14"/>
      <c r="G178" s="15">
        <f t="shared" si="12"/>
        <v>1.25</v>
      </c>
      <c r="H178" s="34"/>
      <c r="I178" s="15">
        <f t="shared" si="14"/>
        <v>54.957999999999998</v>
      </c>
      <c r="J178" s="14"/>
      <c r="K178" s="13"/>
    </row>
    <row r="179" spans="1:11" ht="12.6" customHeight="1" x14ac:dyDescent="0.2">
      <c r="A179" s="13"/>
      <c r="B179" s="19"/>
      <c r="C179" s="15"/>
      <c r="D179" s="14">
        <v>0.502</v>
      </c>
      <c r="E179" s="15">
        <f t="shared" si="13"/>
        <v>89.823000000000008</v>
      </c>
      <c r="F179" s="14"/>
      <c r="G179" s="15">
        <f t="shared" si="12"/>
        <v>0</v>
      </c>
      <c r="H179" s="34"/>
      <c r="I179" s="15">
        <f t="shared" si="14"/>
        <v>54.957999999999998</v>
      </c>
      <c r="J179" s="14"/>
      <c r="K179" s="16" t="s">
        <v>1334</v>
      </c>
    </row>
    <row r="180" spans="1:11" ht="12.6" customHeight="1" x14ac:dyDescent="0.2">
      <c r="A180" s="13"/>
      <c r="B180" s="19" t="s">
        <v>45</v>
      </c>
      <c r="C180" s="15"/>
      <c r="D180" s="14"/>
      <c r="E180" s="15">
        <f t="shared" si="13"/>
        <v>89.823000000000008</v>
      </c>
      <c r="F180" s="14"/>
      <c r="G180" s="15">
        <f t="shared" si="12"/>
        <v>0</v>
      </c>
      <c r="H180" s="34"/>
      <c r="I180" s="15">
        <f t="shared" si="14"/>
        <v>54.957999999999998</v>
      </c>
      <c r="J180" s="14"/>
      <c r="K180" s="13">
        <v>44662</v>
      </c>
    </row>
    <row r="181" spans="1:11" ht="12.6" customHeight="1" x14ac:dyDescent="0.2">
      <c r="A181" s="13">
        <v>44713</v>
      </c>
      <c r="B181" s="19"/>
      <c r="C181" s="15">
        <v>3.7</v>
      </c>
      <c r="D181" s="14"/>
      <c r="E181" s="15">
        <f t="shared" si="13"/>
        <v>93.52300000000001</v>
      </c>
      <c r="F181" s="14"/>
      <c r="G181" s="15">
        <f t="shared" si="12"/>
        <v>3.7</v>
      </c>
      <c r="H181" s="34"/>
      <c r="I181" s="15">
        <f t="shared" si="14"/>
        <v>58.658000000000001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39.950000000000003</v>
      </c>
      <c r="D182" s="15">
        <f>SUM(D156:D181)</f>
        <v>1.5289999999999999</v>
      </c>
      <c r="E182" s="36"/>
      <c r="F182" s="37"/>
      <c r="G182" s="15">
        <f>SUM(G156:G181)</f>
        <v>39.950000000000003</v>
      </c>
      <c r="H182" s="15">
        <f>SUM(H156:H181)</f>
        <v>11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 xml:space="preserve">MENDOZA, LINAFE A. 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>
        <f>K1</f>
        <v>41325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 t="s">
        <v>45</v>
      </c>
      <c r="C191" s="15"/>
      <c r="D191" s="14"/>
      <c r="E191" s="15">
        <f>E181+C191-D191</f>
        <v>93.52300000000001</v>
      </c>
      <c r="F191" s="14"/>
      <c r="G191" s="15">
        <f>C191</f>
        <v>0</v>
      </c>
      <c r="H191" s="34"/>
      <c r="I191" s="15">
        <f>I181+G191-H191</f>
        <v>58.658000000000001</v>
      </c>
      <c r="J191" s="14"/>
      <c r="K191" s="13">
        <v>44740</v>
      </c>
    </row>
    <row r="192" spans="1:11" ht="12.6" customHeight="1" x14ac:dyDescent="0.2">
      <c r="A192" s="13">
        <v>44774</v>
      </c>
      <c r="B192" s="19"/>
      <c r="C192" s="15">
        <v>2.5</v>
      </c>
      <c r="D192" s="14"/>
      <c r="E192" s="15">
        <f>E191+C192-D192</f>
        <v>96.02300000000001</v>
      </c>
      <c r="F192" s="14"/>
      <c r="G192" s="15">
        <f t="shared" ref="G192:G216" si="15">C192</f>
        <v>2.5</v>
      </c>
      <c r="H192" s="34"/>
      <c r="I192" s="15">
        <f>I191+G192-H192</f>
        <v>61.158000000000001</v>
      </c>
      <c r="J192" s="14"/>
      <c r="K192" s="13"/>
    </row>
    <row r="193" spans="1:11" ht="12.6" customHeight="1" x14ac:dyDescent="0.2">
      <c r="A193" s="13"/>
      <c r="B193" s="19" t="s">
        <v>1336</v>
      </c>
      <c r="C193" s="15"/>
      <c r="D193" s="14"/>
      <c r="E193" s="15">
        <f t="shared" ref="E193:E216" si="16">E192+C193-D193</f>
        <v>96.02300000000001</v>
      </c>
      <c r="F193" s="22"/>
      <c r="G193" s="15">
        <f t="shared" si="15"/>
        <v>0</v>
      </c>
      <c r="H193" s="34">
        <v>7</v>
      </c>
      <c r="I193" s="15">
        <f t="shared" ref="I193:I216" si="17">I192+G193-H193</f>
        <v>54.158000000000001</v>
      </c>
      <c r="J193" s="14"/>
      <c r="K193" s="38" t="s">
        <v>1337</v>
      </c>
    </row>
    <row r="194" spans="1:11" ht="12.6" customHeight="1" x14ac:dyDescent="0.2">
      <c r="A194" s="13">
        <v>44896</v>
      </c>
      <c r="B194" s="19"/>
      <c r="C194" s="15">
        <v>5</v>
      </c>
      <c r="D194" s="14"/>
      <c r="E194" s="15">
        <f t="shared" si="16"/>
        <v>101.02300000000001</v>
      </c>
      <c r="F194" s="14"/>
      <c r="G194" s="15">
        <f t="shared" si="15"/>
        <v>5</v>
      </c>
      <c r="H194" s="34"/>
      <c r="I194" s="15">
        <f t="shared" si="17"/>
        <v>59.158000000000001</v>
      </c>
      <c r="J194" s="14"/>
      <c r="K194" s="13"/>
    </row>
    <row r="195" spans="1:11" ht="12.6" customHeight="1" x14ac:dyDescent="0.2">
      <c r="A195" s="13"/>
      <c r="B195" s="19" t="s">
        <v>65</v>
      </c>
      <c r="C195" s="15"/>
      <c r="D195" s="14">
        <v>5</v>
      </c>
      <c r="E195" s="15">
        <f t="shared" si="16"/>
        <v>96.02300000000001</v>
      </c>
      <c r="F195" s="14"/>
      <c r="G195" s="15">
        <f t="shared" si="15"/>
        <v>0</v>
      </c>
      <c r="H195" s="34"/>
      <c r="I195" s="15">
        <f t="shared" si="17"/>
        <v>59.158000000000001</v>
      </c>
      <c r="J195" s="14"/>
      <c r="K195" s="13" t="s">
        <v>1338</v>
      </c>
    </row>
    <row r="196" spans="1:11" ht="12.6" customHeight="1" x14ac:dyDescent="0.2">
      <c r="A196" s="13">
        <v>44927</v>
      </c>
      <c r="B196" s="19"/>
      <c r="C196" s="15">
        <v>1.25</v>
      </c>
      <c r="D196" s="14"/>
      <c r="E196" s="15">
        <f t="shared" si="16"/>
        <v>97.27300000000001</v>
      </c>
      <c r="F196" s="14"/>
      <c r="G196" s="15">
        <f t="shared" si="15"/>
        <v>1.25</v>
      </c>
      <c r="H196" s="34"/>
      <c r="I196" s="15">
        <f t="shared" si="17"/>
        <v>60.408000000000001</v>
      </c>
      <c r="J196" s="14"/>
      <c r="K196" s="13"/>
    </row>
    <row r="197" spans="1:11" ht="12.6" customHeight="1" x14ac:dyDescent="0.2">
      <c r="A197" s="13"/>
      <c r="B197" s="19" t="s">
        <v>47</v>
      </c>
      <c r="C197" s="15"/>
      <c r="D197" s="14"/>
      <c r="E197" s="15">
        <f t="shared" si="16"/>
        <v>97.27300000000001</v>
      </c>
      <c r="F197" s="14"/>
      <c r="G197" s="15">
        <f t="shared" si="15"/>
        <v>0</v>
      </c>
      <c r="H197" s="34">
        <v>1</v>
      </c>
      <c r="I197" s="15">
        <f t="shared" si="17"/>
        <v>59.408000000000001</v>
      </c>
      <c r="J197" s="14"/>
      <c r="K197" s="13">
        <v>44932</v>
      </c>
    </row>
    <row r="198" spans="1:11" ht="12.6" customHeight="1" x14ac:dyDescent="0.2">
      <c r="A198" s="13">
        <v>44958</v>
      </c>
      <c r="B198" s="19"/>
      <c r="C198" s="15">
        <v>1.25</v>
      </c>
      <c r="D198" s="22"/>
      <c r="E198" s="15">
        <f t="shared" si="16"/>
        <v>98.52300000000001</v>
      </c>
      <c r="F198" s="22"/>
      <c r="G198" s="15">
        <f t="shared" si="15"/>
        <v>1.25</v>
      </c>
      <c r="H198" s="34"/>
      <c r="I198" s="15">
        <f t="shared" si="17"/>
        <v>60.658000000000001</v>
      </c>
      <c r="J198" s="14"/>
      <c r="K198" s="16"/>
    </row>
    <row r="199" spans="1:11" ht="12.6" customHeight="1" x14ac:dyDescent="0.2">
      <c r="A199" s="13"/>
      <c r="B199" s="19" t="s">
        <v>52</v>
      </c>
      <c r="C199" s="15"/>
      <c r="D199" s="22"/>
      <c r="E199" s="15">
        <f t="shared" si="16"/>
        <v>98.52300000000001</v>
      </c>
      <c r="F199" s="14"/>
      <c r="G199" s="15">
        <f t="shared" si="15"/>
        <v>0</v>
      </c>
      <c r="H199" s="34">
        <v>2</v>
      </c>
      <c r="I199" s="15">
        <f t="shared" si="17"/>
        <v>58.658000000000001</v>
      </c>
      <c r="J199" s="14"/>
      <c r="K199" s="16" t="s">
        <v>1339</v>
      </c>
    </row>
    <row r="200" spans="1:11" ht="12.6" customHeight="1" x14ac:dyDescent="0.2">
      <c r="A200" s="13">
        <v>44986</v>
      </c>
      <c r="B200" s="19"/>
      <c r="C200" s="15">
        <v>1.25</v>
      </c>
      <c r="D200" s="14"/>
      <c r="E200" s="15">
        <f t="shared" si="16"/>
        <v>99.77300000000001</v>
      </c>
      <c r="F200" s="14"/>
      <c r="G200" s="15">
        <f t="shared" si="15"/>
        <v>1.25</v>
      </c>
      <c r="H200" s="34"/>
      <c r="I200" s="15">
        <f t="shared" si="17"/>
        <v>59.908000000000001</v>
      </c>
      <c r="J200" s="14"/>
      <c r="K200" s="13"/>
    </row>
    <row r="201" spans="1:11" ht="12.6" customHeight="1" x14ac:dyDescent="0.2">
      <c r="A201" s="13"/>
      <c r="B201" s="19" t="s">
        <v>1250</v>
      </c>
      <c r="C201" s="15"/>
      <c r="D201" s="22"/>
      <c r="E201" s="15">
        <f t="shared" si="16"/>
        <v>99.77300000000001</v>
      </c>
      <c r="F201" s="22"/>
      <c r="G201" s="15">
        <f t="shared" si="15"/>
        <v>0</v>
      </c>
      <c r="H201" s="34">
        <v>1</v>
      </c>
      <c r="I201" s="15">
        <f t="shared" si="17"/>
        <v>58.908000000000001</v>
      </c>
      <c r="J201" s="14"/>
      <c r="K201" s="13">
        <v>44987</v>
      </c>
    </row>
    <row r="202" spans="1:11" ht="12.6" customHeight="1" x14ac:dyDescent="0.2">
      <c r="A202" s="13">
        <v>45017</v>
      </c>
      <c r="B202" s="19"/>
      <c r="C202" s="15">
        <v>1.25</v>
      </c>
      <c r="D202" s="14"/>
      <c r="E202" s="15">
        <f t="shared" si="16"/>
        <v>101.02300000000001</v>
      </c>
      <c r="F202" s="22"/>
      <c r="G202" s="15">
        <f t="shared" si="15"/>
        <v>1.25</v>
      </c>
      <c r="H202" s="34"/>
      <c r="I202" s="15">
        <f t="shared" si="17"/>
        <v>60.158000000000001</v>
      </c>
      <c r="J202" s="14"/>
      <c r="K202" s="13"/>
    </row>
    <row r="203" spans="1:11" ht="12.6" customHeight="1" x14ac:dyDescent="0.2">
      <c r="A203" s="13"/>
      <c r="B203" s="19" t="s">
        <v>81</v>
      </c>
      <c r="C203" s="15"/>
      <c r="D203" s="14"/>
      <c r="E203" s="15">
        <f t="shared" si="16"/>
        <v>101.02300000000001</v>
      </c>
      <c r="F203" s="14"/>
      <c r="G203" s="15">
        <f t="shared" si="15"/>
        <v>0</v>
      </c>
      <c r="H203" s="34"/>
      <c r="I203" s="15">
        <f t="shared" si="17"/>
        <v>60.158000000000001</v>
      </c>
      <c r="J203" s="14"/>
      <c r="K203" s="13">
        <v>45009</v>
      </c>
    </row>
    <row r="204" spans="1:11" ht="12.6" customHeight="1" x14ac:dyDescent="0.2">
      <c r="A204" s="13"/>
      <c r="B204" s="19" t="s">
        <v>95</v>
      </c>
      <c r="C204" s="15"/>
      <c r="D204" s="14">
        <v>3</v>
      </c>
      <c r="E204" s="15">
        <f t="shared" si="16"/>
        <v>98.02300000000001</v>
      </c>
      <c r="F204" s="22"/>
      <c r="G204" s="15">
        <f t="shared" si="15"/>
        <v>0</v>
      </c>
      <c r="H204" s="34"/>
      <c r="I204" s="15">
        <f t="shared" si="17"/>
        <v>60.158000000000001</v>
      </c>
      <c r="J204" s="14"/>
      <c r="K204" s="13" t="s">
        <v>1340</v>
      </c>
    </row>
    <row r="205" spans="1:11" ht="12.6" customHeight="1" x14ac:dyDescent="0.2">
      <c r="A205" s="13">
        <v>45108</v>
      </c>
      <c r="B205" s="19"/>
      <c r="C205" s="91">
        <v>3.75</v>
      </c>
      <c r="D205" s="14"/>
      <c r="E205" s="15">
        <f t="shared" si="16"/>
        <v>101.77300000000001</v>
      </c>
      <c r="F205" s="14"/>
      <c r="G205" s="15">
        <f t="shared" si="15"/>
        <v>3.75</v>
      </c>
      <c r="H205" s="34"/>
      <c r="I205" s="15">
        <f t="shared" si="17"/>
        <v>63.908000000000001</v>
      </c>
      <c r="J205" s="14"/>
      <c r="K205" s="16"/>
    </row>
    <row r="206" spans="1:11" ht="12.6" customHeight="1" x14ac:dyDescent="0.2">
      <c r="A206" s="13"/>
      <c r="B206" s="19" t="s">
        <v>1341</v>
      </c>
      <c r="C206" s="15"/>
      <c r="D206" s="22"/>
      <c r="E206" s="15">
        <f t="shared" si="16"/>
        <v>101.77300000000001</v>
      </c>
      <c r="F206" s="14"/>
      <c r="G206" s="15">
        <f t="shared" si="15"/>
        <v>0</v>
      </c>
      <c r="H206" s="34"/>
      <c r="I206" s="15">
        <f t="shared" si="17"/>
        <v>63.908000000000001</v>
      </c>
      <c r="J206" s="14"/>
      <c r="K206" s="13">
        <v>45118</v>
      </c>
    </row>
    <row r="207" spans="1:11" ht="12.6" customHeight="1" x14ac:dyDescent="0.2">
      <c r="A207" s="13">
        <v>45139</v>
      </c>
      <c r="B207" s="19"/>
      <c r="C207" s="15">
        <v>1.25</v>
      </c>
      <c r="D207" s="22"/>
      <c r="E207" s="15">
        <f t="shared" si="16"/>
        <v>103.02300000000001</v>
      </c>
      <c r="F207" s="14"/>
      <c r="G207" s="15">
        <f t="shared" si="15"/>
        <v>1.25</v>
      </c>
      <c r="H207" s="34"/>
      <c r="I207" s="15">
        <f t="shared" si="17"/>
        <v>65.158000000000001</v>
      </c>
      <c r="J207" s="14"/>
      <c r="K207" s="13"/>
    </row>
    <row r="208" spans="1:11" ht="12.6" customHeight="1" x14ac:dyDescent="0.2">
      <c r="A208" s="13"/>
      <c r="B208" s="19" t="s">
        <v>1341</v>
      </c>
      <c r="C208" s="15"/>
      <c r="D208" s="14"/>
      <c r="E208" s="15">
        <f t="shared" si="16"/>
        <v>103.02300000000001</v>
      </c>
      <c r="F208" s="14"/>
      <c r="G208" s="15">
        <f t="shared" si="15"/>
        <v>0</v>
      </c>
      <c r="H208" s="34"/>
      <c r="I208" s="15">
        <f t="shared" si="17"/>
        <v>65.158000000000001</v>
      </c>
      <c r="J208" s="14"/>
      <c r="K208" s="13">
        <v>45161</v>
      </c>
    </row>
    <row r="209" spans="1:11" ht="12.6" customHeight="1" x14ac:dyDescent="0.2">
      <c r="A209" s="13">
        <v>45170</v>
      </c>
      <c r="B209" s="19"/>
      <c r="C209" s="15">
        <v>1.25</v>
      </c>
      <c r="D209" s="14"/>
      <c r="E209" s="15">
        <f t="shared" si="16"/>
        <v>104.27300000000001</v>
      </c>
      <c r="F209" s="22"/>
      <c r="G209" s="15">
        <f t="shared" si="15"/>
        <v>1.25</v>
      </c>
      <c r="H209" s="34"/>
      <c r="I209" s="15">
        <f t="shared" si="17"/>
        <v>66.408000000000001</v>
      </c>
      <c r="J209" s="14"/>
      <c r="K209" s="16"/>
    </row>
    <row r="210" spans="1:11" ht="12.6" customHeight="1" x14ac:dyDescent="0.2">
      <c r="A210" s="13"/>
      <c r="B210" s="19" t="s">
        <v>1250</v>
      </c>
      <c r="C210" s="15"/>
      <c r="D210" s="14"/>
      <c r="E210" s="15">
        <f t="shared" si="16"/>
        <v>104.27300000000001</v>
      </c>
      <c r="F210" s="22"/>
      <c r="G210" s="15">
        <f t="shared" si="15"/>
        <v>0</v>
      </c>
      <c r="H210" s="34">
        <v>1</v>
      </c>
      <c r="I210" s="15">
        <f t="shared" si="17"/>
        <v>65.408000000000001</v>
      </c>
      <c r="J210" s="14"/>
      <c r="K210" s="13" t="s">
        <v>1342</v>
      </c>
    </row>
    <row r="211" spans="1:11" ht="12.6" customHeight="1" x14ac:dyDescent="0.2">
      <c r="A211" s="13">
        <v>45200</v>
      </c>
      <c r="B211" s="19"/>
      <c r="C211" s="15">
        <v>1.25</v>
      </c>
      <c r="D211" s="14"/>
      <c r="E211" s="15">
        <f t="shared" si="16"/>
        <v>105.52300000000001</v>
      </c>
      <c r="F211" s="14"/>
      <c r="G211" s="15">
        <f t="shared" si="15"/>
        <v>1.25</v>
      </c>
      <c r="H211" s="34"/>
      <c r="I211" s="15">
        <f t="shared" si="17"/>
        <v>66.658000000000001</v>
      </c>
      <c r="J211" s="14"/>
      <c r="K211" s="16"/>
    </row>
    <row r="212" spans="1:11" ht="12.6" customHeight="1" x14ac:dyDescent="0.2">
      <c r="A212" s="13"/>
      <c r="B212" s="19" t="s">
        <v>1250</v>
      </c>
      <c r="C212" s="15"/>
      <c r="D212" s="14"/>
      <c r="E212" s="15">
        <f t="shared" si="16"/>
        <v>105.52300000000001</v>
      </c>
      <c r="F212" s="14"/>
      <c r="G212" s="15">
        <f t="shared" si="15"/>
        <v>0</v>
      </c>
      <c r="H212" s="34">
        <v>1</v>
      </c>
      <c r="I212" s="15">
        <f t="shared" si="17"/>
        <v>65.658000000000001</v>
      </c>
      <c r="J212" s="14"/>
      <c r="K212" s="13">
        <v>45201</v>
      </c>
    </row>
    <row r="213" spans="1:11" ht="12.6" customHeight="1" x14ac:dyDescent="0.2">
      <c r="A213" s="13"/>
      <c r="B213" s="19" t="s">
        <v>76</v>
      </c>
      <c r="C213" s="15"/>
      <c r="D213" s="14">
        <v>2</v>
      </c>
      <c r="E213" s="15">
        <f t="shared" si="16"/>
        <v>103.52300000000001</v>
      </c>
      <c r="F213" s="14"/>
      <c r="G213" s="15">
        <f t="shared" si="15"/>
        <v>0</v>
      </c>
      <c r="H213" s="34"/>
      <c r="I213" s="15">
        <f t="shared" si="17"/>
        <v>65.658000000000001</v>
      </c>
      <c r="J213" s="14"/>
      <c r="K213" s="13" t="s">
        <v>1343</v>
      </c>
    </row>
    <row r="214" spans="1:11" ht="12.6" customHeight="1" x14ac:dyDescent="0.2">
      <c r="A214" s="13">
        <v>45231</v>
      </c>
      <c r="B214" s="19"/>
      <c r="C214" s="15">
        <v>1.25</v>
      </c>
      <c r="D214" s="14"/>
      <c r="E214" s="15">
        <f t="shared" si="16"/>
        <v>104.77300000000001</v>
      </c>
      <c r="F214" s="14"/>
      <c r="G214" s="15">
        <f t="shared" si="15"/>
        <v>1.25</v>
      </c>
      <c r="H214" s="14"/>
      <c r="I214" s="15">
        <f t="shared" si="17"/>
        <v>66.908000000000001</v>
      </c>
      <c r="J214" s="14"/>
      <c r="K214" s="16"/>
    </row>
    <row r="215" spans="1:11" ht="12.6" customHeight="1" x14ac:dyDescent="0.2">
      <c r="A215" s="13"/>
      <c r="B215" s="19" t="s">
        <v>95</v>
      </c>
      <c r="C215" s="15"/>
      <c r="D215" s="14">
        <v>3</v>
      </c>
      <c r="E215" s="15">
        <f t="shared" si="16"/>
        <v>101.77300000000001</v>
      </c>
      <c r="F215" s="14"/>
      <c r="G215" s="15">
        <f t="shared" si="15"/>
        <v>0</v>
      </c>
      <c r="H215" s="14"/>
      <c r="I215" s="15">
        <f t="shared" si="17"/>
        <v>66.908000000000001</v>
      </c>
      <c r="J215" s="14"/>
      <c r="K215" s="13" t="s">
        <v>1344</v>
      </c>
    </row>
    <row r="216" spans="1:11" ht="12.6" customHeight="1" x14ac:dyDescent="0.2">
      <c r="A216" s="13">
        <v>45261</v>
      </c>
      <c r="B216" s="19"/>
      <c r="C216" s="15">
        <v>1.25</v>
      </c>
      <c r="D216" s="14"/>
      <c r="E216" s="15">
        <f t="shared" si="16"/>
        <v>103.02300000000001</v>
      </c>
      <c r="F216" s="14"/>
      <c r="G216" s="15">
        <f t="shared" si="15"/>
        <v>1.25</v>
      </c>
      <c r="H216" s="14"/>
      <c r="I216" s="15">
        <f t="shared" si="17"/>
        <v>68.158000000000001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22.5</v>
      </c>
      <c r="D217" s="15">
        <f>SUM(D191:D216)</f>
        <v>13</v>
      </c>
      <c r="E217" s="36"/>
      <c r="F217" s="39"/>
      <c r="G217" s="15">
        <f>SUM(G191:G216)</f>
        <v>22.5</v>
      </c>
      <c r="H217" s="15">
        <f>SUM(H191:H216)</f>
        <v>13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 xml:space="preserve">MENDOZA, LINAFE A. 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>
        <f>K1</f>
        <v>41325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 t="s">
        <v>1345</v>
      </c>
      <c r="C230" s="15"/>
      <c r="D230" s="14"/>
      <c r="E230" s="15">
        <f>E216+C230-D230</f>
        <v>103.02300000000001</v>
      </c>
      <c r="F230" s="14"/>
      <c r="G230" s="15">
        <f>C230</f>
        <v>0</v>
      </c>
      <c r="H230" s="14">
        <v>2</v>
      </c>
      <c r="I230" s="15">
        <f>I216+G230-H230</f>
        <v>66.158000000000001</v>
      </c>
      <c r="J230" s="14"/>
      <c r="K230" s="16" t="s">
        <v>1346</v>
      </c>
    </row>
    <row r="231" spans="1:11" ht="12.6" customHeight="1" x14ac:dyDescent="0.2">
      <c r="A231" s="13">
        <v>45323</v>
      </c>
      <c r="B231" s="19"/>
      <c r="C231" s="15">
        <v>2.5</v>
      </c>
      <c r="D231" s="14"/>
      <c r="E231" s="15">
        <f>E230+C231-D231</f>
        <v>105.52300000000001</v>
      </c>
      <c r="F231" s="14"/>
      <c r="G231" s="15">
        <f t="shared" ref="G231:G255" si="18">C231</f>
        <v>2.5</v>
      </c>
      <c r="H231" s="14"/>
      <c r="I231" s="15">
        <f>I230+G231-H231</f>
        <v>68.658000000000001</v>
      </c>
      <c r="J231" s="14"/>
      <c r="K231" s="13"/>
    </row>
    <row r="232" spans="1:11" ht="12.6" customHeight="1" x14ac:dyDescent="0.2">
      <c r="A232" s="13"/>
      <c r="B232" s="19" t="s">
        <v>1347</v>
      </c>
      <c r="C232" s="15"/>
      <c r="D232" s="14">
        <v>0.09</v>
      </c>
      <c r="E232" s="15">
        <f t="shared" ref="E232:E255" si="19">E231+C232-D232</f>
        <v>105.43300000000001</v>
      </c>
      <c r="F232" s="14"/>
      <c r="G232" s="15">
        <f t="shared" si="18"/>
        <v>0</v>
      </c>
      <c r="H232" s="14"/>
      <c r="I232" s="15">
        <f t="shared" ref="I232:I255" si="20">I231+G232-H232</f>
        <v>68.658000000000001</v>
      </c>
      <c r="J232" s="14"/>
      <c r="K232" s="13">
        <v>45261</v>
      </c>
    </row>
    <row r="233" spans="1:11" ht="12.6" customHeight="1" x14ac:dyDescent="0.2">
      <c r="A233" s="13">
        <v>45352</v>
      </c>
      <c r="B233" s="19"/>
      <c r="C233" s="15">
        <v>1.25</v>
      </c>
      <c r="D233" s="14"/>
      <c r="E233" s="15">
        <f t="shared" si="19"/>
        <v>106.68300000000001</v>
      </c>
      <c r="F233" s="14"/>
      <c r="G233" s="15">
        <f t="shared" si="18"/>
        <v>1.25</v>
      </c>
      <c r="H233" s="14"/>
      <c r="I233" s="15">
        <f t="shared" si="20"/>
        <v>69.908000000000001</v>
      </c>
      <c r="J233" s="14"/>
      <c r="K233" s="16"/>
    </row>
    <row r="234" spans="1:11" ht="12.6" customHeight="1" x14ac:dyDescent="0.2">
      <c r="A234" s="13"/>
      <c r="B234" s="19" t="s">
        <v>45</v>
      </c>
      <c r="C234" s="15"/>
      <c r="D234" s="14"/>
      <c r="E234" s="15">
        <f t="shared" si="19"/>
        <v>106.68300000000001</v>
      </c>
      <c r="F234" s="14"/>
      <c r="G234" s="15">
        <f t="shared" si="18"/>
        <v>0</v>
      </c>
      <c r="H234" s="14"/>
      <c r="I234" s="15">
        <f t="shared" si="20"/>
        <v>69.908000000000001</v>
      </c>
      <c r="J234" s="14"/>
      <c r="K234" s="13">
        <v>45373</v>
      </c>
    </row>
    <row r="235" spans="1:11" ht="12.6" customHeight="1" x14ac:dyDescent="0.2">
      <c r="A235" s="13">
        <v>45413</v>
      </c>
      <c r="B235" s="19"/>
      <c r="C235" s="15">
        <v>2.5</v>
      </c>
      <c r="D235" s="14"/>
      <c r="E235" s="15">
        <f t="shared" si="19"/>
        <v>109.18300000000001</v>
      </c>
      <c r="F235" s="14"/>
      <c r="G235" s="15">
        <f t="shared" si="18"/>
        <v>2.5</v>
      </c>
      <c r="H235" s="14"/>
      <c r="I235" s="15">
        <f t="shared" si="20"/>
        <v>72.408000000000001</v>
      </c>
      <c r="J235" s="14"/>
      <c r="K235" s="16"/>
    </row>
    <row r="236" spans="1:11" ht="12.6" customHeight="1" x14ac:dyDescent="0.2">
      <c r="A236" s="13"/>
      <c r="B236" s="19" t="s">
        <v>45</v>
      </c>
      <c r="C236" s="15"/>
      <c r="D236" s="14"/>
      <c r="E236" s="15">
        <f t="shared" si="19"/>
        <v>109.18300000000001</v>
      </c>
      <c r="F236" s="14"/>
      <c r="G236" s="15">
        <f t="shared" si="18"/>
        <v>0</v>
      </c>
      <c r="H236" s="14"/>
      <c r="I236" s="15">
        <f t="shared" si="20"/>
        <v>72.408000000000001</v>
      </c>
      <c r="J236" s="14"/>
      <c r="K236" s="13">
        <v>45442</v>
      </c>
    </row>
    <row r="237" spans="1:11" ht="12.6" customHeight="1" x14ac:dyDescent="0.2">
      <c r="A237" s="13">
        <v>45474</v>
      </c>
      <c r="B237" s="19"/>
      <c r="C237" s="15">
        <v>2.5</v>
      </c>
      <c r="D237" s="14"/>
      <c r="E237" s="15">
        <f t="shared" si="19"/>
        <v>111.68300000000001</v>
      </c>
      <c r="F237" s="14"/>
      <c r="G237" s="15">
        <f t="shared" si="18"/>
        <v>2.5</v>
      </c>
      <c r="H237" s="14"/>
      <c r="I237" s="15">
        <f t="shared" si="20"/>
        <v>74.908000000000001</v>
      </c>
      <c r="J237" s="14"/>
      <c r="K237" s="13"/>
    </row>
    <row r="238" spans="1:11" ht="12.6" customHeight="1" x14ac:dyDescent="0.2">
      <c r="A238" s="13"/>
      <c r="B238" s="19" t="s">
        <v>45</v>
      </c>
      <c r="C238" s="15"/>
      <c r="D238" s="14"/>
      <c r="E238" s="15">
        <f t="shared" si="19"/>
        <v>111.68300000000001</v>
      </c>
      <c r="F238" s="14"/>
      <c r="G238" s="15">
        <f t="shared" si="18"/>
        <v>0</v>
      </c>
      <c r="H238" s="14"/>
      <c r="I238" s="15">
        <f t="shared" si="20"/>
        <v>74.908000000000001</v>
      </c>
      <c r="J238" s="14"/>
      <c r="K238" s="13">
        <v>45488</v>
      </c>
    </row>
    <row r="239" spans="1:11" ht="12.6" customHeight="1" x14ac:dyDescent="0.2">
      <c r="A239" s="13">
        <v>45536</v>
      </c>
      <c r="B239" s="19"/>
      <c r="C239" s="15">
        <v>2.5</v>
      </c>
      <c r="D239" s="14"/>
      <c r="E239" s="15">
        <f t="shared" si="19"/>
        <v>114.18300000000001</v>
      </c>
      <c r="F239" s="14"/>
      <c r="G239" s="15">
        <f t="shared" si="18"/>
        <v>2.5</v>
      </c>
      <c r="H239" s="14"/>
      <c r="I239" s="15">
        <f t="shared" si="20"/>
        <v>77.408000000000001</v>
      </c>
      <c r="J239" s="14"/>
      <c r="K239" s="13"/>
    </row>
    <row r="240" spans="1:11" ht="12.6" customHeight="1" x14ac:dyDescent="0.2">
      <c r="A240" s="13"/>
      <c r="B240" s="19" t="s">
        <v>74</v>
      </c>
      <c r="C240" s="15"/>
      <c r="D240" s="14">
        <v>1</v>
      </c>
      <c r="E240" s="15">
        <f t="shared" si="19"/>
        <v>113.18300000000001</v>
      </c>
      <c r="F240" s="14"/>
      <c r="G240" s="15">
        <f t="shared" si="18"/>
        <v>0</v>
      </c>
      <c r="H240" s="14"/>
      <c r="I240" s="15">
        <f t="shared" si="20"/>
        <v>77.408000000000001</v>
      </c>
      <c r="J240" s="14"/>
      <c r="K240" s="13">
        <v>45559</v>
      </c>
    </row>
    <row r="241" spans="1:11" ht="12.6" customHeight="1" x14ac:dyDescent="0.2">
      <c r="A241" s="13">
        <v>45627</v>
      </c>
      <c r="B241" s="19"/>
      <c r="C241" s="15">
        <v>3.75</v>
      </c>
      <c r="D241" s="14"/>
      <c r="E241" s="15">
        <f t="shared" si="19"/>
        <v>116.93300000000001</v>
      </c>
      <c r="F241" s="14"/>
      <c r="G241" s="15">
        <f t="shared" si="18"/>
        <v>3.75</v>
      </c>
      <c r="H241" s="14"/>
      <c r="I241" s="15">
        <f t="shared" si="20"/>
        <v>81.158000000000001</v>
      </c>
      <c r="J241" s="14"/>
      <c r="K241" s="13"/>
    </row>
    <row r="242" spans="1:11" ht="12.6" customHeight="1" x14ac:dyDescent="0.2">
      <c r="A242" s="13"/>
      <c r="B242" s="19" t="s">
        <v>195</v>
      </c>
      <c r="C242" s="15"/>
      <c r="D242" s="14"/>
      <c r="E242" s="15">
        <f t="shared" si="19"/>
        <v>116.93300000000001</v>
      </c>
      <c r="F242" s="14"/>
      <c r="G242" s="15">
        <f t="shared" si="18"/>
        <v>0</v>
      </c>
      <c r="H242" s="14"/>
      <c r="I242" s="15">
        <f t="shared" si="20"/>
        <v>81.158000000000001</v>
      </c>
      <c r="J242" s="14"/>
      <c r="K242" s="13" t="s">
        <v>1348</v>
      </c>
    </row>
    <row r="243" spans="1:11" ht="12.6" customHeight="1" x14ac:dyDescent="0.2">
      <c r="A243" s="13">
        <v>45748</v>
      </c>
      <c r="B243" s="19"/>
      <c r="C243" s="15">
        <v>5</v>
      </c>
      <c r="D243" s="14"/>
      <c r="E243" s="15">
        <f t="shared" si="19"/>
        <v>121.93300000000001</v>
      </c>
      <c r="F243" s="14"/>
      <c r="G243" s="15">
        <f t="shared" si="18"/>
        <v>5</v>
      </c>
      <c r="H243" s="14"/>
      <c r="I243" s="15">
        <f t="shared" si="20"/>
        <v>86.158000000000001</v>
      </c>
      <c r="J243" s="14"/>
      <c r="K243" s="13"/>
    </row>
    <row r="244" spans="1:11" ht="12.6" customHeight="1" x14ac:dyDescent="0.2">
      <c r="A244" s="13"/>
      <c r="B244" s="19" t="s">
        <v>45</v>
      </c>
      <c r="C244" s="15"/>
      <c r="D244" s="14"/>
      <c r="E244" s="15">
        <f t="shared" si="19"/>
        <v>121.93300000000001</v>
      </c>
      <c r="F244" s="14"/>
      <c r="G244" s="15">
        <f t="shared" si="18"/>
        <v>0</v>
      </c>
      <c r="H244" s="14"/>
      <c r="I244" s="15">
        <f t="shared" si="20"/>
        <v>86.158000000000001</v>
      </c>
      <c r="J244" s="14"/>
      <c r="K244" s="13">
        <v>45762</v>
      </c>
    </row>
    <row r="245" spans="1:11" ht="12.6" customHeight="1" x14ac:dyDescent="0.2">
      <c r="A245" s="13">
        <v>45901</v>
      </c>
      <c r="B245" s="19"/>
      <c r="C245" s="15">
        <v>6.25</v>
      </c>
      <c r="D245" s="14"/>
      <c r="E245" s="15">
        <f t="shared" si="19"/>
        <v>128.18299999999999</v>
      </c>
      <c r="F245" s="14"/>
      <c r="G245" s="15">
        <f t="shared" si="18"/>
        <v>6.25</v>
      </c>
      <c r="H245" s="14"/>
      <c r="I245" s="15">
        <f t="shared" si="20"/>
        <v>92.408000000000001</v>
      </c>
      <c r="J245" s="14"/>
      <c r="K245" s="13"/>
    </row>
    <row r="246" spans="1:11" ht="12.6" customHeight="1" x14ac:dyDescent="0.2">
      <c r="A246" s="16"/>
      <c r="B246" s="19" t="s">
        <v>1301</v>
      </c>
      <c r="C246" s="15"/>
      <c r="D246" s="14"/>
      <c r="E246" s="15">
        <f t="shared" si="19"/>
        <v>128.18299999999999</v>
      </c>
      <c r="F246" s="14"/>
      <c r="G246" s="15">
        <f t="shared" si="18"/>
        <v>0</v>
      </c>
      <c r="H246" s="14"/>
      <c r="I246" s="15">
        <f t="shared" si="20"/>
        <v>92.408000000000001</v>
      </c>
      <c r="J246" s="14"/>
      <c r="K246" s="13">
        <v>45923</v>
      </c>
    </row>
    <row r="247" spans="1:11" ht="12.6" customHeight="1" x14ac:dyDescent="0.2">
      <c r="A247" s="13">
        <v>45931</v>
      </c>
      <c r="B247" s="19"/>
      <c r="C247" s="15">
        <v>1.25</v>
      </c>
      <c r="D247" s="15"/>
      <c r="E247" s="15">
        <f t="shared" si="19"/>
        <v>129.43299999999999</v>
      </c>
      <c r="F247" s="14"/>
      <c r="G247" s="15">
        <f t="shared" si="18"/>
        <v>1.25</v>
      </c>
      <c r="H247" s="14"/>
      <c r="I247" s="15">
        <f t="shared" si="20"/>
        <v>93.658000000000001</v>
      </c>
      <c r="J247" s="14"/>
      <c r="K247" s="13"/>
    </row>
    <row r="248" spans="1:11" ht="12.6" customHeight="1" x14ac:dyDescent="0.2">
      <c r="A248" s="13"/>
      <c r="B248" s="19" t="s">
        <v>1301</v>
      </c>
      <c r="C248" s="15"/>
      <c r="D248" s="14"/>
      <c r="E248" s="15">
        <f t="shared" si="19"/>
        <v>129.43299999999999</v>
      </c>
      <c r="F248" s="14"/>
      <c r="G248" s="15">
        <f t="shared" si="18"/>
        <v>0</v>
      </c>
      <c r="H248" s="14"/>
      <c r="I248" s="15">
        <f t="shared" si="20"/>
        <v>93.658000000000001</v>
      </c>
      <c r="J248" s="14"/>
      <c r="K248" s="13">
        <v>45938</v>
      </c>
    </row>
    <row r="249" spans="1:11" ht="12.6" customHeight="1" x14ac:dyDescent="0.2">
      <c r="A249" s="13">
        <v>45992</v>
      </c>
      <c r="B249" s="19"/>
      <c r="C249" s="15">
        <v>2.5</v>
      </c>
      <c r="D249" s="15"/>
      <c r="E249" s="15">
        <f t="shared" si="19"/>
        <v>131.93299999999999</v>
      </c>
      <c r="F249" s="14"/>
      <c r="G249" s="15">
        <f t="shared" si="18"/>
        <v>2.5</v>
      </c>
      <c r="H249" s="14"/>
      <c r="I249" s="15">
        <f t="shared" si="20"/>
        <v>96.158000000000001</v>
      </c>
      <c r="J249" s="14"/>
      <c r="K249" s="13"/>
    </row>
    <row r="250" spans="1:11" ht="12.6" customHeight="1" x14ac:dyDescent="0.2">
      <c r="A250" s="13"/>
      <c r="B250" s="19" t="s">
        <v>195</v>
      </c>
      <c r="C250" s="15"/>
      <c r="D250" s="14"/>
      <c r="E250" s="15">
        <f t="shared" si="19"/>
        <v>131.93299999999999</v>
      </c>
      <c r="F250" s="14"/>
      <c r="G250" s="15">
        <f t="shared" si="18"/>
        <v>0</v>
      </c>
      <c r="H250" s="14"/>
      <c r="I250" s="15">
        <f t="shared" si="20"/>
        <v>96.158000000000001</v>
      </c>
      <c r="J250" s="14"/>
      <c r="K250" s="16" t="s">
        <v>985</v>
      </c>
    </row>
    <row r="251" spans="1:11" ht="12.6" customHeight="1" x14ac:dyDescent="0.2">
      <c r="A251" s="13">
        <v>46023</v>
      </c>
      <c r="B251" s="19"/>
      <c r="C251" s="15">
        <v>1.25</v>
      </c>
      <c r="D251" s="14"/>
      <c r="E251" s="15">
        <f t="shared" si="19"/>
        <v>133.18299999999999</v>
      </c>
      <c r="F251" s="14"/>
      <c r="G251" s="15">
        <f t="shared" si="18"/>
        <v>1.25</v>
      </c>
      <c r="H251" s="14"/>
      <c r="I251" s="15">
        <f t="shared" si="20"/>
        <v>97.408000000000001</v>
      </c>
      <c r="J251" s="14"/>
      <c r="K251" s="13"/>
    </row>
    <row r="252" spans="1:11" ht="12.6" customHeight="1" x14ac:dyDescent="0.2">
      <c r="A252" s="13"/>
      <c r="B252" s="19" t="s">
        <v>47</v>
      </c>
      <c r="C252" s="15"/>
      <c r="D252" s="14"/>
      <c r="E252" s="15">
        <f t="shared" si="19"/>
        <v>133.18299999999999</v>
      </c>
      <c r="F252" s="14"/>
      <c r="G252" s="15">
        <f t="shared" si="18"/>
        <v>0</v>
      </c>
      <c r="H252" s="14">
        <v>1</v>
      </c>
      <c r="I252" s="15">
        <f t="shared" si="20"/>
        <v>96.408000000000001</v>
      </c>
      <c r="J252" s="14"/>
      <c r="K252" s="13">
        <v>46028</v>
      </c>
    </row>
    <row r="253" spans="1:11" ht="12.6" customHeight="1" x14ac:dyDescent="0.2">
      <c r="A253" s="13"/>
      <c r="B253" s="19" t="s">
        <v>1349</v>
      </c>
      <c r="C253" s="15"/>
      <c r="D253" s="14"/>
      <c r="E253" s="15">
        <f t="shared" si="19"/>
        <v>133.18299999999999</v>
      </c>
      <c r="F253" s="14"/>
      <c r="G253" s="15">
        <f t="shared" si="18"/>
        <v>0</v>
      </c>
      <c r="H253" s="14"/>
      <c r="I253" s="15">
        <f t="shared" si="20"/>
        <v>96.408000000000001</v>
      </c>
      <c r="J253" s="14"/>
      <c r="K253" s="13">
        <v>46055</v>
      </c>
    </row>
    <row r="254" spans="1:11" ht="12.6" customHeight="1" x14ac:dyDescent="0.2">
      <c r="A254" s="13">
        <v>46055</v>
      </c>
      <c r="B254" s="19"/>
      <c r="C254" s="15">
        <v>1.25</v>
      </c>
      <c r="D254" s="14"/>
      <c r="E254" s="15">
        <f t="shared" si="19"/>
        <v>134.43299999999999</v>
      </c>
      <c r="F254" s="14"/>
      <c r="G254" s="15">
        <f t="shared" si="18"/>
        <v>1.25</v>
      </c>
      <c r="H254" s="14"/>
      <c r="I254" s="15">
        <f t="shared" si="20"/>
        <v>97.658000000000001</v>
      </c>
      <c r="J254" s="14"/>
      <c r="K254" s="16"/>
    </row>
    <row r="255" spans="1:11" ht="12.6" customHeight="1" x14ac:dyDescent="0.2">
      <c r="A255" s="13"/>
      <c r="B255" s="19" t="s">
        <v>1349</v>
      </c>
      <c r="C255" s="15"/>
      <c r="D255" s="14"/>
      <c r="E255" s="15">
        <f t="shared" si="19"/>
        <v>134.43299999999999</v>
      </c>
      <c r="F255" s="14"/>
      <c r="G255" s="15">
        <f t="shared" si="18"/>
        <v>0</v>
      </c>
      <c r="H255" s="14"/>
      <c r="I255" s="15">
        <f t="shared" si="20"/>
        <v>97.658000000000001</v>
      </c>
      <c r="J255" s="14"/>
      <c r="K255" s="13">
        <v>46064</v>
      </c>
    </row>
    <row r="256" spans="1:11" ht="12.6" customHeight="1" x14ac:dyDescent="0.2">
      <c r="A256" s="19"/>
      <c r="B256" s="19"/>
      <c r="C256" s="36">
        <f>SUM(C230:C255)</f>
        <v>32.5</v>
      </c>
      <c r="D256" s="36">
        <f>SUM(D230:D255)</f>
        <v>1.0900000000000001</v>
      </c>
      <c r="E256" s="36"/>
      <c r="F256" s="37"/>
      <c r="G256" s="36">
        <f>SUM(G230:G255)</f>
        <v>32.5</v>
      </c>
      <c r="H256" s="36">
        <f>SUM(H230:H255)</f>
        <v>3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 xml:space="preserve">MENDOZA, LINAFE A. 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>
        <f>K1</f>
        <v>41325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>
        <v>46113</v>
      </c>
      <c r="B265" s="19"/>
      <c r="C265" s="15">
        <v>2.5</v>
      </c>
      <c r="D265" s="14"/>
      <c r="E265" s="15">
        <f>E255+C265-D265</f>
        <v>136.93299999999999</v>
      </c>
      <c r="F265" s="14"/>
      <c r="G265" s="15">
        <f>C265</f>
        <v>2.5</v>
      </c>
      <c r="H265" s="14"/>
      <c r="I265" s="15">
        <f>I255+G265-H265</f>
        <v>100.158</v>
      </c>
      <c r="J265" s="14"/>
      <c r="K265" s="16"/>
    </row>
    <row r="266" spans="1:11" ht="12.6" customHeight="1" x14ac:dyDescent="0.2">
      <c r="A266" s="13"/>
      <c r="B266" s="19" t="s">
        <v>45</v>
      </c>
      <c r="C266" s="15"/>
      <c r="D266" s="14"/>
      <c r="E266" s="15">
        <f>E265+C266-D266</f>
        <v>136.93299999999999</v>
      </c>
      <c r="F266" s="14"/>
      <c r="G266" s="15">
        <f t="shared" ref="G266:G290" si="21">C266</f>
        <v>0</v>
      </c>
      <c r="H266" s="14"/>
      <c r="I266" s="15">
        <f>I265+G266-H266</f>
        <v>100.158</v>
      </c>
      <c r="J266" s="14"/>
      <c r="K266" s="13">
        <v>46133</v>
      </c>
    </row>
    <row r="267" spans="1:11" ht="12.6" customHeight="1" x14ac:dyDescent="0.2">
      <c r="A267" s="13">
        <v>46174</v>
      </c>
      <c r="B267" s="19"/>
      <c r="C267" s="15">
        <v>2.5</v>
      </c>
      <c r="D267" s="14"/>
      <c r="E267" s="15">
        <f t="shared" ref="E267:E290" si="22">E266+C267-D267</f>
        <v>139.43299999999999</v>
      </c>
      <c r="F267" s="14"/>
      <c r="G267" s="15">
        <f t="shared" si="21"/>
        <v>2.5</v>
      </c>
      <c r="H267" s="14"/>
      <c r="I267" s="15">
        <f t="shared" ref="I267:I290" si="23">I266+G267-H267</f>
        <v>102.658</v>
      </c>
      <c r="J267" s="14"/>
      <c r="K267" s="13"/>
    </row>
    <row r="268" spans="1:11" ht="12.6" customHeight="1" x14ac:dyDescent="0.2">
      <c r="A268" s="13"/>
      <c r="B268" s="19"/>
      <c r="C268" s="15"/>
      <c r="D268" s="14"/>
      <c r="E268" s="15">
        <f t="shared" si="22"/>
        <v>139.43299999999999</v>
      </c>
      <c r="F268" s="14"/>
      <c r="G268" s="15">
        <f t="shared" si="21"/>
        <v>0</v>
      </c>
      <c r="H268" s="14"/>
      <c r="I268" s="15">
        <f t="shared" si="23"/>
        <v>102.658</v>
      </c>
      <c r="J268" s="14"/>
      <c r="K268" s="16"/>
    </row>
    <row r="269" spans="1:11" ht="12.6" customHeight="1" x14ac:dyDescent="0.2">
      <c r="A269" s="13"/>
      <c r="B269" s="19"/>
      <c r="C269" s="15"/>
      <c r="D269" s="14"/>
      <c r="E269" s="15">
        <f t="shared" si="22"/>
        <v>139.43299999999999</v>
      </c>
      <c r="F269" s="14"/>
      <c r="G269" s="15">
        <f t="shared" si="21"/>
        <v>0</v>
      </c>
      <c r="H269" s="14"/>
      <c r="I269" s="15">
        <f t="shared" si="23"/>
        <v>102.658</v>
      </c>
      <c r="J269" s="14"/>
      <c r="K269" s="13"/>
    </row>
    <row r="270" spans="1:11" ht="12.6" customHeight="1" x14ac:dyDescent="0.2">
      <c r="A270" s="13"/>
      <c r="B270" s="19"/>
      <c r="C270" s="15"/>
      <c r="D270" s="14"/>
      <c r="E270" s="15">
        <f t="shared" si="22"/>
        <v>139.43299999999999</v>
      </c>
      <c r="F270" s="14"/>
      <c r="G270" s="15">
        <f t="shared" si="21"/>
        <v>0</v>
      </c>
      <c r="H270" s="14"/>
      <c r="I270" s="15">
        <f t="shared" si="23"/>
        <v>102.658</v>
      </c>
      <c r="J270" s="14"/>
      <c r="K270" s="16"/>
    </row>
    <row r="271" spans="1:11" ht="12.6" customHeight="1" x14ac:dyDescent="0.2">
      <c r="A271" s="13"/>
      <c r="B271" s="19"/>
      <c r="C271" s="15"/>
      <c r="D271" s="14"/>
      <c r="E271" s="15">
        <f t="shared" si="22"/>
        <v>139.43299999999999</v>
      </c>
      <c r="F271" s="14"/>
      <c r="G271" s="15">
        <f t="shared" si="21"/>
        <v>0</v>
      </c>
      <c r="H271" s="14"/>
      <c r="I271" s="15">
        <f t="shared" si="23"/>
        <v>102.658</v>
      </c>
      <c r="J271" s="14"/>
      <c r="K271" s="13"/>
    </row>
    <row r="272" spans="1:11" ht="12.6" customHeight="1" x14ac:dyDescent="0.2">
      <c r="A272" s="13"/>
      <c r="B272" s="19"/>
      <c r="C272" s="15"/>
      <c r="D272" s="14"/>
      <c r="E272" s="15">
        <f t="shared" si="22"/>
        <v>139.43299999999999</v>
      </c>
      <c r="F272" s="14"/>
      <c r="G272" s="15">
        <f t="shared" si="21"/>
        <v>0</v>
      </c>
      <c r="H272" s="14"/>
      <c r="I272" s="15">
        <f t="shared" si="23"/>
        <v>102.658</v>
      </c>
      <c r="J272" s="14"/>
      <c r="K272" s="13"/>
    </row>
    <row r="273" spans="1:11" ht="12.6" customHeight="1" x14ac:dyDescent="0.2">
      <c r="A273" s="13"/>
      <c r="B273" s="19"/>
      <c r="C273" s="15"/>
      <c r="D273" s="14"/>
      <c r="E273" s="15">
        <f t="shared" si="22"/>
        <v>139.43299999999999</v>
      </c>
      <c r="F273" s="14"/>
      <c r="G273" s="15">
        <f t="shared" si="21"/>
        <v>0</v>
      </c>
      <c r="H273" s="14"/>
      <c r="I273" s="15">
        <f t="shared" si="23"/>
        <v>102.658</v>
      </c>
      <c r="J273" s="14"/>
      <c r="K273" s="16"/>
    </row>
    <row r="274" spans="1:11" ht="12.6" customHeight="1" x14ac:dyDescent="0.2">
      <c r="A274" s="13"/>
      <c r="B274" s="19"/>
      <c r="C274" s="15"/>
      <c r="D274" s="14"/>
      <c r="E274" s="15">
        <f t="shared" si="22"/>
        <v>139.43299999999999</v>
      </c>
      <c r="F274" s="14"/>
      <c r="G274" s="15">
        <f t="shared" si="21"/>
        <v>0</v>
      </c>
      <c r="H274" s="14"/>
      <c r="I274" s="15">
        <f t="shared" si="23"/>
        <v>102.658</v>
      </c>
      <c r="J274" s="14"/>
      <c r="K274" s="16"/>
    </row>
    <row r="275" spans="1:11" ht="12.6" customHeight="1" x14ac:dyDescent="0.2">
      <c r="A275" s="13"/>
      <c r="B275" s="19"/>
      <c r="C275" s="15"/>
      <c r="D275" s="14"/>
      <c r="E275" s="15">
        <f t="shared" si="22"/>
        <v>139.43299999999999</v>
      </c>
      <c r="F275" s="14"/>
      <c r="G275" s="15">
        <f t="shared" si="21"/>
        <v>0</v>
      </c>
      <c r="H275" s="14"/>
      <c r="I275" s="15">
        <f t="shared" si="23"/>
        <v>102.658</v>
      </c>
      <c r="J275" s="14"/>
      <c r="K275" s="13"/>
    </row>
    <row r="276" spans="1:11" ht="12.6" customHeight="1" x14ac:dyDescent="0.2">
      <c r="A276" s="13"/>
      <c r="B276" s="19"/>
      <c r="C276" s="15"/>
      <c r="D276" s="14"/>
      <c r="E276" s="15">
        <f t="shared" si="22"/>
        <v>139.43299999999999</v>
      </c>
      <c r="F276" s="14"/>
      <c r="G276" s="15">
        <f t="shared" si="21"/>
        <v>0</v>
      </c>
      <c r="H276" s="14"/>
      <c r="I276" s="15">
        <f t="shared" si="23"/>
        <v>102.658</v>
      </c>
      <c r="J276" s="14"/>
      <c r="K276" s="13"/>
    </row>
    <row r="277" spans="1:11" ht="12.6" customHeight="1" x14ac:dyDescent="0.2">
      <c r="A277" s="13"/>
      <c r="B277" s="19"/>
      <c r="C277" s="15"/>
      <c r="D277" s="14"/>
      <c r="E277" s="15">
        <f t="shared" si="22"/>
        <v>139.43299999999999</v>
      </c>
      <c r="F277" s="14"/>
      <c r="G277" s="15">
        <f t="shared" si="21"/>
        <v>0</v>
      </c>
      <c r="H277" s="14"/>
      <c r="I277" s="15">
        <f t="shared" si="23"/>
        <v>102.658</v>
      </c>
      <c r="J277" s="14"/>
      <c r="K277" s="13"/>
    </row>
    <row r="278" spans="1:11" ht="12.6" customHeight="1" x14ac:dyDescent="0.2">
      <c r="A278" s="13"/>
      <c r="B278" s="19"/>
      <c r="C278" s="15"/>
      <c r="D278" s="14"/>
      <c r="E278" s="15">
        <f t="shared" si="22"/>
        <v>139.43299999999999</v>
      </c>
      <c r="F278" s="14"/>
      <c r="G278" s="15">
        <f t="shared" si="21"/>
        <v>0</v>
      </c>
      <c r="H278" s="14"/>
      <c r="I278" s="15">
        <f t="shared" si="23"/>
        <v>102.658</v>
      </c>
      <c r="J278" s="14"/>
      <c r="K278" s="13"/>
    </row>
    <row r="279" spans="1:11" ht="12.6" customHeight="1" x14ac:dyDescent="0.2">
      <c r="A279" s="13"/>
      <c r="B279" s="19"/>
      <c r="C279" s="15"/>
      <c r="D279" s="14"/>
      <c r="E279" s="15">
        <f t="shared" si="22"/>
        <v>139.43299999999999</v>
      </c>
      <c r="F279" s="14"/>
      <c r="G279" s="15">
        <f t="shared" si="21"/>
        <v>0</v>
      </c>
      <c r="H279" s="14"/>
      <c r="I279" s="15">
        <f t="shared" si="23"/>
        <v>102.658</v>
      </c>
      <c r="J279" s="14"/>
      <c r="K279" s="13"/>
    </row>
    <row r="280" spans="1:11" ht="12.6" customHeight="1" x14ac:dyDescent="0.2">
      <c r="A280" s="13"/>
      <c r="B280" s="19"/>
      <c r="C280" s="15"/>
      <c r="D280" s="14"/>
      <c r="E280" s="15">
        <f t="shared" si="22"/>
        <v>139.43299999999999</v>
      </c>
      <c r="F280" s="14"/>
      <c r="G280" s="15">
        <f t="shared" si="21"/>
        <v>0</v>
      </c>
      <c r="H280" s="14"/>
      <c r="I280" s="15">
        <f t="shared" si="23"/>
        <v>102.658</v>
      </c>
      <c r="J280" s="14"/>
      <c r="K280" s="13"/>
    </row>
    <row r="281" spans="1:11" ht="12.6" customHeight="1" x14ac:dyDescent="0.2">
      <c r="A281" s="13"/>
      <c r="B281" s="19"/>
      <c r="C281" s="15"/>
      <c r="D281" s="14"/>
      <c r="E281" s="15">
        <f t="shared" si="22"/>
        <v>139.43299999999999</v>
      </c>
      <c r="F281" s="14"/>
      <c r="G281" s="15">
        <f t="shared" si="21"/>
        <v>0</v>
      </c>
      <c r="H281" s="14"/>
      <c r="I281" s="15">
        <f t="shared" si="23"/>
        <v>102.658</v>
      </c>
      <c r="J281" s="14"/>
      <c r="K281" s="13"/>
    </row>
    <row r="282" spans="1:11" ht="12.6" customHeight="1" x14ac:dyDescent="0.2">
      <c r="A282" s="13"/>
      <c r="B282" s="19"/>
      <c r="C282" s="15"/>
      <c r="D282" s="15"/>
      <c r="E282" s="15">
        <f t="shared" si="22"/>
        <v>139.43299999999999</v>
      </c>
      <c r="F282" s="14"/>
      <c r="G282" s="15">
        <f t="shared" si="21"/>
        <v>0</v>
      </c>
      <c r="H282" s="14"/>
      <c r="I282" s="15">
        <f t="shared" si="23"/>
        <v>102.658</v>
      </c>
      <c r="J282" s="14"/>
      <c r="K282" s="13"/>
    </row>
    <row r="283" spans="1:11" ht="12.6" customHeight="1" x14ac:dyDescent="0.2">
      <c r="A283" s="13"/>
      <c r="B283" s="19"/>
      <c r="C283" s="15"/>
      <c r="D283" s="14"/>
      <c r="E283" s="15">
        <f t="shared" si="22"/>
        <v>139.43299999999999</v>
      </c>
      <c r="F283" s="14"/>
      <c r="G283" s="15">
        <f t="shared" si="21"/>
        <v>0</v>
      </c>
      <c r="H283" s="14"/>
      <c r="I283" s="15">
        <f t="shared" si="23"/>
        <v>102.658</v>
      </c>
      <c r="J283" s="14"/>
      <c r="K283" s="16"/>
    </row>
    <row r="284" spans="1:11" ht="12.6" customHeight="1" x14ac:dyDescent="0.2">
      <c r="A284" s="13"/>
      <c r="B284" s="19"/>
      <c r="C284" s="15"/>
      <c r="D284" s="15"/>
      <c r="E284" s="15">
        <f t="shared" si="22"/>
        <v>139.43299999999999</v>
      </c>
      <c r="F284" s="14"/>
      <c r="G284" s="15">
        <f t="shared" si="21"/>
        <v>0</v>
      </c>
      <c r="H284" s="14"/>
      <c r="I284" s="15">
        <f t="shared" si="23"/>
        <v>102.658</v>
      </c>
      <c r="J284" s="14"/>
      <c r="K284" s="13"/>
    </row>
    <row r="285" spans="1:11" ht="12.6" customHeight="1" x14ac:dyDescent="0.2">
      <c r="A285" s="13"/>
      <c r="B285" s="19"/>
      <c r="C285" s="15"/>
      <c r="D285" s="14"/>
      <c r="E285" s="15">
        <f t="shared" si="22"/>
        <v>139.43299999999999</v>
      </c>
      <c r="F285" s="14"/>
      <c r="G285" s="15">
        <f t="shared" si="21"/>
        <v>0</v>
      </c>
      <c r="H285" s="14"/>
      <c r="I285" s="15">
        <f t="shared" si="23"/>
        <v>102.658</v>
      </c>
      <c r="J285" s="14"/>
      <c r="K285" s="16"/>
    </row>
    <row r="286" spans="1:11" ht="12.6" customHeight="1" x14ac:dyDescent="0.2">
      <c r="A286" s="13"/>
      <c r="B286" s="19"/>
      <c r="C286" s="15"/>
      <c r="D286" s="14"/>
      <c r="E286" s="15">
        <f t="shared" si="22"/>
        <v>139.43299999999999</v>
      </c>
      <c r="F286" s="14"/>
      <c r="G286" s="15">
        <f t="shared" si="21"/>
        <v>0</v>
      </c>
      <c r="H286" s="14"/>
      <c r="I286" s="15">
        <f t="shared" si="23"/>
        <v>102.658</v>
      </c>
      <c r="J286" s="14"/>
      <c r="K286" s="13"/>
    </row>
    <row r="287" spans="1:11" ht="12.6" customHeight="1" x14ac:dyDescent="0.2">
      <c r="A287" s="13"/>
      <c r="B287" s="19"/>
      <c r="C287" s="15"/>
      <c r="D287" s="14"/>
      <c r="E287" s="15">
        <f t="shared" si="22"/>
        <v>139.43299999999999</v>
      </c>
      <c r="F287" s="14"/>
      <c r="G287" s="15">
        <f t="shared" si="21"/>
        <v>0</v>
      </c>
      <c r="H287" s="14"/>
      <c r="I287" s="15">
        <f t="shared" si="23"/>
        <v>102.658</v>
      </c>
      <c r="J287" s="14"/>
      <c r="K287" s="13"/>
    </row>
    <row r="288" spans="1:11" ht="12.6" customHeight="1" x14ac:dyDescent="0.2">
      <c r="A288" s="13"/>
      <c r="B288" s="19"/>
      <c r="C288" s="15"/>
      <c r="D288" s="14"/>
      <c r="E288" s="15">
        <f t="shared" si="22"/>
        <v>139.43299999999999</v>
      </c>
      <c r="F288" s="14"/>
      <c r="G288" s="15">
        <f t="shared" si="21"/>
        <v>0</v>
      </c>
      <c r="H288" s="14"/>
      <c r="I288" s="15">
        <f t="shared" si="23"/>
        <v>102.658</v>
      </c>
      <c r="J288" s="14"/>
      <c r="K288" s="13"/>
    </row>
    <row r="289" spans="1:11" ht="12.6" customHeight="1" x14ac:dyDescent="0.2">
      <c r="A289" s="13"/>
      <c r="B289" s="19"/>
      <c r="C289" s="15"/>
      <c r="D289" s="14"/>
      <c r="E289" s="15">
        <f t="shared" si="22"/>
        <v>139.43299999999999</v>
      </c>
      <c r="F289" s="14"/>
      <c r="G289" s="15">
        <f t="shared" si="21"/>
        <v>0</v>
      </c>
      <c r="H289" s="14"/>
      <c r="I289" s="15">
        <f t="shared" si="23"/>
        <v>102.658</v>
      </c>
      <c r="J289" s="14"/>
      <c r="K289" s="13"/>
    </row>
    <row r="290" spans="1:11" ht="12.6" customHeight="1" x14ac:dyDescent="0.2">
      <c r="A290" s="13"/>
      <c r="B290" s="19"/>
      <c r="C290" s="15"/>
      <c r="D290" s="14"/>
      <c r="E290" s="15">
        <f t="shared" si="22"/>
        <v>139.43299999999999</v>
      </c>
      <c r="F290" s="14"/>
      <c r="G290" s="15">
        <f t="shared" si="21"/>
        <v>0</v>
      </c>
      <c r="H290" s="14"/>
      <c r="I290" s="15">
        <f t="shared" si="23"/>
        <v>102.658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5</v>
      </c>
      <c r="D291" s="36">
        <f>SUM(D265:D290)</f>
        <v>0</v>
      </c>
      <c r="E291" s="36"/>
      <c r="F291" s="37"/>
      <c r="G291" s="36">
        <f>SUM(G265:G290)</f>
        <v>5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 xml:space="preserve">MENDOZA, LINAFE A. 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>
        <f>K1</f>
        <v>41325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/>
      <c r="C304" s="15"/>
      <c r="D304" s="14"/>
      <c r="E304" s="15">
        <f>E290+C304-D304</f>
        <v>139.43299999999999</v>
      </c>
      <c r="F304" s="14"/>
      <c r="G304" s="15">
        <f>C304</f>
        <v>0</v>
      </c>
      <c r="H304" s="14"/>
      <c r="I304" s="15">
        <f>I290+G304-H304</f>
        <v>102.658</v>
      </c>
      <c r="J304" s="14"/>
      <c r="K304" s="16"/>
    </row>
    <row r="305" spans="1:11" ht="12.6" customHeight="1" x14ac:dyDescent="0.2">
      <c r="A305" s="13"/>
      <c r="B305" s="19"/>
      <c r="C305" s="15"/>
      <c r="D305" s="14"/>
      <c r="E305" s="15">
        <f>E304+C305-D305</f>
        <v>139.43299999999999</v>
      </c>
      <c r="F305" s="14"/>
      <c r="G305" s="15">
        <f t="shared" ref="G305:G329" si="24">C305</f>
        <v>0</v>
      </c>
      <c r="H305" s="14"/>
      <c r="I305" s="15">
        <f>I304+G305-H305</f>
        <v>102.658</v>
      </c>
      <c r="J305" s="14"/>
      <c r="K305" s="13"/>
    </row>
    <row r="306" spans="1:11" ht="12.6" customHeight="1" x14ac:dyDescent="0.2">
      <c r="A306" s="13"/>
      <c r="B306" s="19"/>
      <c r="C306" s="15"/>
      <c r="D306" s="14"/>
      <c r="E306" s="15">
        <f t="shared" ref="E306:E329" si="25">E305+C306-D306</f>
        <v>139.43299999999999</v>
      </c>
      <c r="F306" s="14"/>
      <c r="G306" s="15">
        <f t="shared" si="24"/>
        <v>0</v>
      </c>
      <c r="H306" s="14"/>
      <c r="I306" s="15">
        <f t="shared" ref="I306:I329" si="26">I305+G306-H306</f>
        <v>102.658</v>
      </c>
      <c r="J306" s="14"/>
      <c r="K306" s="13"/>
    </row>
    <row r="307" spans="1:11" ht="12.6" customHeight="1" x14ac:dyDescent="0.2">
      <c r="A307" s="13"/>
      <c r="B307" s="19"/>
      <c r="C307" s="15"/>
      <c r="D307" s="14"/>
      <c r="E307" s="15">
        <f t="shared" si="25"/>
        <v>139.43299999999999</v>
      </c>
      <c r="F307" s="14"/>
      <c r="G307" s="15">
        <f t="shared" si="24"/>
        <v>0</v>
      </c>
      <c r="H307" s="14"/>
      <c r="I307" s="15">
        <f t="shared" si="26"/>
        <v>102.658</v>
      </c>
      <c r="J307" s="14"/>
      <c r="K307" s="16"/>
    </row>
    <row r="308" spans="1:11" ht="12.6" customHeight="1" x14ac:dyDescent="0.2">
      <c r="A308" s="13"/>
      <c r="B308" s="19"/>
      <c r="C308" s="15"/>
      <c r="D308" s="14"/>
      <c r="E308" s="15">
        <f t="shared" si="25"/>
        <v>139.43299999999999</v>
      </c>
      <c r="F308" s="14"/>
      <c r="G308" s="15">
        <f t="shared" si="24"/>
        <v>0</v>
      </c>
      <c r="H308" s="14"/>
      <c r="I308" s="15">
        <f t="shared" si="26"/>
        <v>102.658</v>
      </c>
      <c r="J308" s="14"/>
      <c r="K308" s="13"/>
    </row>
    <row r="309" spans="1:11" ht="12.6" customHeight="1" x14ac:dyDescent="0.2">
      <c r="A309" s="13"/>
      <c r="B309" s="19"/>
      <c r="C309" s="15"/>
      <c r="D309" s="14"/>
      <c r="E309" s="15">
        <f t="shared" si="25"/>
        <v>139.43299999999999</v>
      </c>
      <c r="F309" s="14"/>
      <c r="G309" s="15">
        <f t="shared" si="24"/>
        <v>0</v>
      </c>
      <c r="H309" s="14"/>
      <c r="I309" s="15">
        <f t="shared" si="26"/>
        <v>102.658</v>
      </c>
      <c r="J309" s="14"/>
      <c r="K309" s="13"/>
    </row>
    <row r="310" spans="1:11" ht="12.6" customHeight="1" x14ac:dyDescent="0.2">
      <c r="A310" s="13"/>
      <c r="B310" s="19"/>
      <c r="C310" s="15"/>
      <c r="D310" s="14"/>
      <c r="E310" s="15">
        <f t="shared" si="25"/>
        <v>139.43299999999999</v>
      </c>
      <c r="F310" s="14"/>
      <c r="G310" s="15">
        <f t="shared" si="24"/>
        <v>0</v>
      </c>
      <c r="H310" s="14"/>
      <c r="I310" s="15">
        <f t="shared" si="26"/>
        <v>102.658</v>
      </c>
      <c r="J310" s="14"/>
      <c r="K310" s="13"/>
    </row>
    <row r="311" spans="1:11" ht="12.6" customHeight="1" x14ac:dyDescent="0.2">
      <c r="A311" s="13"/>
      <c r="B311" s="19"/>
      <c r="C311" s="15"/>
      <c r="D311" s="14"/>
      <c r="E311" s="15">
        <f t="shared" si="25"/>
        <v>139.43299999999999</v>
      </c>
      <c r="F311" s="14"/>
      <c r="G311" s="15">
        <f t="shared" si="24"/>
        <v>0</v>
      </c>
      <c r="H311" s="14"/>
      <c r="I311" s="15">
        <f t="shared" si="26"/>
        <v>102.658</v>
      </c>
      <c r="J311" s="14"/>
      <c r="K311" s="13"/>
    </row>
    <row r="312" spans="1:11" ht="12.6" customHeight="1" x14ac:dyDescent="0.2">
      <c r="A312" s="13"/>
      <c r="B312" s="19"/>
      <c r="C312" s="15"/>
      <c r="D312" s="14"/>
      <c r="E312" s="15">
        <f t="shared" si="25"/>
        <v>139.43299999999999</v>
      </c>
      <c r="F312" s="14"/>
      <c r="G312" s="15">
        <f t="shared" si="24"/>
        <v>0</v>
      </c>
      <c r="H312" s="14"/>
      <c r="I312" s="15">
        <f t="shared" si="26"/>
        <v>102.658</v>
      </c>
      <c r="J312" s="14"/>
      <c r="K312" s="16"/>
    </row>
    <row r="313" spans="1:11" ht="12.6" customHeight="1" x14ac:dyDescent="0.2">
      <c r="A313" s="13"/>
      <c r="B313" s="19"/>
      <c r="C313" s="15"/>
      <c r="D313" s="14"/>
      <c r="E313" s="15">
        <f t="shared" si="25"/>
        <v>139.43299999999999</v>
      </c>
      <c r="F313" s="14"/>
      <c r="G313" s="15">
        <f t="shared" si="24"/>
        <v>0</v>
      </c>
      <c r="H313" s="14"/>
      <c r="I313" s="15">
        <f t="shared" si="26"/>
        <v>102.658</v>
      </c>
      <c r="J313" s="14"/>
      <c r="K313" s="16"/>
    </row>
    <row r="314" spans="1:11" ht="12.6" customHeight="1" x14ac:dyDescent="0.2">
      <c r="A314" s="13"/>
      <c r="B314" s="19"/>
      <c r="C314" s="15"/>
      <c r="D314" s="14"/>
      <c r="E314" s="15">
        <f t="shared" si="25"/>
        <v>139.43299999999999</v>
      </c>
      <c r="F314" s="14"/>
      <c r="G314" s="15">
        <f t="shared" si="24"/>
        <v>0</v>
      </c>
      <c r="H314" s="14"/>
      <c r="I314" s="15">
        <f t="shared" si="26"/>
        <v>102.658</v>
      </c>
      <c r="J314" s="14"/>
      <c r="K314" s="16"/>
    </row>
    <row r="315" spans="1:11" ht="12.6" customHeight="1" x14ac:dyDescent="0.2">
      <c r="A315" s="13"/>
      <c r="B315" s="19"/>
      <c r="C315" s="15"/>
      <c r="D315" s="14"/>
      <c r="E315" s="15">
        <f t="shared" si="25"/>
        <v>139.43299999999999</v>
      </c>
      <c r="F315" s="14"/>
      <c r="G315" s="15">
        <f t="shared" si="24"/>
        <v>0</v>
      </c>
      <c r="H315" s="14"/>
      <c r="I315" s="15">
        <f t="shared" si="26"/>
        <v>102.658</v>
      </c>
      <c r="J315" s="14"/>
      <c r="K315" s="13"/>
    </row>
    <row r="316" spans="1:11" ht="12.6" customHeight="1" x14ac:dyDescent="0.2">
      <c r="A316" s="13"/>
      <c r="B316" s="19"/>
      <c r="C316" s="15"/>
      <c r="D316" s="14"/>
      <c r="E316" s="15">
        <f t="shared" si="25"/>
        <v>139.43299999999999</v>
      </c>
      <c r="F316" s="14"/>
      <c r="G316" s="15">
        <f t="shared" si="24"/>
        <v>0</v>
      </c>
      <c r="H316" s="14"/>
      <c r="I316" s="15">
        <f t="shared" si="26"/>
        <v>102.658</v>
      </c>
      <c r="J316" s="14"/>
      <c r="K316" s="13"/>
    </row>
    <row r="317" spans="1:11" ht="12.6" customHeight="1" x14ac:dyDescent="0.2">
      <c r="A317" s="13"/>
      <c r="B317" s="19"/>
      <c r="C317" s="15"/>
      <c r="D317" s="14"/>
      <c r="E317" s="15">
        <f t="shared" si="25"/>
        <v>139.43299999999999</v>
      </c>
      <c r="F317" s="14"/>
      <c r="G317" s="15">
        <f t="shared" si="24"/>
        <v>0</v>
      </c>
      <c r="H317" s="14"/>
      <c r="I317" s="15">
        <f t="shared" si="26"/>
        <v>102.658</v>
      </c>
      <c r="J317" s="14"/>
      <c r="K317" s="13"/>
    </row>
    <row r="318" spans="1:11" ht="12.6" customHeight="1" x14ac:dyDescent="0.2">
      <c r="A318" s="13"/>
      <c r="B318" s="19"/>
      <c r="C318" s="15"/>
      <c r="D318" s="14"/>
      <c r="E318" s="15">
        <f t="shared" si="25"/>
        <v>139.43299999999999</v>
      </c>
      <c r="F318" s="14"/>
      <c r="G318" s="15">
        <f t="shared" si="24"/>
        <v>0</v>
      </c>
      <c r="H318" s="14"/>
      <c r="I318" s="15">
        <f t="shared" si="26"/>
        <v>102.658</v>
      </c>
      <c r="J318" s="14"/>
      <c r="K318" s="13"/>
    </row>
    <row r="319" spans="1:11" ht="12.6" customHeight="1" x14ac:dyDescent="0.2">
      <c r="A319" s="13"/>
      <c r="B319" s="19"/>
      <c r="C319" s="15"/>
      <c r="D319" s="14"/>
      <c r="E319" s="15">
        <f t="shared" si="25"/>
        <v>139.43299999999999</v>
      </c>
      <c r="F319" s="14"/>
      <c r="G319" s="15">
        <f t="shared" si="24"/>
        <v>0</v>
      </c>
      <c r="H319" s="14"/>
      <c r="I319" s="15">
        <f t="shared" si="26"/>
        <v>102.658</v>
      </c>
      <c r="J319" s="14"/>
      <c r="K319" s="13"/>
    </row>
    <row r="320" spans="1:11" ht="12.6" customHeight="1" x14ac:dyDescent="0.2">
      <c r="A320" s="13"/>
      <c r="B320" s="19"/>
      <c r="C320" s="15"/>
      <c r="D320" s="14"/>
      <c r="E320" s="15">
        <f t="shared" si="25"/>
        <v>139.43299999999999</v>
      </c>
      <c r="F320" s="14"/>
      <c r="G320" s="15">
        <f t="shared" si="24"/>
        <v>0</v>
      </c>
      <c r="H320" s="14"/>
      <c r="I320" s="15">
        <f t="shared" si="26"/>
        <v>102.658</v>
      </c>
      <c r="J320" s="14"/>
      <c r="K320" s="13"/>
    </row>
    <row r="321" spans="1:11" ht="12.6" customHeight="1" x14ac:dyDescent="0.2">
      <c r="A321" s="13"/>
      <c r="B321" s="19"/>
      <c r="C321" s="15"/>
      <c r="D321" s="15"/>
      <c r="E321" s="15">
        <f t="shared" si="25"/>
        <v>139.43299999999999</v>
      </c>
      <c r="F321" s="14"/>
      <c r="G321" s="15">
        <f t="shared" si="24"/>
        <v>0</v>
      </c>
      <c r="H321" s="14"/>
      <c r="I321" s="15">
        <f t="shared" si="26"/>
        <v>102.658</v>
      </c>
      <c r="J321" s="14"/>
      <c r="K321" s="13"/>
    </row>
    <row r="322" spans="1:11" ht="12.6" customHeight="1" x14ac:dyDescent="0.2">
      <c r="A322" s="13"/>
      <c r="B322" s="19"/>
      <c r="C322" s="15"/>
      <c r="D322" s="14"/>
      <c r="E322" s="15">
        <f t="shared" si="25"/>
        <v>139.43299999999999</v>
      </c>
      <c r="F322" s="14"/>
      <c r="G322" s="15">
        <f t="shared" si="24"/>
        <v>0</v>
      </c>
      <c r="H322" s="14"/>
      <c r="I322" s="15">
        <f t="shared" si="26"/>
        <v>102.658</v>
      </c>
      <c r="J322" s="14"/>
      <c r="K322" s="16"/>
    </row>
    <row r="323" spans="1:11" ht="12.6" customHeight="1" x14ac:dyDescent="0.2">
      <c r="A323" s="16"/>
      <c r="B323" s="19"/>
      <c r="C323" s="15"/>
      <c r="D323" s="15"/>
      <c r="E323" s="15">
        <f t="shared" si="25"/>
        <v>139.43299999999999</v>
      </c>
      <c r="F323" s="14"/>
      <c r="G323" s="15">
        <f t="shared" si="24"/>
        <v>0</v>
      </c>
      <c r="H323" s="14"/>
      <c r="I323" s="15">
        <f t="shared" si="26"/>
        <v>102.658</v>
      </c>
      <c r="J323" s="14"/>
      <c r="K323" s="13"/>
    </row>
    <row r="324" spans="1:11" ht="12.6" customHeight="1" x14ac:dyDescent="0.2">
      <c r="A324" s="13"/>
      <c r="B324" s="19"/>
      <c r="C324" s="15"/>
      <c r="D324" s="14"/>
      <c r="E324" s="15">
        <f t="shared" si="25"/>
        <v>139.43299999999999</v>
      </c>
      <c r="F324" s="14"/>
      <c r="G324" s="15">
        <f t="shared" si="24"/>
        <v>0</v>
      </c>
      <c r="H324" s="14"/>
      <c r="I324" s="15">
        <f t="shared" si="26"/>
        <v>102.658</v>
      </c>
      <c r="J324" s="14"/>
      <c r="K324" s="16"/>
    </row>
    <row r="325" spans="1:11" ht="12.6" customHeight="1" x14ac:dyDescent="0.2">
      <c r="A325" s="13"/>
      <c r="B325" s="19"/>
      <c r="C325" s="15"/>
      <c r="D325" s="14"/>
      <c r="E325" s="15">
        <f t="shared" si="25"/>
        <v>139.43299999999999</v>
      </c>
      <c r="F325" s="14"/>
      <c r="G325" s="15">
        <f t="shared" si="24"/>
        <v>0</v>
      </c>
      <c r="H325" s="14"/>
      <c r="I325" s="15">
        <f t="shared" si="26"/>
        <v>102.658</v>
      </c>
      <c r="J325" s="14"/>
      <c r="K325" s="13"/>
    </row>
    <row r="326" spans="1:11" ht="12.6" customHeight="1" x14ac:dyDescent="0.2">
      <c r="A326" s="13"/>
      <c r="B326" s="19"/>
      <c r="C326" s="15"/>
      <c r="D326" s="14"/>
      <c r="E326" s="15">
        <f t="shared" si="25"/>
        <v>139.43299999999999</v>
      </c>
      <c r="F326" s="14"/>
      <c r="G326" s="15">
        <f t="shared" si="24"/>
        <v>0</v>
      </c>
      <c r="H326" s="14"/>
      <c r="I326" s="15">
        <f t="shared" si="26"/>
        <v>102.658</v>
      </c>
      <c r="J326" s="14"/>
      <c r="K326" s="13"/>
    </row>
    <row r="327" spans="1:11" ht="12.6" customHeight="1" x14ac:dyDescent="0.2">
      <c r="A327" s="13"/>
      <c r="B327" s="19"/>
      <c r="C327" s="15"/>
      <c r="D327" s="14"/>
      <c r="E327" s="15">
        <f t="shared" si="25"/>
        <v>139.43299999999999</v>
      </c>
      <c r="F327" s="14"/>
      <c r="G327" s="15">
        <f t="shared" si="24"/>
        <v>0</v>
      </c>
      <c r="H327" s="14"/>
      <c r="I327" s="15">
        <f t="shared" si="26"/>
        <v>102.658</v>
      </c>
      <c r="J327" s="14"/>
      <c r="K327" s="13"/>
    </row>
    <row r="328" spans="1:11" ht="12.6" customHeight="1" x14ac:dyDescent="0.2">
      <c r="A328" s="13"/>
      <c r="B328" s="19"/>
      <c r="C328" s="15"/>
      <c r="D328" s="14"/>
      <c r="E328" s="15">
        <f t="shared" si="25"/>
        <v>139.43299999999999</v>
      </c>
      <c r="F328" s="14"/>
      <c r="G328" s="15">
        <f t="shared" si="24"/>
        <v>0</v>
      </c>
      <c r="H328" s="14"/>
      <c r="I328" s="15">
        <f t="shared" si="26"/>
        <v>102.658</v>
      </c>
      <c r="J328" s="14"/>
      <c r="K328" s="13"/>
    </row>
    <row r="329" spans="1:11" ht="12.6" customHeight="1" x14ac:dyDescent="0.2">
      <c r="A329" s="13"/>
      <c r="B329" s="19"/>
      <c r="C329" s="15"/>
      <c r="D329" s="14"/>
      <c r="E329" s="15">
        <f t="shared" si="25"/>
        <v>139.43299999999999</v>
      </c>
      <c r="F329" s="14"/>
      <c r="G329" s="15">
        <f t="shared" si="24"/>
        <v>0</v>
      </c>
      <c r="H329" s="14"/>
      <c r="I329" s="15">
        <f t="shared" si="26"/>
        <v>102.658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0</v>
      </c>
      <c r="D330" s="36">
        <f>SUM(D304:D329)</f>
        <v>0</v>
      </c>
      <c r="E330" s="36"/>
      <c r="F330" s="37"/>
      <c r="G330" s="36">
        <f>SUM(G304:G329)</f>
        <v>0</v>
      </c>
      <c r="H330" s="36">
        <f>SUM(H304:H329)</f>
        <v>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 xml:space="preserve">MENDOZA, LINAFE A. 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>
        <f>K1</f>
        <v>41325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/>
      <c r="C339" s="15"/>
      <c r="D339" s="14"/>
      <c r="E339" s="15">
        <f>E329+C339-D339</f>
        <v>139.43299999999999</v>
      </c>
      <c r="F339" s="14"/>
      <c r="G339" s="15">
        <f>C339</f>
        <v>0</v>
      </c>
      <c r="H339" s="14"/>
      <c r="I339" s="15">
        <f>I329+G339-H339</f>
        <v>102.658</v>
      </c>
      <c r="J339" s="14"/>
      <c r="K339" s="16"/>
    </row>
    <row r="340" spans="1:11" ht="12.6" customHeight="1" x14ac:dyDescent="0.2">
      <c r="A340" s="13"/>
      <c r="B340" s="19"/>
      <c r="C340" s="15"/>
      <c r="D340" s="14"/>
      <c r="E340" s="15">
        <f>E339+C340-D340</f>
        <v>139.43299999999999</v>
      </c>
      <c r="F340" s="14"/>
      <c r="G340" s="15">
        <f t="shared" ref="G340:G364" si="27">C340</f>
        <v>0</v>
      </c>
      <c r="H340" s="14"/>
      <c r="I340" s="15">
        <f>I339+G340-H340</f>
        <v>102.658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139.43299999999999</v>
      </c>
      <c r="F341" s="14"/>
      <c r="G341" s="15">
        <f t="shared" si="27"/>
        <v>0</v>
      </c>
      <c r="H341" s="14"/>
      <c r="I341" s="15">
        <f t="shared" ref="I341:I364" si="29">I340+G341-H341</f>
        <v>102.658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139.43299999999999</v>
      </c>
      <c r="F342" s="14"/>
      <c r="G342" s="15">
        <f t="shared" si="27"/>
        <v>0</v>
      </c>
      <c r="H342" s="14"/>
      <c r="I342" s="15">
        <f t="shared" si="29"/>
        <v>102.658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139.43299999999999</v>
      </c>
      <c r="F343" s="14"/>
      <c r="G343" s="15">
        <f t="shared" si="27"/>
        <v>0</v>
      </c>
      <c r="H343" s="14"/>
      <c r="I343" s="15">
        <f t="shared" si="29"/>
        <v>102.658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139.43299999999999</v>
      </c>
      <c r="F344" s="14"/>
      <c r="G344" s="15">
        <f t="shared" si="27"/>
        <v>0</v>
      </c>
      <c r="H344" s="14"/>
      <c r="I344" s="15">
        <f t="shared" si="29"/>
        <v>102.658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139.43299999999999</v>
      </c>
      <c r="F345" s="14"/>
      <c r="G345" s="15">
        <f t="shared" si="27"/>
        <v>0</v>
      </c>
      <c r="H345" s="14"/>
      <c r="I345" s="15">
        <f t="shared" si="29"/>
        <v>102.658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139.43299999999999</v>
      </c>
      <c r="F346" s="14"/>
      <c r="G346" s="15">
        <f t="shared" si="27"/>
        <v>0</v>
      </c>
      <c r="H346" s="14"/>
      <c r="I346" s="15">
        <f t="shared" si="29"/>
        <v>102.658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139.43299999999999</v>
      </c>
      <c r="F347" s="14"/>
      <c r="G347" s="15">
        <f t="shared" si="27"/>
        <v>0</v>
      </c>
      <c r="H347" s="14"/>
      <c r="I347" s="15">
        <f t="shared" si="29"/>
        <v>102.658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139.43299999999999</v>
      </c>
      <c r="F348" s="14"/>
      <c r="G348" s="15">
        <f t="shared" si="27"/>
        <v>0</v>
      </c>
      <c r="H348" s="14"/>
      <c r="I348" s="15">
        <f t="shared" si="29"/>
        <v>102.658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139.43299999999999</v>
      </c>
      <c r="F349" s="14"/>
      <c r="G349" s="15">
        <f t="shared" si="27"/>
        <v>0</v>
      </c>
      <c r="H349" s="14"/>
      <c r="I349" s="15">
        <f t="shared" si="29"/>
        <v>102.658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139.43299999999999</v>
      </c>
      <c r="F350" s="14"/>
      <c r="G350" s="15">
        <f t="shared" si="27"/>
        <v>0</v>
      </c>
      <c r="H350" s="14"/>
      <c r="I350" s="15">
        <f t="shared" si="29"/>
        <v>102.658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139.43299999999999</v>
      </c>
      <c r="F351" s="14"/>
      <c r="G351" s="15">
        <f t="shared" si="27"/>
        <v>0</v>
      </c>
      <c r="H351" s="14"/>
      <c r="I351" s="15">
        <f t="shared" si="29"/>
        <v>102.658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139.43299999999999</v>
      </c>
      <c r="F352" s="14"/>
      <c r="G352" s="15">
        <f t="shared" si="27"/>
        <v>0</v>
      </c>
      <c r="H352" s="14"/>
      <c r="I352" s="15">
        <f t="shared" si="29"/>
        <v>102.658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139.43299999999999</v>
      </c>
      <c r="F353" s="14"/>
      <c r="G353" s="15">
        <f t="shared" si="27"/>
        <v>0</v>
      </c>
      <c r="H353" s="14"/>
      <c r="I353" s="15">
        <f t="shared" si="29"/>
        <v>102.658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139.43299999999999</v>
      </c>
      <c r="F354" s="14"/>
      <c r="G354" s="15">
        <f t="shared" si="27"/>
        <v>0</v>
      </c>
      <c r="H354" s="14"/>
      <c r="I354" s="15">
        <f t="shared" si="29"/>
        <v>102.658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139.43299999999999</v>
      </c>
      <c r="F355" s="14"/>
      <c r="G355" s="15">
        <f t="shared" si="27"/>
        <v>0</v>
      </c>
      <c r="H355" s="14"/>
      <c r="I355" s="15">
        <f t="shared" si="29"/>
        <v>102.658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139.43299999999999</v>
      </c>
      <c r="F356" s="14"/>
      <c r="G356" s="15">
        <f t="shared" si="27"/>
        <v>0</v>
      </c>
      <c r="H356" s="14"/>
      <c r="I356" s="15">
        <f t="shared" si="29"/>
        <v>102.658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139.43299999999999</v>
      </c>
      <c r="F357" s="14"/>
      <c r="G357" s="15">
        <f t="shared" si="27"/>
        <v>0</v>
      </c>
      <c r="H357" s="14"/>
      <c r="I357" s="15">
        <f t="shared" si="29"/>
        <v>102.658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139.43299999999999</v>
      </c>
      <c r="F358" s="14"/>
      <c r="G358" s="15">
        <f t="shared" si="27"/>
        <v>0</v>
      </c>
      <c r="H358" s="14"/>
      <c r="I358" s="15">
        <f t="shared" si="29"/>
        <v>102.658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139.43299999999999</v>
      </c>
      <c r="F359" s="14"/>
      <c r="G359" s="15">
        <f t="shared" si="27"/>
        <v>0</v>
      </c>
      <c r="H359" s="14"/>
      <c r="I359" s="15">
        <f t="shared" si="29"/>
        <v>102.658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139.43299999999999</v>
      </c>
      <c r="F360" s="14"/>
      <c r="G360" s="15">
        <f t="shared" si="27"/>
        <v>0</v>
      </c>
      <c r="H360" s="14"/>
      <c r="I360" s="15">
        <f t="shared" si="29"/>
        <v>102.658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139.43299999999999</v>
      </c>
      <c r="F361" s="14"/>
      <c r="G361" s="15">
        <f t="shared" si="27"/>
        <v>0</v>
      </c>
      <c r="H361" s="14"/>
      <c r="I361" s="15">
        <f t="shared" si="29"/>
        <v>102.658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139.43299999999999</v>
      </c>
      <c r="F362" s="14"/>
      <c r="G362" s="15">
        <f t="shared" si="27"/>
        <v>0</v>
      </c>
      <c r="H362" s="14"/>
      <c r="I362" s="15">
        <f t="shared" si="29"/>
        <v>102.658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139.43299999999999</v>
      </c>
      <c r="F363" s="14"/>
      <c r="G363" s="15">
        <f t="shared" si="27"/>
        <v>0</v>
      </c>
      <c r="H363" s="14"/>
      <c r="I363" s="15">
        <f t="shared" si="29"/>
        <v>102.658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139.43299999999999</v>
      </c>
      <c r="F364" s="14"/>
      <c r="G364" s="15">
        <f t="shared" si="27"/>
        <v>0</v>
      </c>
      <c r="H364" s="14"/>
      <c r="I364" s="15">
        <f t="shared" si="29"/>
        <v>102.658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0</v>
      </c>
      <c r="D365" s="36">
        <f>SUM(D339:D364)</f>
        <v>0</v>
      </c>
      <c r="E365" s="36"/>
      <c r="F365" s="37"/>
      <c r="G365" s="36">
        <f>SUM(G339:G364)</f>
        <v>0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 xml:space="preserve">MENDOZA, LINAFE A. 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>
        <f>K1</f>
        <v>41325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139.43299999999999</v>
      </c>
      <c r="F378" s="14"/>
      <c r="G378" s="15">
        <f>C378</f>
        <v>0</v>
      </c>
      <c r="H378" s="14"/>
      <c r="I378" s="15">
        <f>I364+G378-H378</f>
        <v>102.658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139.43299999999999</v>
      </c>
      <c r="F379" s="14"/>
      <c r="G379" s="15">
        <f t="shared" ref="G379:G403" si="30">C379</f>
        <v>0</v>
      </c>
      <c r="H379" s="14"/>
      <c r="I379" s="15">
        <f>I378+G379-H379</f>
        <v>102.658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139.43299999999999</v>
      </c>
      <c r="F380" s="14"/>
      <c r="G380" s="15">
        <f t="shared" si="30"/>
        <v>0</v>
      </c>
      <c r="H380" s="14"/>
      <c r="I380" s="15">
        <f t="shared" ref="I380:I403" si="32">I379+G380-H380</f>
        <v>102.658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139.43299999999999</v>
      </c>
      <c r="F381" s="14"/>
      <c r="G381" s="15">
        <f t="shared" si="30"/>
        <v>0</v>
      </c>
      <c r="H381" s="14"/>
      <c r="I381" s="15">
        <f t="shared" si="32"/>
        <v>102.658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139.43299999999999</v>
      </c>
      <c r="F382" s="14"/>
      <c r="G382" s="15">
        <f t="shared" si="30"/>
        <v>0</v>
      </c>
      <c r="H382" s="14"/>
      <c r="I382" s="15">
        <f t="shared" si="32"/>
        <v>102.658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139.43299999999999</v>
      </c>
      <c r="F383" s="14"/>
      <c r="G383" s="15">
        <f t="shared" si="30"/>
        <v>0</v>
      </c>
      <c r="H383" s="14"/>
      <c r="I383" s="15">
        <f t="shared" si="32"/>
        <v>102.658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139.43299999999999</v>
      </c>
      <c r="F384" s="14"/>
      <c r="G384" s="15">
        <f t="shared" si="30"/>
        <v>0</v>
      </c>
      <c r="H384" s="14"/>
      <c r="I384" s="15">
        <f t="shared" si="32"/>
        <v>102.658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139.43299999999999</v>
      </c>
      <c r="F385" s="14"/>
      <c r="G385" s="15">
        <f t="shared" si="30"/>
        <v>0</v>
      </c>
      <c r="H385" s="14"/>
      <c r="I385" s="15">
        <f t="shared" si="32"/>
        <v>102.658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139.43299999999999</v>
      </c>
      <c r="F386" s="14"/>
      <c r="G386" s="15">
        <f t="shared" si="30"/>
        <v>0</v>
      </c>
      <c r="H386" s="14"/>
      <c r="I386" s="15">
        <f t="shared" si="32"/>
        <v>102.658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139.43299999999999</v>
      </c>
      <c r="F387" s="14"/>
      <c r="G387" s="15">
        <f t="shared" si="30"/>
        <v>0</v>
      </c>
      <c r="H387" s="14"/>
      <c r="I387" s="15">
        <f t="shared" si="32"/>
        <v>102.658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139.43299999999999</v>
      </c>
      <c r="F388" s="14"/>
      <c r="G388" s="15">
        <f t="shared" si="30"/>
        <v>0</v>
      </c>
      <c r="H388" s="14"/>
      <c r="I388" s="15">
        <f t="shared" si="32"/>
        <v>102.658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139.43299999999999</v>
      </c>
      <c r="F389" s="14"/>
      <c r="G389" s="15">
        <f t="shared" si="30"/>
        <v>0</v>
      </c>
      <c r="H389" s="14"/>
      <c r="I389" s="15">
        <f t="shared" si="32"/>
        <v>102.658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139.43299999999999</v>
      </c>
      <c r="F390" s="14"/>
      <c r="G390" s="15">
        <f t="shared" si="30"/>
        <v>0</v>
      </c>
      <c r="H390" s="14"/>
      <c r="I390" s="15">
        <f t="shared" si="32"/>
        <v>102.658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139.43299999999999</v>
      </c>
      <c r="F391" s="14"/>
      <c r="G391" s="15">
        <f t="shared" si="30"/>
        <v>0</v>
      </c>
      <c r="H391" s="14"/>
      <c r="I391" s="15">
        <f t="shared" si="32"/>
        <v>102.658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139.43299999999999</v>
      </c>
      <c r="F392" s="14"/>
      <c r="G392" s="15">
        <f t="shared" si="30"/>
        <v>0</v>
      </c>
      <c r="H392" s="14"/>
      <c r="I392" s="15">
        <f t="shared" si="32"/>
        <v>102.658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139.43299999999999</v>
      </c>
      <c r="F393" s="14"/>
      <c r="G393" s="15">
        <f t="shared" si="30"/>
        <v>0</v>
      </c>
      <c r="H393" s="14"/>
      <c r="I393" s="15">
        <f t="shared" si="32"/>
        <v>102.658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139.43299999999999</v>
      </c>
      <c r="F394" s="14"/>
      <c r="G394" s="15">
        <f t="shared" si="30"/>
        <v>0</v>
      </c>
      <c r="H394" s="14"/>
      <c r="I394" s="15">
        <f t="shared" si="32"/>
        <v>102.658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139.43299999999999</v>
      </c>
      <c r="F395" s="14"/>
      <c r="G395" s="15">
        <f t="shared" si="30"/>
        <v>0</v>
      </c>
      <c r="H395" s="14"/>
      <c r="I395" s="15">
        <f t="shared" si="32"/>
        <v>102.658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139.43299999999999</v>
      </c>
      <c r="F396" s="14"/>
      <c r="G396" s="15">
        <f t="shared" si="30"/>
        <v>0</v>
      </c>
      <c r="H396" s="14"/>
      <c r="I396" s="15">
        <f t="shared" si="32"/>
        <v>102.658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139.43299999999999</v>
      </c>
      <c r="F397" s="14"/>
      <c r="G397" s="15">
        <f t="shared" si="30"/>
        <v>0</v>
      </c>
      <c r="H397" s="14"/>
      <c r="I397" s="15">
        <f t="shared" si="32"/>
        <v>102.658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139.43299999999999</v>
      </c>
      <c r="F398" s="14"/>
      <c r="G398" s="15">
        <f t="shared" si="30"/>
        <v>0</v>
      </c>
      <c r="H398" s="14"/>
      <c r="I398" s="15">
        <f t="shared" si="32"/>
        <v>102.658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139.43299999999999</v>
      </c>
      <c r="F399" s="14"/>
      <c r="G399" s="15">
        <f t="shared" si="30"/>
        <v>0</v>
      </c>
      <c r="H399" s="14"/>
      <c r="I399" s="15">
        <f t="shared" si="32"/>
        <v>102.658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139.43299999999999</v>
      </c>
      <c r="F400" s="14"/>
      <c r="G400" s="15">
        <f t="shared" si="30"/>
        <v>0</v>
      </c>
      <c r="H400" s="14"/>
      <c r="I400" s="15">
        <f t="shared" si="32"/>
        <v>102.658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139.43299999999999</v>
      </c>
      <c r="F401" s="14"/>
      <c r="G401" s="15">
        <f t="shared" si="30"/>
        <v>0</v>
      </c>
      <c r="H401" s="14"/>
      <c r="I401" s="15">
        <f t="shared" si="32"/>
        <v>102.658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139.43299999999999</v>
      </c>
      <c r="F402" s="14"/>
      <c r="G402" s="15">
        <f t="shared" si="30"/>
        <v>0</v>
      </c>
      <c r="H402" s="14"/>
      <c r="I402" s="15">
        <f t="shared" si="32"/>
        <v>102.658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139.43299999999999</v>
      </c>
      <c r="F403" s="14"/>
      <c r="G403" s="15">
        <f t="shared" si="30"/>
        <v>0</v>
      </c>
      <c r="H403" s="14"/>
      <c r="I403" s="15">
        <f t="shared" si="32"/>
        <v>102.658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 xml:space="preserve">MENDOZA, LINAFE A. 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>
        <f>K1</f>
        <v>41325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139.43299999999999</v>
      </c>
      <c r="F413" s="14"/>
      <c r="G413" s="15">
        <f>C413</f>
        <v>0</v>
      </c>
      <c r="H413" s="14"/>
      <c r="I413" s="15">
        <f>I403+G413-H413</f>
        <v>102.658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139.43299999999999</v>
      </c>
      <c r="F414" s="14"/>
      <c r="G414" s="15">
        <f t="shared" ref="G414:G438" si="33">C414</f>
        <v>0</v>
      </c>
      <c r="H414" s="14"/>
      <c r="I414" s="15">
        <f>I413+G414-H414</f>
        <v>102.658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139.43299999999999</v>
      </c>
      <c r="F415" s="14"/>
      <c r="G415" s="15">
        <f t="shared" si="33"/>
        <v>0</v>
      </c>
      <c r="H415" s="14"/>
      <c r="I415" s="15">
        <f t="shared" ref="I415:I438" si="35">I414+G415-H415</f>
        <v>102.658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139.43299999999999</v>
      </c>
      <c r="F416" s="14"/>
      <c r="G416" s="15">
        <f t="shared" si="33"/>
        <v>0</v>
      </c>
      <c r="H416" s="14"/>
      <c r="I416" s="15">
        <f t="shared" si="35"/>
        <v>102.658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139.43299999999999</v>
      </c>
      <c r="F417" s="14"/>
      <c r="G417" s="15">
        <f t="shared" si="33"/>
        <v>0</v>
      </c>
      <c r="H417" s="14"/>
      <c r="I417" s="15">
        <f t="shared" si="35"/>
        <v>102.658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139.43299999999999</v>
      </c>
      <c r="F418" s="14"/>
      <c r="G418" s="15">
        <f t="shared" si="33"/>
        <v>0</v>
      </c>
      <c r="H418" s="14"/>
      <c r="I418" s="15">
        <f t="shared" si="35"/>
        <v>102.658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139.43299999999999</v>
      </c>
      <c r="F419" s="14"/>
      <c r="G419" s="15">
        <f t="shared" si="33"/>
        <v>0</v>
      </c>
      <c r="H419" s="14"/>
      <c r="I419" s="15">
        <f t="shared" si="35"/>
        <v>102.658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139.43299999999999</v>
      </c>
      <c r="F420" s="14"/>
      <c r="G420" s="15">
        <f t="shared" si="33"/>
        <v>0</v>
      </c>
      <c r="H420" s="14"/>
      <c r="I420" s="15">
        <f t="shared" si="35"/>
        <v>102.658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139.43299999999999</v>
      </c>
      <c r="F421" s="14"/>
      <c r="G421" s="15">
        <f t="shared" si="33"/>
        <v>0</v>
      </c>
      <c r="H421" s="14"/>
      <c r="I421" s="15">
        <f t="shared" si="35"/>
        <v>102.658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139.43299999999999</v>
      </c>
      <c r="F422" s="14"/>
      <c r="G422" s="15">
        <f t="shared" si="33"/>
        <v>0</v>
      </c>
      <c r="H422" s="14"/>
      <c r="I422" s="15">
        <f t="shared" si="35"/>
        <v>102.658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139.43299999999999</v>
      </c>
      <c r="F423" s="14"/>
      <c r="G423" s="15">
        <f t="shared" si="33"/>
        <v>0</v>
      </c>
      <c r="H423" s="14"/>
      <c r="I423" s="15">
        <f t="shared" si="35"/>
        <v>102.658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139.43299999999999</v>
      </c>
      <c r="F424" s="14"/>
      <c r="G424" s="15">
        <f t="shared" si="33"/>
        <v>0</v>
      </c>
      <c r="H424" s="14"/>
      <c r="I424" s="15">
        <f t="shared" si="35"/>
        <v>102.658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139.43299999999999</v>
      </c>
      <c r="F425" s="14"/>
      <c r="G425" s="15">
        <f t="shared" si="33"/>
        <v>0</v>
      </c>
      <c r="H425" s="14"/>
      <c r="I425" s="15">
        <f t="shared" si="35"/>
        <v>102.658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139.43299999999999</v>
      </c>
      <c r="F426" s="14"/>
      <c r="G426" s="15">
        <f t="shared" si="33"/>
        <v>0</v>
      </c>
      <c r="H426" s="14"/>
      <c r="I426" s="15">
        <f t="shared" si="35"/>
        <v>102.658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139.43299999999999</v>
      </c>
      <c r="F427" s="14"/>
      <c r="G427" s="15">
        <f t="shared" si="33"/>
        <v>0</v>
      </c>
      <c r="H427" s="14"/>
      <c r="I427" s="15">
        <f t="shared" si="35"/>
        <v>102.658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139.43299999999999</v>
      </c>
      <c r="F428" s="14"/>
      <c r="G428" s="15">
        <f t="shared" si="33"/>
        <v>0</v>
      </c>
      <c r="H428" s="14"/>
      <c r="I428" s="15">
        <f t="shared" si="35"/>
        <v>102.658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139.43299999999999</v>
      </c>
      <c r="F429" s="14"/>
      <c r="G429" s="15">
        <f t="shared" si="33"/>
        <v>0</v>
      </c>
      <c r="H429" s="14"/>
      <c r="I429" s="15">
        <f t="shared" si="35"/>
        <v>102.658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139.43299999999999</v>
      </c>
      <c r="F430" s="14"/>
      <c r="G430" s="15">
        <f t="shared" si="33"/>
        <v>0</v>
      </c>
      <c r="H430" s="14"/>
      <c r="I430" s="15">
        <f t="shared" si="35"/>
        <v>102.658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139.43299999999999</v>
      </c>
      <c r="F431" s="14"/>
      <c r="G431" s="15">
        <f t="shared" si="33"/>
        <v>0</v>
      </c>
      <c r="H431" s="14"/>
      <c r="I431" s="15">
        <f t="shared" si="35"/>
        <v>102.658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139.43299999999999</v>
      </c>
      <c r="F432" s="14"/>
      <c r="G432" s="15">
        <f t="shared" si="33"/>
        <v>0</v>
      </c>
      <c r="H432" s="14"/>
      <c r="I432" s="15">
        <f t="shared" si="35"/>
        <v>102.658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139.43299999999999</v>
      </c>
      <c r="F433" s="14"/>
      <c r="G433" s="15">
        <f t="shared" si="33"/>
        <v>0</v>
      </c>
      <c r="H433" s="14"/>
      <c r="I433" s="15">
        <f t="shared" si="35"/>
        <v>102.658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139.43299999999999</v>
      </c>
      <c r="F434" s="14"/>
      <c r="G434" s="15">
        <f t="shared" si="33"/>
        <v>0</v>
      </c>
      <c r="H434" s="14"/>
      <c r="I434" s="15">
        <f t="shared" si="35"/>
        <v>102.658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139.43299999999999</v>
      </c>
      <c r="F435" s="14"/>
      <c r="G435" s="15">
        <f t="shared" si="33"/>
        <v>0</v>
      </c>
      <c r="H435" s="14"/>
      <c r="I435" s="15">
        <f t="shared" si="35"/>
        <v>102.658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139.43299999999999</v>
      </c>
      <c r="F436" s="14"/>
      <c r="G436" s="15">
        <f t="shared" si="33"/>
        <v>0</v>
      </c>
      <c r="H436" s="14"/>
      <c r="I436" s="15">
        <f t="shared" si="35"/>
        <v>102.658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139.43299999999999</v>
      </c>
      <c r="F437" s="14"/>
      <c r="G437" s="15">
        <f t="shared" si="33"/>
        <v>0</v>
      </c>
      <c r="H437" s="14"/>
      <c r="I437" s="15">
        <f t="shared" si="35"/>
        <v>102.658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139.43299999999999</v>
      </c>
      <c r="F438" s="14"/>
      <c r="G438" s="15">
        <f t="shared" si="33"/>
        <v>0</v>
      </c>
      <c r="H438" s="14"/>
      <c r="I438" s="15">
        <f t="shared" si="35"/>
        <v>102.658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 xml:space="preserve">MENDOZA, LINAFE A. 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>
        <f>K1</f>
        <v>41325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139.43299999999999</v>
      </c>
      <c r="F452" s="14"/>
      <c r="G452" s="15">
        <f>C452</f>
        <v>0</v>
      </c>
      <c r="H452" s="14"/>
      <c r="I452" s="15">
        <f>I438+G452-H452</f>
        <v>102.658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139.43299999999999</v>
      </c>
      <c r="F453" s="14"/>
      <c r="G453" s="15">
        <f t="shared" ref="G453:G477" si="36">C453</f>
        <v>0</v>
      </c>
      <c r="H453" s="14"/>
      <c r="I453" s="15">
        <f>I452+G453-H453</f>
        <v>102.658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139.43299999999999</v>
      </c>
      <c r="F454" s="14"/>
      <c r="G454" s="15">
        <f t="shared" si="36"/>
        <v>0</v>
      </c>
      <c r="H454" s="14"/>
      <c r="I454" s="15">
        <f t="shared" ref="I454:I477" si="38">I453+G454-H454</f>
        <v>102.658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139.43299999999999</v>
      </c>
      <c r="F455" s="14"/>
      <c r="G455" s="15">
        <f t="shared" si="36"/>
        <v>0</v>
      </c>
      <c r="H455" s="14"/>
      <c r="I455" s="15">
        <f t="shared" si="38"/>
        <v>102.658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139.43299999999999</v>
      </c>
      <c r="F456" s="14"/>
      <c r="G456" s="15">
        <f t="shared" si="36"/>
        <v>0</v>
      </c>
      <c r="H456" s="14"/>
      <c r="I456" s="15">
        <f t="shared" si="38"/>
        <v>102.658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139.43299999999999</v>
      </c>
      <c r="F457" s="14"/>
      <c r="G457" s="15">
        <f t="shared" si="36"/>
        <v>0</v>
      </c>
      <c r="H457" s="14"/>
      <c r="I457" s="15">
        <f t="shared" si="38"/>
        <v>102.658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139.43299999999999</v>
      </c>
      <c r="F458" s="14"/>
      <c r="G458" s="15">
        <f t="shared" si="36"/>
        <v>0</v>
      </c>
      <c r="H458" s="14"/>
      <c r="I458" s="15">
        <f t="shared" si="38"/>
        <v>102.658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139.43299999999999</v>
      </c>
      <c r="F459" s="14"/>
      <c r="G459" s="15">
        <f t="shared" si="36"/>
        <v>0</v>
      </c>
      <c r="H459" s="14"/>
      <c r="I459" s="15">
        <f t="shared" si="38"/>
        <v>102.658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139.43299999999999</v>
      </c>
      <c r="F460" s="14"/>
      <c r="G460" s="15">
        <f t="shared" si="36"/>
        <v>0</v>
      </c>
      <c r="H460" s="14"/>
      <c r="I460" s="15">
        <f t="shared" si="38"/>
        <v>102.658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139.43299999999999</v>
      </c>
      <c r="F461" s="14"/>
      <c r="G461" s="15">
        <f t="shared" si="36"/>
        <v>0</v>
      </c>
      <c r="H461" s="14"/>
      <c r="I461" s="15">
        <f t="shared" si="38"/>
        <v>102.658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139.43299999999999</v>
      </c>
      <c r="F462" s="14"/>
      <c r="G462" s="15">
        <f t="shared" si="36"/>
        <v>0</v>
      </c>
      <c r="H462" s="14"/>
      <c r="I462" s="15">
        <f t="shared" si="38"/>
        <v>102.658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139.43299999999999</v>
      </c>
      <c r="F463" s="14"/>
      <c r="G463" s="15">
        <f t="shared" si="36"/>
        <v>0</v>
      </c>
      <c r="H463" s="14"/>
      <c r="I463" s="15">
        <f t="shared" si="38"/>
        <v>102.658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139.43299999999999</v>
      </c>
      <c r="F464" s="14"/>
      <c r="G464" s="15">
        <f t="shared" si="36"/>
        <v>0</v>
      </c>
      <c r="H464" s="14"/>
      <c r="I464" s="15">
        <f t="shared" si="38"/>
        <v>102.658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139.43299999999999</v>
      </c>
      <c r="F465" s="14"/>
      <c r="G465" s="15">
        <f t="shared" si="36"/>
        <v>0</v>
      </c>
      <c r="H465" s="14"/>
      <c r="I465" s="15">
        <f t="shared" si="38"/>
        <v>102.658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139.43299999999999</v>
      </c>
      <c r="F466" s="14"/>
      <c r="G466" s="15">
        <f t="shared" si="36"/>
        <v>0</v>
      </c>
      <c r="H466" s="14"/>
      <c r="I466" s="15">
        <f t="shared" si="38"/>
        <v>102.658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139.43299999999999</v>
      </c>
      <c r="F467" s="14"/>
      <c r="G467" s="15">
        <f t="shared" si="36"/>
        <v>0</v>
      </c>
      <c r="H467" s="14"/>
      <c r="I467" s="15">
        <f t="shared" si="38"/>
        <v>102.658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139.43299999999999</v>
      </c>
      <c r="F468" s="14"/>
      <c r="G468" s="15">
        <f t="shared" si="36"/>
        <v>0</v>
      </c>
      <c r="H468" s="14"/>
      <c r="I468" s="15">
        <f t="shared" si="38"/>
        <v>102.658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139.43299999999999</v>
      </c>
      <c r="F469" s="14"/>
      <c r="G469" s="15">
        <f t="shared" si="36"/>
        <v>0</v>
      </c>
      <c r="H469" s="14"/>
      <c r="I469" s="15">
        <f t="shared" si="38"/>
        <v>102.658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139.43299999999999</v>
      </c>
      <c r="F470" s="14"/>
      <c r="G470" s="15">
        <f t="shared" si="36"/>
        <v>0</v>
      </c>
      <c r="H470" s="14"/>
      <c r="I470" s="15">
        <f t="shared" si="38"/>
        <v>102.658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139.43299999999999</v>
      </c>
      <c r="F471" s="14"/>
      <c r="G471" s="15">
        <f t="shared" si="36"/>
        <v>0</v>
      </c>
      <c r="H471" s="14"/>
      <c r="I471" s="15">
        <f t="shared" si="38"/>
        <v>102.658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139.43299999999999</v>
      </c>
      <c r="F472" s="14"/>
      <c r="G472" s="15">
        <f t="shared" si="36"/>
        <v>0</v>
      </c>
      <c r="H472" s="14"/>
      <c r="I472" s="15">
        <f t="shared" si="38"/>
        <v>102.658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139.43299999999999</v>
      </c>
      <c r="F473" s="14"/>
      <c r="G473" s="15">
        <f t="shared" si="36"/>
        <v>0</v>
      </c>
      <c r="H473" s="14"/>
      <c r="I473" s="15">
        <f t="shared" si="38"/>
        <v>102.658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139.43299999999999</v>
      </c>
      <c r="F474" s="14"/>
      <c r="G474" s="15">
        <f t="shared" si="36"/>
        <v>0</v>
      </c>
      <c r="H474" s="14"/>
      <c r="I474" s="15">
        <f t="shared" si="38"/>
        <v>102.658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139.43299999999999</v>
      </c>
      <c r="F475" s="14"/>
      <c r="G475" s="15">
        <f t="shared" si="36"/>
        <v>0</v>
      </c>
      <c r="H475" s="14"/>
      <c r="I475" s="15">
        <f t="shared" si="38"/>
        <v>102.658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139.43299999999999</v>
      </c>
      <c r="F476" s="14"/>
      <c r="G476" s="15">
        <f t="shared" si="36"/>
        <v>0</v>
      </c>
      <c r="H476" s="14"/>
      <c r="I476" s="15">
        <f t="shared" si="38"/>
        <v>102.658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139.43299999999999</v>
      </c>
      <c r="F477" s="14"/>
      <c r="G477" s="15">
        <f t="shared" si="36"/>
        <v>0</v>
      </c>
      <c r="H477" s="14"/>
      <c r="I477" s="15">
        <f t="shared" si="38"/>
        <v>102.658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 xml:space="preserve">MENDOZA, LINAFE A. 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>
        <f>K1</f>
        <v>41325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139.43299999999999</v>
      </c>
      <c r="F487" s="14"/>
      <c r="G487" s="15"/>
      <c r="H487" s="14"/>
      <c r="I487" s="15">
        <f>I477+G487-H487</f>
        <v>102.658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139.43299999999999</v>
      </c>
      <c r="F488" s="14"/>
      <c r="G488" s="15"/>
      <c r="H488" s="14"/>
      <c r="I488" s="15">
        <f>I487+G488-H488</f>
        <v>102.658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139.43299999999999</v>
      </c>
      <c r="F489" s="14"/>
      <c r="G489" s="15"/>
      <c r="H489" s="14"/>
      <c r="I489" s="15">
        <f t="shared" ref="I489:I512" si="40">I488+G489-H489</f>
        <v>102.658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139.43299999999999</v>
      </c>
      <c r="F490" s="14"/>
      <c r="G490" s="15"/>
      <c r="H490" s="14"/>
      <c r="I490" s="15">
        <f t="shared" si="40"/>
        <v>102.658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139.43299999999999</v>
      </c>
      <c r="F491" s="14"/>
      <c r="G491" s="15"/>
      <c r="H491" s="14"/>
      <c r="I491" s="15">
        <f t="shared" si="40"/>
        <v>102.658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139.43299999999999</v>
      </c>
      <c r="F492" s="14"/>
      <c r="G492" s="15"/>
      <c r="H492" s="14"/>
      <c r="I492" s="15">
        <f t="shared" si="40"/>
        <v>102.658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139.43299999999999</v>
      </c>
      <c r="F493" s="14"/>
      <c r="G493" s="15"/>
      <c r="H493" s="14"/>
      <c r="I493" s="15">
        <f t="shared" si="40"/>
        <v>102.658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139.43299999999999</v>
      </c>
      <c r="F494" s="14"/>
      <c r="G494" s="15"/>
      <c r="H494" s="14"/>
      <c r="I494" s="15">
        <f t="shared" si="40"/>
        <v>102.658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139.43299999999999</v>
      </c>
      <c r="F495" s="14"/>
      <c r="G495" s="15"/>
      <c r="H495" s="14"/>
      <c r="I495" s="15">
        <f t="shared" si="40"/>
        <v>102.658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139.43299999999999</v>
      </c>
      <c r="F496" s="14"/>
      <c r="G496" s="15"/>
      <c r="H496" s="14"/>
      <c r="I496" s="15">
        <f t="shared" si="40"/>
        <v>102.658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139.43299999999999</v>
      </c>
      <c r="F497" s="14"/>
      <c r="G497" s="15"/>
      <c r="H497" s="14"/>
      <c r="I497" s="15">
        <f t="shared" si="40"/>
        <v>102.658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139.43299999999999</v>
      </c>
      <c r="F498" s="14"/>
      <c r="G498" s="15"/>
      <c r="H498" s="14"/>
      <c r="I498" s="15">
        <f t="shared" si="40"/>
        <v>102.658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139.43299999999999</v>
      </c>
      <c r="F499" s="14"/>
      <c r="G499" s="15"/>
      <c r="H499" s="14"/>
      <c r="I499" s="15">
        <f t="shared" si="40"/>
        <v>102.658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139.43299999999999</v>
      </c>
      <c r="F500" s="14"/>
      <c r="G500" s="15"/>
      <c r="H500" s="14"/>
      <c r="I500" s="15">
        <f t="shared" si="40"/>
        <v>102.658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139.43299999999999</v>
      </c>
      <c r="F501" s="14"/>
      <c r="G501" s="15"/>
      <c r="H501" s="14"/>
      <c r="I501" s="15">
        <f t="shared" si="40"/>
        <v>102.658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139.43299999999999</v>
      </c>
      <c r="F502" s="14"/>
      <c r="G502" s="15"/>
      <c r="H502" s="14"/>
      <c r="I502" s="15">
        <f t="shared" si="40"/>
        <v>102.658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139.43299999999999</v>
      </c>
      <c r="F503" s="14"/>
      <c r="G503" s="15"/>
      <c r="H503" s="14"/>
      <c r="I503" s="15">
        <f t="shared" si="40"/>
        <v>102.658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139.43299999999999</v>
      </c>
      <c r="F504" s="14"/>
      <c r="G504" s="15"/>
      <c r="H504" s="14"/>
      <c r="I504" s="15">
        <f t="shared" si="40"/>
        <v>102.658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139.43299999999999</v>
      </c>
      <c r="F505" s="14"/>
      <c r="G505" s="15"/>
      <c r="H505" s="14"/>
      <c r="I505" s="15">
        <f t="shared" si="40"/>
        <v>102.658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139.43299999999999</v>
      </c>
      <c r="F506" s="14"/>
      <c r="G506" s="15"/>
      <c r="H506" s="14"/>
      <c r="I506" s="15">
        <f t="shared" si="40"/>
        <v>102.658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139.43299999999999</v>
      </c>
      <c r="F507" s="14"/>
      <c r="G507" s="15"/>
      <c r="H507" s="14"/>
      <c r="I507" s="15">
        <f t="shared" si="40"/>
        <v>102.658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139.43299999999999</v>
      </c>
      <c r="F508" s="14"/>
      <c r="G508" s="15"/>
      <c r="H508" s="14"/>
      <c r="I508" s="15">
        <f t="shared" si="40"/>
        <v>102.658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139.43299999999999</v>
      </c>
      <c r="F509" s="14"/>
      <c r="G509" s="15"/>
      <c r="H509" s="14"/>
      <c r="I509" s="15">
        <f t="shared" si="40"/>
        <v>102.658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139.43299999999999</v>
      </c>
      <c r="F510" s="14"/>
      <c r="G510" s="15"/>
      <c r="H510" s="14"/>
      <c r="I510" s="15">
        <f t="shared" si="40"/>
        <v>102.658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139.43299999999999</v>
      </c>
      <c r="F511" s="14"/>
      <c r="G511" s="15"/>
      <c r="H511" s="14"/>
      <c r="I511" s="15">
        <f t="shared" si="40"/>
        <v>102.658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139.43299999999999</v>
      </c>
      <c r="F512" s="14"/>
      <c r="G512" s="15"/>
      <c r="H512" s="14"/>
      <c r="I512" s="15">
        <f t="shared" si="40"/>
        <v>102.658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 xml:space="preserve">MENDOZA, LINAFE A. 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>
        <f>K1</f>
        <v>41325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139.43299999999999</v>
      </c>
      <c r="F526" s="14"/>
      <c r="G526" s="15"/>
      <c r="H526" s="14"/>
      <c r="I526" s="15">
        <f>I512+G526-H526</f>
        <v>102.658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139.43299999999999</v>
      </c>
      <c r="F527" s="14"/>
      <c r="G527" s="15"/>
      <c r="H527" s="14"/>
      <c r="I527" s="15">
        <f>I526+G527-H527</f>
        <v>102.658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139.43299999999999</v>
      </c>
      <c r="F528" s="14"/>
      <c r="G528" s="15"/>
      <c r="H528" s="14"/>
      <c r="I528" s="15">
        <f t="shared" ref="I528:I551" si="42">I527+G528-H528</f>
        <v>102.658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139.43299999999999</v>
      </c>
      <c r="F529" s="14"/>
      <c r="G529" s="15"/>
      <c r="H529" s="14"/>
      <c r="I529" s="15">
        <f t="shared" si="42"/>
        <v>102.658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139.43299999999999</v>
      </c>
      <c r="F530" s="14"/>
      <c r="G530" s="15"/>
      <c r="H530" s="14"/>
      <c r="I530" s="15">
        <f t="shared" si="42"/>
        <v>102.658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139.43299999999999</v>
      </c>
      <c r="F531" s="14"/>
      <c r="G531" s="15"/>
      <c r="H531" s="14"/>
      <c r="I531" s="15">
        <f t="shared" si="42"/>
        <v>102.658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139.43299999999999</v>
      </c>
      <c r="F532" s="14"/>
      <c r="G532" s="15"/>
      <c r="H532" s="14"/>
      <c r="I532" s="15">
        <f t="shared" si="42"/>
        <v>102.658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139.43299999999999</v>
      </c>
      <c r="F533" s="14"/>
      <c r="G533" s="15"/>
      <c r="H533" s="14"/>
      <c r="I533" s="15">
        <f t="shared" si="42"/>
        <v>102.658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139.43299999999999</v>
      </c>
      <c r="F534" s="14"/>
      <c r="G534" s="15"/>
      <c r="H534" s="14"/>
      <c r="I534" s="15">
        <f t="shared" si="42"/>
        <v>102.658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139.43299999999999</v>
      </c>
      <c r="F535" s="14"/>
      <c r="G535" s="15"/>
      <c r="H535" s="14"/>
      <c r="I535" s="15">
        <f t="shared" si="42"/>
        <v>102.658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139.43299999999999</v>
      </c>
      <c r="F536" s="14"/>
      <c r="G536" s="15"/>
      <c r="H536" s="14"/>
      <c r="I536" s="15">
        <f t="shared" si="42"/>
        <v>102.658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139.43299999999999</v>
      </c>
      <c r="F537" s="14"/>
      <c r="G537" s="15"/>
      <c r="H537" s="14"/>
      <c r="I537" s="15">
        <f t="shared" si="42"/>
        <v>102.658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139.43299999999999</v>
      </c>
      <c r="F538" s="14"/>
      <c r="G538" s="15"/>
      <c r="H538" s="14"/>
      <c r="I538" s="15">
        <f t="shared" si="42"/>
        <v>102.658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139.43299999999999</v>
      </c>
      <c r="F539" s="14"/>
      <c r="G539" s="15"/>
      <c r="H539" s="14"/>
      <c r="I539" s="15">
        <f t="shared" si="42"/>
        <v>102.658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139.43299999999999</v>
      </c>
      <c r="F540" s="14"/>
      <c r="G540" s="15"/>
      <c r="H540" s="14"/>
      <c r="I540" s="15">
        <f t="shared" si="42"/>
        <v>102.658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139.43299999999999</v>
      </c>
      <c r="F541" s="14"/>
      <c r="G541" s="15"/>
      <c r="H541" s="14"/>
      <c r="I541" s="15">
        <f t="shared" si="42"/>
        <v>102.658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139.43299999999999</v>
      </c>
      <c r="F542" s="14"/>
      <c r="G542" s="15"/>
      <c r="H542" s="14"/>
      <c r="I542" s="15">
        <f t="shared" si="42"/>
        <v>102.658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139.43299999999999</v>
      </c>
      <c r="F543" s="14"/>
      <c r="G543" s="15"/>
      <c r="H543" s="14"/>
      <c r="I543" s="15">
        <f t="shared" si="42"/>
        <v>102.658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139.43299999999999</v>
      </c>
      <c r="F544" s="14"/>
      <c r="G544" s="15"/>
      <c r="H544" s="14"/>
      <c r="I544" s="15">
        <f t="shared" si="42"/>
        <v>102.658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139.43299999999999</v>
      </c>
      <c r="F545" s="14"/>
      <c r="G545" s="15"/>
      <c r="H545" s="14"/>
      <c r="I545" s="15">
        <f t="shared" si="42"/>
        <v>102.658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139.43299999999999</v>
      </c>
      <c r="F546" s="14"/>
      <c r="G546" s="15"/>
      <c r="H546" s="14"/>
      <c r="I546" s="15">
        <f t="shared" si="42"/>
        <v>102.658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139.43299999999999</v>
      </c>
      <c r="F547" s="14"/>
      <c r="G547" s="15"/>
      <c r="H547" s="14"/>
      <c r="I547" s="15">
        <f t="shared" si="42"/>
        <v>102.658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139.43299999999999</v>
      </c>
      <c r="F548" s="14"/>
      <c r="G548" s="15"/>
      <c r="H548" s="14"/>
      <c r="I548" s="15">
        <f t="shared" si="42"/>
        <v>102.658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139.43299999999999</v>
      </c>
      <c r="F549" s="14"/>
      <c r="G549" s="15"/>
      <c r="H549" s="14"/>
      <c r="I549" s="15">
        <f t="shared" si="42"/>
        <v>102.658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139.43299999999999</v>
      </c>
      <c r="F550" s="14"/>
      <c r="G550" s="15"/>
      <c r="H550" s="14"/>
      <c r="I550" s="15">
        <f t="shared" si="42"/>
        <v>102.658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139.43299999999999</v>
      </c>
      <c r="F551" s="14"/>
      <c r="G551" s="15"/>
      <c r="H551" s="14"/>
      <c r="I551" s="15">
        <f t="shared" si="42"/>
        <v>102.658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199.15799999999999</v>
      </c>
      <c r="D556" s="46">
        <f>SUM(D552+D513+D478+D439+D404+D365+D330+D291+D256+D217+D182+D143+D108+D69+D34)</f>
        <v>59.724999999999994</v>
      </c>
      <c r="E556" s="46"/>
      <c r="G556" s="26">
        <f>SUM(G552+G513+G478+G439+G404+G365+G330+G291+G256+G217+G182+G143+G108+G69+G34)</f>
        <v>199.15799999999999</v>
      </c>
      <c r="H556" s="46">
        <f>SUM(H552+H513+H478+H439+H404+H365+H330+H291+H256+H217+H182+H143+H108+H69+H34)</f>
        <v>96.5</v>
      </c>
      <c r="I556" s="46"/>
      <c r="K556" s="28">
        <v>319.875</v>
      </c>
    </row>
    <row r="557" spans="1:11" ht="12.6" customHeight="1" x14ac:dyDescent="0.2">
      <c r="K557" s="47">
        <f>G556-K556</f>
        <v>-120.71700000000001</v>
      </c>
    </row>
    <row r="566" spans="2:11" ht="12.6" customHeight="1" x14ac:dyDescent="0.2">
      <c r="B566" s="3" t="s">
        <v>33</v>
      </c>
      <c r="E566" s="46"/>
      <c r="F566" s="48">
        <f>C556</f>
        <v>199.15799999999999</v>
      </c>
      <c r="H566" s="48">
        <f>F566</f>
        <v>199.15799999999999</v>
      </c>
    </row>
    <row r="567" spans="2:11" ht="12.6" customHeight="1" x14ac:dyDescent="0.2">
      <c r="B567" s="3" t="s">
        <v>34</v>
      </c>
      <c r="E567" s="46"/>
      <c r="F567" s="48">
        <f>D556</f>
        <v>59.724999999999994</v>
      </c>
      <c r="H567" s="48">
        <f>H556</f>
        <v>96.5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139.43299999999999</v>
      </c>
      <c r="G570" s="50"/>
      <c r="H570" s="53">
        <f>SUM(H566-H567)</f>
        <v>102.65799999999999</v>
      </c>
      <c r="I570" s="54">
        <f>SUM(H570+F570)</f>
        <v>242.09099999999998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242.09099999999998</v>
      </c>
      <c r="D573" s="97"/>
      <c r="E573" s="100">
        <v>4.8192699999999998E-2</v>
      </c>
      <c r="F573" s="100"/>
      <c r="H573" s="101">
        <f>B573*C573*E573</f>
        <v>186333.95942206468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3C3F-AFDD-4843-BC9E-D12902755569}">
  <dimension ref="A1:K574"/>
  <sheetViews>
    <sheetView topLeftCell="BA1" zoomScale="133" zoomScaleNormal="200" workbookViewId="0">
      <selection activeCell="BH17" sqref="BH17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1225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>
        <v>38892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39995</v>
      </c>
      <c r="B7" s="14" t="s">
        <v>1232</v>
      </c>
      <c r="C7" s="15">
        <v>0.29199999999999998</v>
      </c>
      <c r="D7" s="14"/>
      <c r="E7" s="15">
        <f>C7+D7</f>
        <v>0.29199999999999998</v>
      </c>
      <c r="F7" s="14"/>
      <c r="G7" s="15">
        <f>C7</f>
        <v>0.29199999999999998</v>
      </c>
      <c r="H7" s="14"/>
      <c r="I7" s="15">
        <f>G7+H7</f>
        <v>0.29199999999999998</v>
      </c>
      <c r="J7" s="14"/>
      <c r="K7" s="16"/>
    </row>
    <row r="8" spans="1:11" ht="12.6" customHeight="1" x14ac:dyDescent="0.2">
      <c r="A8" s="13">
        <v>40118</v>
      </c>
      <c r="B8" s="17"/>
      <c r="C8" s="15">
        <v>5</v>
      </c>
      <c r="D8" s="18"/>
      <c r="E8" s="15">
        <f>E7+C8-D8</f>
        <v>5.2919999999999998</v>
      </c>
      <c r="F8" s="14"/>
      <c r="G8" s="15">
        <f t="shared" ref="G8:G33" si="0">C8</f>
        <v>5</v>
      </c>
      <c r="H8" s="14"/>
      <c r="I8" s="15">
        <f>I7+G8-H8</f>
        <v>5.2919999999999998</v>
      </c>
      <c r="J8" s="14"/>
      <c r="K8" s="16"/>
    </row>
    <row r="9" spans="1:11" ht="12.6" customHeight="1" x14ac:dyDescent="0.2">
      <c r="A9" s="13">
        <v>40179</v>
      </c>
      <c r="B9" s="17"/>
      <c r="C9" s="15">
        <v>2.5</v>
      </c>
      <c r="D9" s="14"/>
      <c r="E9" s="15">
        <f t="shared" ref="E9:E33" si="1">E8+C9-D9</f>
        <v>7.7919999999999998</v>
      </c>
      <c r="F9" s="14"/>
      <c r="G9" s="15">
        <f t="shared" si="0"/>
        <v>2.5</v>
      </c>
      <c r="H9" s="14"/>
      <c r="I9" s="15">
        <f t="shared" ref="I9:I34" si="2">I8+G9-H9</f>
        <v>7.7919999999999998</v>
      </c>
      <c r="J9" s="14"/>
      <c r="K9" s="16"/>
    </row>
    <row r="10" spans="1:11" ht="12.6" customHeight="1" x14ac:dyDescent="0.2">
      <c r="A10" s="13">
        <v>40269</v>
      </c>
      <c r="B10" s="19"/>
      <c r="C10" s="15">
        <v>3.75</v>
      </c>
      <c r="D10" s="14"/>
      <c r="E10" s="15">
        <f t="shared" si="1"/>
        <v>11.542</v>
      </c>
      <c r="F10" s="14"/>
      <c r="G10" s="15">
        <f t="shared" si="0"/>
        <v>3.75</v>
      </c>
      <c r="H10" s="14"/>
      <c r="I10" s="15">
        <f t="shared" si="2"/>
        <v>11.542</v>
      </c>
      <c r="J10" s="14"/>
      <c r="K10" s="13"/>
    </row>
    <row r="11" spans="1:11" ht="12.6" customHeight="1" x14ac:dyDescent="0.2">
      <c r="A11" s="13">
        <v>40360</v>
      </c>
      <c r="B11" s="17"/>
      <c r="C11" s="15">
        <v>3.75</v>
      </c>
      <c r="D11" s="14"/>
      <c r="E11" s="15">
        <f t="shared" si="1"/>
        <v>15.292</v>
      </c>
      <c r="F11" s="14"/>
      <c r="G11" s="15">
        <f t="shared" si="0"/>
        <v>3.75</v>
      </c>
      <c r="H11" s="14"/>
      <c r="I11" s="15">
        <f t="shared" si="2"/>
        <v>15.292</v>
      </c>
      <c r="J11" s="14"/>
      <c r="K11" s="20"/>
    </row>
    <row r="12" spans="1:11" ht="12.6" customHeight="1" x14ac:dyDescent="0.2">
      <c r="A12" s="13">
        <v>40544</v>
      </c>
      <c r="B12" s="19"/>
      <c r="C12" s="15">
        <v>7.5</v>
      </c>
      <c r="D12" s="14"/>
      <c r="E12" s="15">
        <f t="shared" si="1"/>
        <v>22.792000000000002</v>
      </c>
      <c r="F12" s="14"/>
      <c r="G12" s="15">
        <f t="shared" si="0"/>
        <v>7.5</v>
      </c>
      <c r="H12" s="14"/>
      <c r="I12" s="15">
        <f t="shared" si="2"/>
        <v>22.792000000000002</v>
      </c>
      <c r="J12" s="14"/>
      <c r="K12" s="13"/>
    </row>
    <row r="13" spans="1:11" ht="12.6" customHeight="1" x14ac:dyDescent="0.2">
      <c r="A13" s="13"/>
      <c r="B13" s="17" t="s">
        <v>65</v>
      </c>
      <c r="C13" s="15"/>
      <c r="D13" s="14">
        <v>5</v>
      </c>
      <c r="E13" s="15">
        <f t="shared" si="1"/>
        <v>17.792000000000002</v>
      </c>
      <c r="F13" s="14"/>
      <c r="G13" s="15">
        <f t="shared" si="0"/>
        <v>0</v>
      </c>
      <c r="H13" s="14"/>
      <c r="I13" s="15">
        <f t="shared" si="2"/>
        <v>22.792000000000002</v>
      </c>
      <c r="J13" s="14"/>
      <c r="K13" s="13" t="s">
        <v>149</v>
      </c>
    </row>
    <row r="14" spans="1:11" ht="12.6" customHeight="1" x14ac:dyDescent="0.2">
      <c r="A14" s="13">
        <v>40909</v>
      </c>
      <c r="B14" s="17"/>
      <c r="C14" s="15">
        <v>15</v>
      </c>
      <c r="D14" s="14"/>
      <c r="E14" s="15">
        <f t="shared" si="1"/>
        <v>32.792000000000002</v>
      </c>
      <c r="F14" s="14"/>
      <c r="G14" s="15">
        <f t="shared" si="0"/>
        <v>15</v>
      </c>
      <c r="H14" s="14"/>
      <c r="I14" s="15">
        <f t="shared" si="2"/>
        <v>37.792000000000002</v>
      </c>
      <c r="J14" s="14"/>
      <c r="K14" s="13"/>
    </row>
    <row r="15" spans="1:11" ht="12.6" customHeight="1" x14ac:dyDescent="0.2">
      <c r="A15" s="13"/>
      <c r="B15" s="17" t="s">
        <v>65</v>
      </c>
      <c r="C15" s="15"/>
      <c r="D15" s="14">
        <v>5</v>
      </c>
      <c r="E15" s="15">
        <f t="shared" si="1"/>
        <v>27.792000000000002</v>
      </c>
      <c r="F15" s="14"/>
      <c r="G15" s="15">
        <f t="shared" si="0"/>
        <v>0</v>
      </c>
      <c r="H15" s="14"/>
      <c r="I15" s="15">
        <f t="shared" si="2"/>
        <v>37.792000000000002</v>
      </c>
      <c r="J15" s="14"/>
      <c r="K15" s="13" t="s">
        <v>157</v>
      </c>
    </row>
    <row r="16" spans="1:11" ht="12.6" customHeight="1" x14ac:dyDescent="0.2">
      <c r="A16" s="13">
        <v>41122</v>
      </c>
      <c r="B16" s="19"/>
      <c r="C16" s="15">
        <v>8.75</v>
      </c>
      <c r="D16" s="14"/>
      <c r="E16" s="15">
        <f t="shared" si="1"/>
        <v>36.542000000000002</v>
      </c>
      <c r="F16" s="14"/>
      <c r="G16" s="15">
        <f t="shared" si="0"/>
        <v>8.75</v>
      </c>
      <c r="H16" s="14"/>
      <c r="I16" s="15">
        <f t="shared" si="2"/>
        <v>46.542000000000002</v>
      </c>
      <c r="J16" s="14"/>
      <c r="K16" s="13"/>
    </row>
    <row r="17" spans="1:11" ht="12.6" customHeight="1" x14ac:dyDescent="0.2">
      <c r="A17" s="13"/>
      <c r="B17" s="17" t="s">
        <v>1226</v>
      </c>
      <c r="C17" s="15"/>
      <c r="D17" s="14"/>
      <c r="E17" s="15">
        <f t="shared" si="1"/>
        <v>36.542000000000002</v>
      </c>
      <c r="F17" s="14"/>
      <c r="G17" s="15">
        <f t="shared" si="0"/>
        <v>0</v>
      </c>
      <c r="H17" s="14"/>
      <c r="I17" s="15">
        <f t="shared" si="2"/>
        <v>46.542000000000002</v>
      </c>
      <c r="J17" s="14"/>
      <c r="K17" s="13" t="s">
        <v>1227</v>
      </c>
    </row>
    <row r="18" spans="1:11" ht="12.6" customHeight="1" x14ac:dyDescent="0.2">
      <c r="A18" s="13">
        <v>41214</v>
      </c>
      <c r="B18" s="17"/>
      <c r="C18" s="15">
        <v>3.75</v>
      </c>
      <c r="D18" s="14"/>
      <c r="E18" s="15">
        <f t="shared" si="1"/>
        <v>40.292000000000002</v>
      </c>
      <c r="F18" s="14"/>
      <c r="G18" s="15">
        <f t="shared" si="0"/>
        <v>3.75</v>
      </c>
      <c r="H18" s="14"/>
      <c r="I18" s="15">
        <f t="shared" si="2"/>
        <v>50.292000000000002</v>
      </c>
      <c r="J18" s="14"/>
      <c r="K18" s="13"/>
    </row>
    <row r="19" spans="1:11" ht="12.6" customHeight="1" x14ac:dyDescent="0.2">
      <c r="A19" s="13"/>
      <c r="B19" s="17" t="s">
        <v>65</v>
      </c>
      <c r="C19" s="15"/>
      <c r="D19" s="14">
        <v>5</v>
      </c>
      <c r="E19" s="15">
        <f t="shared" si="1"/>
        <v>35.292000000000002</v>
      </c>
      <c r="F19" s="14"/>
      <c r="G19" s="15">
        <f t="shared" si="0"/>
        <v>0</v>
      </c>
      <c r="H19" s="14"/>
      <c r="I19" s="15">
        <f t="shared" si="2"/>
        <v>50.292000000000002</v>
      </c>
      <c r="J19" s="14"/>
      <c r="K19" s="13" t="s">
        <v>1228</v>
      </c>
    </row>
    <row r="20" spans="1:11" ht="12.6" customHeight="1" x14ac:dyDescent="0.2">
      <c r="A20" s="13">
        <v>41548</v>
      </c>
      <c r="B20" s="17"/>
      <c r="C20" s="15">
        <v>13.75</v>
      </c>
      <c r="D20" s="21"/>
      <c r="E20" s="15">
        <f t="shared" si="1"/>
        <v>49.042000000000002</v>
      </c>
      <c r="F20" s="14"/>
      <c r="G20" s="15">
        <f t="shared" si="0"/>
        <v>13.75</v>
      </c>
      <c r="H20" s="14"/>
      <c r="I20" s="15">
        <f t="shared" si="2"/>
        <v>64.042000000000002</v>
      </c>
      <c r="J20" s="14"/>
      <c r="K20" s="13"/>
    </row>
    <row r="21" spans="1:11" ht="12.6" customHeight="1" x14ac:dyDescent="0.2">
      <c r="A21" s="13"/>
      <c r="B21" s="17" t="s">
        <v>87</v>
      </c>
      <c r="C21" s="15"/>
      <c r="D21" s="14">
        <v>3</v>
      </c>
      <c r="E21" s="15">
        <f t="shared" si="1"/>
        <v>46.042000000000002</v>
      </c>
      <c r="F21" s="14"/>
      <c r="G21" s="15">
        <f t="shared" si="0"/>
        <v>0</v>
      </c>
      <c r="H21" s="14"/>
      <c r="I21" s="15">
        <f t="shared" si="2"/>
        <v>64.042000000000002</v>
      </c>
      <c r="J21" s="14"/>
      <c r="K21" s="13" t="s">
        <v>1229</v>
      </c>
    </row>
    <row r="22" spans="1:11" ht="12.6" customHeight="1" x14ac:dyDescent="0.2">
      <c r="A22" s="13">
        <v>41640</v>
      </c>
      <c r="B22" s="17"/>
      <c r="C22" s="15">
        <v>3.75</v>
      </c>
      <c r="D22" s="14"/>
      <c r="E22" s="15">
        <f t="shared" si="1"/>
        <v>49.792000000000002</v>
      </c>
      <c r="F22" s="14"/>
      <c r="G22" s="15">
        <f t="shared" si="0"/>
        <v>3.75</v>
      </c>
      <c r="H22" s="14"/>
      <c r="I22" s="15">
        <f t="shared" si="2"/>
        <v>67.792000000000002</v>
      </c>
      <c r="J22" s="14"/>
      <c r="K22" s="13"/>
    </row>
    <row r="23" spans="1:11" ht="12.6" customHeight="1" x14ac:dyDescent="0.2">
      <c r="A23" s="13"/>
      <c r="B23" s="17" t="s">
        <v>77</v>
      </c>
      <c r="C23" s="15"/>
      <c r="D23" s="14">
        <v>2</v>
      </c>
      <c r="E23" s="15">
        <f t="shared" si="1"/>
        <v>47.792000000000002</v>
      </c>
      <c r="F23" s="14"/>
      <c r="G23" s="15">
        <f t="shared" si="0"/>
        <v>0</v>
      </c>
      <c r="H23" s="14"/>
      <c r="I23" s="15">
        <f t="shared" si="2"/>
        <v>67.792000000000002</v>
      </c>
      <c r="J23" s="14"/>
      <c r="K23" s="13" t="s">
        <v>1074</v>
      </c>
    </row>
    <row r="24" spans="1:11" ht="12.6" customHeight="1" x14ac:dyDescent="0.2">
      <c r="A24" s="13"/>
      <c r="B24" s="19" t="s">
        <v>1226</v>
      </c>
      <c r="C24" s="15"/>
      <c r="D24" s="14"/>
      <c r="E24" s="15">
        <f t="shared" si="1"/>
        <v>47.792000000000002</v>
      </c>
      <c r="F24" s="14"/>
      <c r="G24" s="15">
        <f t="shared" si="0"/>
        <v>0</v>
      </c>
      <c r="H24" s="14"/>
      <c r="I24" s="15">
        <f t="shared" si="2"/>
        <v>67.792000000000002</v>
      </c>
      <c r="J24" s="14"/>
      <c r="K24" s="13" t="s">
        <v>1230</v>
      </c>
    </row>
    <row r="25" spans="1:11" ht="12.6" customHeight="1" x14ac:dyDescent="0.2">
      <c r="A25" s="13"/>
      <c r="B25" s="17" t="s">
        <v>74</v>
      </c>
      <c r="C25" s="15"/>
      <c r="D25" s="14">
        <v>1</v>
      </c>
      <c r="E25" s="15">
        <f t="shared" si="1"/>
        <v>46.792000000000002</v>
      </c>
      <c r="F25" s="14"/>
      <c r="G25" s="15">
        <f t="shared" si="0"/>
        <v>0</v>
      </c>
      <c r="H25" s="14"/>
      <c r="I25" s="15">
        <f t="shared" si="2"/>
        <v>67.792000000000002</v>
      </c>
      <c r="J25" s="14"/>
      <c r="K25" s="13">
        <v>41718</v>
      </c>
    </row>
    <row r="26" spans="1:11" ht="12.6" customHeight="1" x14ac:dyDescent="0.2">
      <c r="A26" s="13">
        <v>41852</v>
      </c>
      <c r="B26" s="19"/>
      <c r="C26" s="15">
        <v>8.75</v>
      </c>
      <c r="D26" s="14"/>
      <c r="E26" s="15">
        <f t="shared" si="1"/>
        <v>55.542000000000002</v>
      </c>
      <c r="F26" s="14"/>
      <c r="G26" s="15">
        <f t="shared" si="0"/>
        <v>8.75</v>
      </c>
      <c r="H26" s="14"/>
      <c r="I26" s="15">
        <f t="shared" si="2"/>
        <v>76.542000000000002</v>
      </c>
      <c r="J26" s="14"/>
      <c r="K26" s="13"/>
    </row>
    <row r="27" spans="1:11" ht="12.6" customHeight="1" x14ac:dyDescent="0.2">
      <c r="A27" s="13"/>
      <c r="B27" s="17" t="s">
        <v>1291</v>
      </c>
      <c r="C27" s="15"/>
      <c r="D27" s="14"/>
      <c r="E27" s="15">
        <f t="shared" si="1"/>
        <v>55.542000000000002</v>
      </c>
      <c r="F27" s="14"/>
      <c r="G27" s="15">
        <f t="shared" si="0"/>
        <v>0</v>
      </c>
      <c r="H27" s="14"/>
      <c r="I27" s="15">
        <f t="shared" si="2"/>
        <v>76.542000000000002</v>
      </c>
      <c r="J27" s="14"/>
      <c r="K27" s="13" t="s">
        <v>466</v>
      </c>
    </row>
    <row r="28" spans="1:11" ht="12.6" customHeight="1" x14ac:dyDescent="0.2">
      <c r="A28" s="13"/>
      <c r="B28" s="19" t="s">
        <v>1292</v>
      </c>
      <c r="C28" s="15"/>
      <c r="D28" s="14"/>
      <c r="E28" s="15">
        <f t="shared" si="1"/>
        <v>55.542000000000002</v>
      </c>
      <c r="F28" s="14"/>
      <c r="G28" s="15">
        <f t="shared" si="0"/>
        <v>0</v>
      </c>
      <c r="H28" s="14"/>
      <c r="I28" s="15">
        <f t="shared" si="2"/>
        <v>76.542000000000002</v>
      </c>
      <c r="J28" s="14"/>
      <c r="K28" s="13" t="s">
        <v>1231</v>
      </c>
    </row>
    <row r="29" spans="1:11" ht="12.6" customHeight="1" x14ac:dyDescent="0.2">
      <c r="A29" s="13">
        <v>42005</v>
      </c>
      <c r="B29" s="19"/>
      <c r="C29" s="15">
        <v>6.25</v>
      </c>
      <c r="D29" s="14"/>
      <c r="E29" s="15">
        <f t="shared" si="1"/>
        <v>61.792000000000002</v>
      </c>
      <c r="F29" s="14"/>
      <c r="G29" s="15">
        <f t="shared" si="0"/>
        <v>6.25</v>
      </c>
      <c r="H29" s="14"/>
      <c r="I29" s="15">
        <f t="shared" si="2"/>
        <v>82.792000000000002</v>
      </c>
      <c r="J29" s="14"/>
      <c r="K29" s="13"/>
    </row>
    <row r="30" spans="1:11" ht="12.6" customHeight="1" x14ac:dyDescent="0.2">
      <c r="A30" s="13"/>
      <c r="B30" s="19" t="s">
        <v>105</v>
      </c>
      <c r="C30" s="15"/>
      <c r="D30" s="14">
        <v>4</v>
      </c>
      <c r="E30" s="15">
        <f t="shared" si="1"/>
        <v>57.792000000000002</v>
      </c>
      <c r="F30" s="14"/>
      <c r="G30" s="15">
        <f t="shared" si="0"/>
        <v>0</v>
      </c>
      <c r="H30" s="14"/>
      <c r="I30" s="15">
        <f t="shared" si="2"/>
        <v>82.792000000000002</v>
      </c>
      <c r="J30" s="14"/>
      <c r="K30" s="16" t="s">
        <v>171</v>
      </c>
    </row>
    <row r="31" spans="1:11" ht="12.6" customHeight="1" x14ac:dyDescent="0.2">
      <c r="A31" s="13">
        <v>42095</v>
      </c>
      <c r="B31" s="19"/>
      <c r="C31" s="15">
        <v>3.75</v>
      </c>
      <c r="D31" s="14"/>
      <c r="E31" s="15">
        <f t="shared" si="1"/>
        <v>61.542000000000002</v>
      </c>
      <c r="F31" s="22"/>
      <c r="G31" s="15">
        <f t="shared" si="0"/>
        <v>3.75</v>
      </c>
      <c r="H31" s="22"/>
      <c r="I31" s="15">
        <f t="shared" si="2"/>
        <v>86.542000000000002</v>
      </c>
      <c r="J31" s="22"/>
      <c r="K31" s="23"/>
    </row>
    <row r="32" spans="1:11" ht="12.6" customHeight="1" x14ac:dyDescent="0.2">
      <c r="A32" s="13"/>
      <c r="B32" s="17" t="s">
        <v>60</v>
      </c>
      <c r="C32" s="15"/>
      <c r="D32" s="14">
        <v>5</v>
      </c>
      <c r="E32" s="15">
        <f t="shared" si="1"/>
        <v>56.542000000000002</v>
      </c>
      <c r="F32" s="22"/>
      <c r="G32" s="15">
        <f t="shared" si="0"/>
        <v>0</v>
      </c>
      <c r="H32" s="22"/>
      <c r="I32" s="15">
        <f t="shared" si="2"/>
        <v>86.542000000000002</v>
      </c>
      <c r="J32" s="22"/>
      <c r="K32" s="23" t="s">
        <v>1233</v>
      </c>
    </row>
    <row r="33" spans="1:11" ht="12.6" customHeight="1" x14ac:dyDescent="0.2">
      <c r="A33" s="13">
        <v>42156</v>
      </c>
      <c r="B33" s="17"/>
      <c r="C33" s="15">
        <v>2.5</v>
      </c>
      <c r="D33" s="14"/>
      <c r="E33" s="15">
        <f t="shared" si="1"/>
        <v>59.042000000000002</v>
      </c>
      <c r="F33" s="22"/>
      <c r="G33" s="15">
        <f t="shared" si="0"/>
        <v>2.5</v>
      </c>
      <c r="H33" s="22"/>
      <c r="I33" s="15">
        <f t="shared" si="2"/>
        <v>89.042000000000002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89.042000000000002</v>
      </c>
      <c r="D34" s="25">
        <f>SUM(D9:D33)</f>
        <v>30</v>
      </c>
      <c r="E34" s="25"/>
      <c r="F34" s="22"/>
      <c r="G34" s="25">
        <f>SUM(G7:G33)</f>
        <v>89.042000000000002</v>
      </c>
      <c r="H34" s="25">
        <f>SUM(H7:H33)</f>
        <v>0</v>
      </c>
      <c r="I34" s="15">
        <f t="shared" si="2"/>
        <v>178.084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CASTILLO, MEYNARDO P.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>
        <f>K1</f>
        <v>38892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271</v>
      </c>
      <c r="C43" s="15"/>
      <c r="D43" s="14"/>
      <c r="E43" s="15">
        <f>E33+C43-D43</f>
        <v>59.042000000000002</v>
      </c>
      <c r="F43" s="14"/>
      <c r="G43" s="15">
        <f>C43</f>
        <v>0</v>
      </c>
      <c r="H43" s="14">
        <v>5</v>
      </c>
      <c r="I43" s="15">
        <f>I33+G43-H43</f>
        <v>84.042000000000002</v>
      </c>
      <c r="J43" s="14"/>
      <c r="K43" s="13" t="s">
        <v>1293</v>
      </c>
    </row>
    <row r="44" spans="1:11" ht="12.6" customHeight="1" x14ac:dyDescent="0.2">
      <c r="A44" s="13">
        <v>42248</v>
      </c>
      <c r="B44" s="17"/>
      <c r="C44" s="15">
        <v>3.75</v>
      </c>
      <c r="D44" s="14"/>
      <c r="E44" s="15">
        <f>E43+C44-D44</f>
        <v>62.792000000000002</v>
      </c>
      <c r="F44" s="14"/>
      <c r="G44" s="15">
        <f t="shared" ref="G44:G68" si="3">C44</f>
        <v>3.75</v>
      </c>
      <c r="H44" s="14"/>
      <c r="I44" s="15">
        <f>I43+G44-H44</f>
        <v>87.792000000000002</v>
      </c>
      <c r="J44" s="14"/>
      <c r="K44" s="13"/>
    </row>
    <row r="45" spans="1:11" ht="12.6" customHeight="1" x14ac:dyDescent="0.2">
      <c r="A45" s="13"/>
      <c r="B45" s="19" t="s">
        <v>1234</v>
      </c>
      <c r="C45" s="15"/>
      <c r="D45" s="14">
        <v>2</v>
      </c>
      <c r="E45" s="15">
        <f t="shared" ref="E45:E68" si="4">E44+C45-D45</f>
        <v>60.792000000000002</v>
      </c>
      <c r="F45" s="14"/>
      <c r="G45" s="15">
        <f t="shared" si="3"/>
        <v>0</v>
      </c>
      <c r="H45" s="14"/>
      <c r="I45" s="15">
        <f t="shared" ref="I45:I68" si="5">I44+G45-H45</f>
        <v>87.792000000000002</v>
      </c>
      <c r="J45" s="14"/>
      <c r="K45" s="13" t="s">
        <v>1235</v>
      </c>
    </row>
    <row r="46" spans="1:11" ht="12.6" customHeight="1" x14ac:dyDescent="0.2">
      <c r="A46" s="13"/>
      <c r="B46" s="17" t="s">
        <v>1201</v>
      </c>
      <c r="C46" s="15"/>
      <c r="D46" s="14">
        <v>13</v>
      </c>
      <c r="E46" s="15">
        <f t="shared" si="4"/>
        <v>47.792000000000002</v>
      </c>
      <c r="F46" s="14"/>
      <c r="G46" s="15">
        <f t="shared" si="3"/>
        <v>0</v>
      </c>
      <c r="H46" s="14"/>
      <c r="I46" s="15">
        <f t="shared" si="5"/>
        <v>87.792000000000002</v>
      </c>
      <c r="J46" s="14" t="s">
        <v>23</v>
      </c>
      <c r="K46" s="13" t="s">
        <v>1294</v>
      </c>
    </row>
    <row r="47" spans="1:11" ht="12.6" customHeight="1" x14ac:dyDescent="0.2">
      <c r="A47" s="13">
        <v>42278</v>
      </c>
      <c r="B47" s="19"/>
      <c r="C47" s="15">
        <v>1.25</v>
      </c>
      <c r="D47" s="14"/>
      <c r="E47" s="15">
        <f t="shared" si="4"/>
        <v>49.042000000000002</v>
      </c>
      <c r="F47" s="14"/>
      <c r="G47" s="15">
        <f t="shared" si="3"/>
        <v>1.25</v>
      </c>
      <c r="H47" s="14"/>
      <c r="I47" s="15">
        <f t="shared" si="5"/>
        <v>89.042000000000002</v>
      </c>
      <c r="J47" s="14"/>
      <c r="K47" s="13"/>
    </row>
    <row r="48" spans="1:11" ht="12.6" customHeight="1" x14ac:dyDescent="0.2">
      <c r="A48" s="13">
        <v>42461</v>
      </c>
      <c r="B48" s="17"/>
      <c r="C48" s="15">
        <v>7.5</v>
      </c>
      <c r="D48" s="14"/>
      <c r="E48" s="15">
        <f t="shared" si="4"/>
        <v>56.542000000000002</v>
      </c>
      <c r="F48" s="14"/>
      <c r="G48" s="15">
        <f t="shared" si="3"/>
        <v>7.5</v>
      </c>
      <c r="H48" s="14"/>
      <c r="I48" s="15">
        <f t="shared" si="5"/>
        <v>96.542000000000002</v>
      </c>
      <c r="J48" s="14"/>
      <c r="K48" s="13"/>
    </row>
    <row r="49" spans="1:11" ht="12.6" customHeight="1" x14ac:dyDescent="0.2">
      <c r="A49" s="13"/>
      <c r="B49" s="19" t="s">
        <v>47</v>
      </c>
      <c r="C49" s="15"/>
      <c r="D49" s="14"/>
      <c r="E49" s="15">
        <f t="shared" si="4"/>
        <v>56.542000000000002</v>
      </c>
      <c r="F49" s="14"/>
      <c r="G49" s="15">
        <f t="shared" si="3"/>
        <v>0</v>
      </c>
      <c r="H49" s="14">
        <v>1</v>
      </c>
      <c r="I49" s="15">
        <f t="shared" si="5"/>
        <v>95.542000000000002</v>
      </c>
      <c r="J49" s="14"/>
      <c r="K49" s="13">
        <v>42485</v>
      </c>
    </row>
    <row r="50" spans="1:11" ht="12.6" customHeight="1" x14ac:dyDescent="0.2">
      <c r="A50" s="13">
        <v>42491</v>
      </c>
      <c r="B50" s="19"/>
      <c r="C50" s="15">
        <v>1.25</v>
      </c>
      <c r="D50" s="14"/>
      <c r="E50" s="15">
        <f t="shared" si="4"/>
        <v>57.792000000000002</v>
      </c>
      <c r="F50" s="14"/>
      <c r="G50" s="15">
        <f t="shared" si="3"/>
        <v>1.25</v>
      </c>
      <c r="H50" s="14"/>
      <c r="I50" s="15">
        <f t="shared" si="5"/>
        <v>96.792000000000002</v>
      </c>
      <c r="J50" s="14"/>
      <c r="K50" s="13"/>
    </row>
    <row r="51" spans="1:11" ht="12.6" customHeight="1" x14ac:dyDescent="0.2">
      <c r="A51" s="13"/>
      <c r="B51" s="17" t="s">
        <v>60</v>
      </c>
      <c r="C51" s="15"/>
      <c r="D51" s="14">
        <v>5</v>
      </c>
      <c r="E51" s="15">
        <f t="shared" si="4"/>
        <v>52.792000000000002</v>
      </c>
      <c r="F51" s="14"/>
      <c r="G51" s="15">
        <f t="shared" si="3"/>
        <v>0</v>
      </c>
      <c r="H51" s="14"/>
      <c r="I51" s="15">
        <f t="shared" si="5"/>
        <v>96.792000000000002</v>
      </c>
      <c r="J51" s="14"/>
      <c r="K51" s="16" t="s">
        <v>1236</v>
      </c>
    </row>
    <row r="52" spans="1:11" ht="12.6" customHeight="1" x14ac:dyDescent="0.2">
      <c r="A52" s="13">
        <v>42675</v>
      </c>
      <c r="B52" s="19"/>
      <c r="C52" s="15">
        <v>7.5</v>
      </c>
      <c r="D52" s="14"/>
      <c r="E52" s="15">
        <f>E51+C52-D52</f>
        <v>60.292000000000002</v>
      </c>
      <c r="F52" s="14"/>
      <c r="G52" s="15">
        <f t="shared" si="3"/>
        <v>7.5</v>
      </c>
      <c r="H52" s="14"/>
      <c r="I52" s="15">
        <f t="shared" si="5"/>
        <v>104.292</v>
      </c>
      <c r="J52" s="14"/>
      <c r="K52" s="13"/>
    </row>
    <row r="53" spans="1:11" ht="12.6" customHeight="1" x14ac:dyDescent="0.2">
      <c r="A53" s="13"/>
      <c r="B53" s="19" t="s">
        <v>47</v>
      </c>
      <c r="C53" s="15"/>
      <c r="D53" s="14"/>
      <c r="E53" s="15">
        <f t="shared" si="4"/>
        <v>60.292000000000002</v>
      </c>
      <c r="F53" s="14"/>
      <c r="G53" s="15">
        <f t="shared" si="3"/>
        <v>0</v>
      </c>
      <c r="H53" s="14">
        <v>1</v>
      </c>
      <c r="I53" s="15">
        <f t="shared" si="5"/>
        <v>103.292</v>
      </c>
      <c r="J53" s="14"/>
      <c r="K53" s="13">
        <v>42653</v>
      </c>
    </row>
    <row r="54" spans="1:11" ht="12.6" customHeight="1" x14ac:dyDescent="0.2">
      <c r="A54" s="13">
        <v>42887</v>
      </c>
      <c r="B54" s="19"/>
      <c r="C54" s="15">
        <v>8.75</v>
      </c>
      <c r="D54" s="14"/>
      <c r="E54" s="15">
        <f>E53+C54-D54</f>
        <v>69.042000000000002</v>
      </c>
      <c r="F54" s="14"/>
      <c r="G54" s="15">
        <f t="shared" si="3"/>
        <v>8.75</v>
      </c>
      <c r="H54" s="14"/>
      <c r="I54" s="15">
        <f t="shared" si="5"/>
        <v>112.042</v>
      </c>
      <c r="J54" s="14"/>
      <c r="K54" s="13"/>
    </row>
    <row r="55" spans="1:11" ht="12.6" customHeight="1" x14ac:dyDescent="0.2">
      <c r="A55" s="13"/>
      <c r="B55" s="19" t="s">
        <v>52</v>
      </c>
      <c r="C55" s="15"/>
      <c r="D55" s="14"/>
      <c r="E55" s="15">
        <f t="shared" si="4"/>
        <v>69.042000000000002</v>
      </c>
      <c r="F55" s="14"/>
      <c r="G55" s="15">
        <f t="shared" si="3"/>
        <v>0</v>
      </c>
      <c r="H55" s="14">
        <v>2</v>
      </c>
      <c r="I55" s="15">
        <f t="shared" si="5"/>
        <v>110.042</v>
      </c>
      <c r="J55" s="14"/>
      <c r="K55" s="13" t="s">
        <v>1237</v>
      </c>
    </row>
    <row r="56" spans="1:11" ht="12.6" customHeight="1" x14ac:dyDescent="0.2">
      <c r="A56" s="13"/>
      <c r="B56" s="19" t="s">
        <v>76</v>
      </c>
      <c r="C56" s="15"/>
      <c r="D56" s="14">
        <v>2</v>
      </c>
      <c r="E56" s="15">
        <f t="shared" si="4"/>
        <v>67.042000000000002</v>
      </c>
      <c r="F56" s="14"/>
      <c r="G56" s="15">
        <f t="shared" si="3"/>
        <v>0</v>
      </c>
      <c r="H56" s="14"/>
      <c r="I56" s="15">
        <f t="shared" si="5"/>
        <v>110.042</v>
      </c>
      <c r="J56" s="14"/>
      <c r="K56" s="16" t="s">
        <v>1239</v>
      </c>
    </row>
    <row r="57" spans="1:11" ht="12.6" customHeight="1" x14ac:dyDescent="0.2">
      <c r="A57" s="13"/>
      <c r="B57" s="19" t="s">
        <v>1238</v>
      </c>
      <c r="C57" s="15"/>
      <c r="D57" s="14"/>
      <c r="E57" s="15">
        <f t="shared" si="4"/>
        <v>67.042000000000002</v>
      </c>
      <c r="F57" s="14"/>
      <c r="G57" s="15">
        <f t="shared" si="3"/>
        <v>0</v>
      </c>
      <c r="H57" s="14"/>
      <c r="I57" s="15">
        <f t="shared" si="5"/>
        <v>110.042</v>
      </c>
      <c r="J57" s="14"/>
      <c r="K57" s="13" t="s">
        <v>1240</v>
      </c>
    </row>
    <row r="58" spans="1:11" ht="12.6" customHeight="1" x14ac:dyDescent="0.2">
      <c r="A58" s="13">
        <v>42948</v>
      </c>
      <c r="B58" s="17"/>
      <c r="C58" s="15">
        <v>2.5</v>
      </c>
      <c r="D58" s="14"/>
      <c r="E58" s="15">
        <f t="shared" si="4"/>
        <v>69.542000000000002</v>
      </c>
      <c r="F58" s="14"/>
      <c r="G58" s="15">
        <f t="shared" si="3"/>
        <v>2.5</v>
      </c>
      <c r="H58" s="14"/>
      <c r="I58" s="15">
        <f t="shared" si="5"/>
        <v>112.542</v>
      </c>
      <c r="J58" s="14"/>
      <c r="K58" s="13"/>
    </row>
    <row r="59" spans="1:11" ht="12.6" customHeight="1" x14ac:dyDescent="0.2">
      <c r="A59" s="13"/>
      <c r="B59" s="19" t="s">
        <v>47</v>
      </c>
      <c r="C59" s="15"/>
      <c r="D59" s="14"/>
      <c r="E59" s="15">
        <f t="shared" si="4"/>
        <v>69.542000000000002</v>
      </c>
      <c r="F59" s="14"/>
      <c r="G59" s="15">
        <f t="shared" si="3"/>
        <v>0</v>
      </c>
      <c r="H59" s="14">
        <v>1</v>
      </c>
      <c r="I59" s="15">
        <f t="shared" si="5"/>
        <v>111.542</v>
      </c>
      <c r="J59" s="14"/>
      <c r="K59" s="13">
        <v>42969</v>
      </c>
    </row>
    <row r="60" spans="1:11" ht="12.6" customHeight="1" x14ac:dyDescent="0.2">
      <c r="A60" s="13">
        <v>43009</v>
      </c>
      <c r="B60" s="19"/>
      <c r="C60" s="15">
        <v>2.5</v>
      </c>
      <c r="D60" s="14"/>
      <c r="E60" s="15">
        <f t="shared" si="4"/>
        <v>72.042000000000002</v>
      </c>
      <c r="F60" s="14"/>
      <c r="G60" s="15">
        <f t="shared" si="3"/>
        <v>2.5</v>
      </c>
      <c r="H60" s="14"/>
      <c r="I60" s="15">
        <f t="shared" si="5"/>
        <v>114.042</v>
      </c>
      <c r="J60" s="14"/>
      <c r="K60" s="13"/>
    </row>
    <row r="61" spans="1:11" ht="12.6" customHeight="1" x14ac:dyDescent="0.2">
      <c r="A61" s="13"/>
      <c r="B61" s="19" t="s">
        <v>47</v>
      </c>
      <c r="C61" s="15"/>
      <c r="D61" s="14"/>
      <c r="E61" s="15">
        <f t="shared" si="4"/>
        <v>72.042000000000002</v>
      </c>
      <c r="F61" s="14"/>
      <c r="G61" s="15">
        <f t="shared" si="3"/>
        <v>0</v>
      </c>
      <c r="H61" s="14">
        <v>1</v>
      </c>
      <c r="I61" s="15">
        <f t="shared" si="5"/>
        <v>113.042</v>
      </c>
      <c r="J61" s="14"/>
      <c r="K61" s="13">
        <v>43026</v>
      </c>
    </row>
    <row r="62" spans="1:11" ht="12.6" customHeight="1" x14ac:dyDescent="0.2">
      <c r="A62" s="13">
        <v>43070</v>
      </c>
      <c r="B62" s="17"/>
      <c r="C62" s="15">
        <v>2.5</v>
      </c>
      <c r="D62" s="14"/>
      <c r="E62" s="15">
        <f t="shared" si="4"/>
        <v>74.542000000000002</v>
      </c>
      <c r="F62" s="14"/>
      <c r="G62" s="15">
        <f t="shared" si="3"/>
        <v>2.5</v>
      </c>
      <c r="H62" s="14"/>
      <c r="I62" s="15">
        <f t="shared" si="5"/>
        <v>115.542</v>
      </c>
      <c r="J62" s="14"/>
      <c r="K62" s="16"/>
    </row>
    <row r="63" spans="1:11" ht="12.6" customHeight="1" x14ac:dyDescent="0.2">
      <c r="A63" s="13"/>
      <c r="B63" s="19" t="s">
        <v>1242</v>
      </c>
      <c r="C63" s="15"/>
      <c r="D63" s="14">
        <v>4</v>
      </c>
      <c r="E63" s="15">
        <f t="shared" si="4"/>
        <v>70.542000000000002</v>
      </c>
      <c r="F63" s="14"/>
      <c r="G63" s="15">
        <f t="shared" si="3"/>
        <v>0</v>
      </c>
      <c r="H63" s="14"/>
      <c r="I63" s="15">
        <f t="shared" si="5"/>
        <v>115.542</v>
      </c>
      <c r="J63" s="14"/>
      <c r="K63" s="13" t="s">
        <v>1241</v>
      </c>
    </row>
    <row r="64" spans="1:11" ht="12.6" customHeight="1" x14ac:dyDescent="0.2">
      <c r="A64" s="29"/>
      <c r="B64" s="17" t="s">
        <v>1243</v>
      </c>
      <c r="C64" s="15"/>
      <c r="D64" s="14"/>
      <c r="E64" s="15">
        <f t="shared" si="4"/>
        <v>70.542000000000002</v>
      </c>
      <c r="F64" s="14"/>
      <c r="G64" s="15">
        <f>C64</f>
        <v>0</v>
      </c>
      <c r="H64" s="14">
        <v>1</v>
      </c>
      <c r="I64" s="15">
        <f t="shared" si="5"/>
        <v>114.542</v>
      </c>
      <c r="J64" s="14"/>
      <c r="K64" s="29">
        <v>43087</v>
      </c>
    </row>
    <row r="65" spans="1:11" ht="12.6" customHeight="1" x14ac:dyDescent="0.2">
      <c r="A65" s="13">
        <v>43160</v>
      </c>
      <c r="B65" s="19"/>
      <c r="C65" s="15">
        <v>3.75</v>
      </c>
      <c r="D65" s="21"/>
      <c r="E65" s="15">
        <f t="shared" si="4"/>
        <v>74.292000000000002</v>
      </c>
      <c r="F65" s="14"/>
      <c r="G65" s="15">
        <f t="shared" si="3"/>
        <v>3.75</v>
      </c>
      <c r="H65" s="14"/>
      <c r="I65" s="15">
        <f t="shared" si="5"/>
        <v>118.292</v>
      </c>
      <c r="J65" s="14"/>
      <c r="K65" s="13"/>
    </row>
    <row r="66" spans="1:11" ht="12.6" customHeight="1" x14ac:dyDescent="0.2">
      <c r="A66" s="13"/>
      <c r="B66" s="19" t="s">
        <v>90</v>
      </c>
      <c r="C66" s="15"/>
      <c r="D66" s="14"/>
      <c r="E66" s="15">
        <f t="shared" si="4"/>
        <v>74.292000000000002</v>
      </c>
      <c r="F66" s="14"/>
      <c r="G66" s="15">
        <f t="shared" si="3"/>
        <v>0</v>
      </c>
      <c r="H66" s="14"/>
      <c r="I66" s="15">
        <f t="shared" si="5"/>
        <v>118.292</v>
      </c>
      <c r="J66" s="14"/>
      <c r="K66" s="13" t="s">
        <v>1244</v>
      </c>
    </row>
    <row r="67" spans="1:11" ht="12.6" customHeight="1" x14ac:dyDescent="0.2">
      <c r="A67" s="30">
        <v>43191</v>
      </c>
      <c r="B67" s="19"/>
      <c r="C67" s="15">
        <v>1.25</v>
      </c>
      <c r="D67" s="14"/>
      <c r="E67" s="15">
        <f t="shared" si="4"/>
        <v>75.542000000000002</v>
      </c>
      <c r="F67" s="14"/>
      <c r="G67" s="15">
        <f t="shared" si="3"/>
        <v>1.25</v>
      </c>
      <c r="H67" s="31"/>
      <c r="I67" s="15">
        <f t="shared" si="5"/>
        <v>119.542</v>
      </c>
      <c r="J67" s="31"/>
      <c r="K67" s="30"/>
    </row>
    <row r="68" spans="1:11" ht="12.6" customHeight="1" x14ac:dyDescent="0.2">
      <c r="A68" s="13"/>
      <c r="B68" s="19" t="s">
        <v>271</v>
      </c>
      <c r="C68" s="15"/>
      <c r="D68" s="14"/>
      <c r="E68" s="15">
        <f t="shared" si="4"/>
        <v>75.542000000000002</v>
      </c>
      <c r="F68" s="14"/>
      <c r="G68" s="15">
        <f t="shared" si="3"/>
        <v>0</v>
      </c>
      <c r="H68" s="14">
        <v>5</v>
      </c>
      <c r="I68" s="15">
        <f t="shared" si="5"/>
        <v>114.542</v>
      </c>
      <c r="J68" s="14"/>
      <c r="K68" s="13" t="s">
        <v>1245</v>
      </c>
    </row>
    <row r="69" spans="1:11" ht="12.6" customHeight="1" x14ac:dyDescent="0.2">
      <c r="A69" s="24" t="s">
        <v>15</v>
      </c>
      <c r="B69" s="19"/>
      <c r="C69" s="15">
        <f>SUM(C43:C68)</f>
        <v>42.5</v>
      </c>
      <c r="D69" s="15">
        <f>SUM(D43:D68)</f>
        <v>26</v>
      </c>
      <c r="E69" s="15" t="s">
        <v>17</v>
      </c>
      <c r="F69" s="32"/>
      <c r="G69" s="15">
        <f>SUM(G43:G68)</f>
        <v>42.5</v>
      </c>
      <c r="H69" s="15">
        <f>SUM(H43:H68)</f>
        <v>17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CASTILLO, MEYNARDO P.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>
        <f>K1</f>
        <v>38892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>
        <v>43282</v>
      </c>
      <c r="B82" s="19"/>
      <c r="C82" s="15">
        <v>3.75</v>
      </c>
      <c r="D82" s="14"/>
      <c r="E82" s="15">
        <f>E68+C82-D82</f>
        <v>79.292000000000002</v>
      </c>
      <c r="F82" s="14"/>
      <c r="G82" s="15">
        <f>C82</f>
        <v>3.75</v>
      </c>
      <c r="H82" s="14"/>
      <c r="I82" s="15">
        <f>I68+G82-H82</f>
        <v>118.292</v>
      </c>
      <c r="J82" s="14"/>
      <c r="K82" s="13"/>
    </row>
    <row r="83" spans="1:11" ht="12.6" customHeight="1" x14ac:dyDescent="0.2">
      <c r="A83" s="13"/>
      <c r="B83" s="17" t="s">
        <v>74</v>
      </c>
      <c r="C83" s="15"/>
      <c r="D83" s="14">
        <v>1</v>
      </c>
      <c r="E83" s="15">
        <f>E82+C83-D83</f>
        <v>78.292000000000002</v>
      </c>
      <c r="F83" s="14"/>
      <c r="G83" s="15">
        <f t="shared" ref="G83:G107" si="6">C83</f>
        <v>0</v>
      </c>
      <c r="H83" s="14"/>
      <c r="I83" s="15">
        <f>I82+G83-H83</f>
        <v>118.292</v>
      </c>
      <c r="J83" s="22"/>
      <c r="K83" s="30">
        <v>43283</v>
      </c>
    </row>
    <row r="84" spans="1:11" ht="12.6" customHeight="1" x14ac:dyDescent="0.2">
      <c r="A84" s="13">
        <v>43313</v>
      </c>
      <c r="B84" s="19"/>
      <c r="C84" s="15">
        <v>1.25</v>
      </c>
      <c r="D84" s="14"/>
      <c r="E84" s="15">
        <f t="shared" ref="E84:E107" si="7">E83+C84-D84</f>
        <v>79.542000000000002</v>
      </c>
      <c r="F84" s="14"/>
      <c r="G84" s="15">
        <f>C84</f>
        <v>1.25</v>
      </c>
      <c r="H84" s="14"/>
      <c r="I84" s="15">
        <f t="shared" ref="I84:I107" si="8">I83+G84-H84</f>
        <v>119.542</v>
      </c>
      <c r="J84" s="14"/>
      <c r="K84" s="90"/>
    </row>
    <row r="85" spans="1:11" ht="12.6" customHeight="1" x14ac:dyDescent="0.2">
      <c r="A85" s="13"/>
      <c r="B85" s="19" t="s">
        <v>1246</v>
      </c>
      <c r="C85" s="15"/>
      <c r="D85" s="14">
        <v>5</v>
      </c>
      <c r="E85" s="15">
        <f t="shared" si="7"/>
        <v>74.542000000000002</v>
      </c>
      <c r="F85" s="14"/>
      <c r="G85" s="15">
        <f t="shared" si="6"/>
        <v>0</v>
      </c>
      <c r="H85" s="14">
        <v>5</v>
      </c>
      <c r="I85" s="15">
        <f t="shared" si="8"/>
        <v>114.542</v>
      </c>
      <c r="J85" s="14"/>
      <c r="K85" s="90" t="s">
        <v>741</v>
      </c>
    </row>
    <row r="86" spans="1:11" ht="12.6" customHeight="1" x14ac:dyDescent="0.2">
      <c r="A86" s="29">
        <v>43344</v>
      </c>
      <c r="B86" s="19"/>
      <c r="C86" s="15">
        <v>1.25</v>
      </c>
      <c r="D86" s="14"/>
      <c r="E86" s="15">
        <f t="shared" si="7"/>
        <v>75.792000000000002</v>
      </c>
      <c r="F86" s="14"/>
      <c r="G86" s="15">
        <f t="shared" si="6"/>
        <v>1.25</v>
      </c>
      <c r="H86" s="14"/>
      <c r="I86" s="15">
        <f t="shared" si="8"/>
        <v>115.792</v>
      </c>
      <c r="J86" s="14"/>
      <c r="K86" s="13"/>
    </row>
    <row r="87" spans="1:11" ht="12.6" customHeight="1" x14ac:dyDescent="0.2">
      <c r="A87" s="13"/>
      <c r="B87" s="19" t="s">
        <v>47</v>
      </c>
      <c r="C87" s="15"/>
      <c r="D87" s="14"/>
      <c r="E87" s="15">
        <f t="shared" si="7"/>
        <v>75.792000000000002</v>
      </c>
      <c r="F87" s="14"/>
      <c r="G87" s="15">
        <f t="shared" si="6"/>
        <v>0</v>
      </c>
      <c r="H87" s="14">
        <v>1</v>
      </c>
      <c r="I87" s="15">
        <f t="shared" si="8"/>
        <v>114.792</v>
      </c>
      <c r="J87" s="14"/>
      <c r="K87" s="13">
        <v>46262</v>
      </c>
    </row>
    <row r="88" spans="1:11" ht="12.6" customHeight="1" x14ac:dyDescent="0.2">
      <c r="A88" s="13">
        <v>43466</v>
      </c>
      <c r="B88" s="17"/>
      <c r="C88" s="15">
        <v>5</v>
      </c>
      <c r="D88" s="14"/>
      <c r="E88" s="15">
        <f t="shared" si="7"/>
        <v>80.792000000000002</v>
      </c>
      <c r="F88" s="14"/>
      <c r="G88" s="15">
        <f t="shared" si="6"/>
        <v>5</v>
      </c>
      <c r="H88" s="14"/>
      <c r="I88" s="15">
        <f t="shared" si="8"/>
        <v>119.792</v>
      </c>
      <c r="J88" s="14"/>
      <c r="K88" s="13"/>
    </row>
    <row r="89" spans="1:11" ht="12.6" customHeight="1" x14ac:dyDescent="0.2">
      <c r="A89" s="13"/>
      <c r="B89" s="19" t="s">
        <v>105</v>
      </c>
      <c r="C89" s="15"/>
      <c r="D89" s="14">
        <v>4</v>
      </c>
      <c r="E89" s="15">
        <f t="shared" si="7"/>
        <v>76.792000000000002</v>
      </c>
      <c r="F89" s="14"/>
      <c r="G89" s="15">
        <f t="shared" si="6"/>
        <v>0</v>
      </c>
      <c r="H89" s="14"/>
      <c r="I89" s="15">
        <f t="shared" si="8"/>
        <v>119.792</v>
      </c>
      <c r="J89" s="14"/>
      <c r="K89" s="16" t="s">
        <v>886</v>
      </c>
    </row>
    <row r="90" spans="1:11" ht="12.6" customHeight="1" x14ac:dyDescent="0.2">
      <c r="A90" s="13">
        <v>43556</v>
      </c>
      <c r="B90" s="17"/>
      <c r="C90" s="15">
        <v>3.75</v>
      </c>
      <c r="D90" s="14"/>
      <c r="E90" s="15">
        <f t="shared" si="7"/>
        <v>80.542000000000002</v>
      </c>
      <c r="F90" s="14"/>
      <c r="G90" s="15">
        <f t="shared" si="6"/>
        <v>3.75</v>
      </c>
      <c r="H90" s="14"/>
      <c r="I90" s="15">
        <f t="shared" si="8"/>
        <v>123.542</v>
      </c>
      <c r="J90" s="14"/>
      <c r="K90" s="16"/>
    </row>
    <row r="91" spans="1:11" ht="12.6" customHeight="1" x14ac:dyDescent="0.2">
      <c r="A91" s="13"/>
      <c r="B91" s="17" t="s">
        <v>52</v>
      </c>
      <c r="C91" s="15"/>
      <c r="D91" s="14"/>
      <c r="E91" s="15">
        <f t="shared" si="7"/>
        <v>80.542000000000002</v>
      </c>
      <c r="F91" s="14"/>
      <c r="G91" s="15">
        <f t="shared" si="6"/>
        <v>0</v>
      </c>
      <c r="H91" s="14">
        <v>2</v>
      </c>
      <c r="I91" s="15">
        <f t="shared" si="8"/>
        <v>121.542</v>
      </c>
      <c r="J91" s="14"/>
      <c r="K91" s="16" t="s">
        <v>1247</v>
      </c>
    </row>
    <row r="92" spans="1:11" ht="12.6" customHeight="1" x14ac:dyDescent="0.2">
      <c r="A92" s="13"/>
      <c r="B92" s="19" t="s">
        <v>1226</v>
      </c>
      <c r="C92" s="15"/>
      <c r="D92" s="14"/>
      <c r="E92" s="15">
        <f t="shared" si="7"/>
        <v>80.542000000000002</v>
      </c>
      <c r="F92" s="14"/>
      <c r="G92" s="15">
        <f t="shared" si="6"/>
        <v>0</v>
      </c>
      <c r="H92" s="14"/>
      <c r="I92" s="15">
        <f t="shared" si="8"/>
        <v>121.542</v>
      </c>
      <c r="J92" s="14"/>
      <c r="K92" s="13" t="s">
        <v>1248</v>
      </c>
    </row>
    <row r="93" spans="1:11" ht="12.6" customHeight="1" x14ac:dyDescent="0.2">
      <c r="A93" s="13">
        <v>43586</v>
      </c>
      <c r="B93" s="17"/>
      <c r="C93" s="15">
        <v>1.25</v>
      </c>
      <c r="D93" s="14"/>
      <c r="E93" s="15">
        <f t="shared" si="7"/>
        <v>81.792000000000002</v>
      </c>
      <c r="F93" s="14"/>
      <c r="G93" s="15">
        <f t="shared" si="6"/>
        <v>1.25</v>
      </c>
      <c r="H93" s="14"/>
      <c r="I93" s="15">
        <f t="shared" si="8"/>
        <v>122.792</v>
      </c>
      <c r="J93" s="14"/>
      <c r="K93" s="13"/>
    </row>
    <row r="94" spans="1:11" ht="12.6" customHeight="1" x14ac:dyDescent="0.2">
      <c r="A94" s="13"/>
      <c r="B94" s="19" t="s">
        <v>47</v>
      </c>
      <c r="C94" s="15"/>
      <c r="D94" s="14"/>
      <c r="E94" s="15">
        <f t="shared" si="7"/>
        <v>81.792000000000002</v>
      </c>
      <c r="F94" s="14"/>
      <c r="G94" s="15">
        <f t="shared" si="6"/>
        <v>0</v>
      </c>
      <c r="H94" s="14">
        <v>1</v>
      </c>
      <c r="I94" s="15">
        <f t="shared" si="8"/>
        <v>121.792</v>
      </c>
      <c r="J94" s="14"/>
      <c r="K94" s="13">
        <v>43591</v>
      </c>
    </row>
    <row r="95" spans="1:11" ht="12.6" customHeight="1" x14ac:dyDescent="0.2">
      <c r="A95" s="13"/>
      <c r="B95" s="19" t="s">
        <v>47</v>
      </c>
      <c r="C95" s="15"/>
      <c r="D95" s="14"/>
      <c r="E95" s="15">
        <f t="shared" si="7"/>
        <v>81.792000000000002</v>
      </c>
      <c r="F95" s="14"/>
      <c r="G95" s="15">
        <f t="shared" si="6"/>
        <v>0</v>
      </c>
      <c r="H95" s="14">
        <v>1</v>
      </c>
      <c r="I95" s="15">
        <f t="shared" si="8"/>
        <v>120.792</v>
      </c>
      <c r="J95" s="14"/>
      <c r="K95" s="13">
        <v>43612</v>
      </c>
    </row>
    <row r="96" spans="1:11" ht="12.6" customHeight="1" x14ac:dyDescent="0.2">
      <c r="A96" s="13">
        <v>43617</v>
      </c>
      <c r="B96" s="19"/>
      <c r="C96" s="15">
        <v>1.25</v>
      </c>
      <c r="D96" s="14"/>
      <c r="E96" s="15">
        <f t="shared" si="7"/>
        <v>83.042000000000002</v>
      </c>
      <c r="F96" s="14"/>
      <c r="G96" s="15">
        <f t="shared" si="6"/>
        <v>1.25</v>
      </c>
      <c r="H96" s="14"/>
      <c r="I96" s="15">
        <f t="shared" si="8"/>
        <v>122.042</v>
      </c>
      <c r="J96" s="14"/>
      <c r="K96" s="33"/>
    </row>
    <row r="97" spans="1:11" ht="12.6" customHeight="1" x14ac:dyDescent="0.2">
      <c r="A97" s="13"/>
      <c r="B97" s="19"/>
      <c r="C97" s="15"/>
      <c r="D97" s="14">
        <v>0.05</v>
      </c>
      <c r="E97" s="15">
        <f t="shared" si="7"/>
        <v>82.992000000000004</v>
      </c>
      <c r="F97" s="14"/>
      <c r="G97" s="15">
        <f t="shared" si="6"/>
        <v>0</v>
      </c>
      <c r="H97" s="14"/>
      <c r="I97" s="15">
        <f t="shared" si="8"/>
        <v>122.042</v>
      </c>
      <c r="J97" s="14"/>
      <c r="K97" s="13" t="s">
        <v>746</v>
      </c>
    </row>
    <row r="98" spans="1:11" ht="12.6" customHeight="1" x14ac:dyDescent="0.2">
      <c r="A98" s="13">
        <v>43739</v>
      </c>
      <c r="B98" s="19"/>
      <c r="C98" s="15">
        <v>5</v>
      </c>
      <c r="D98" s="14"/>
      <c r="E98" s="15">
        <f t="shared" si="7"/>
        <v>87.992000000000004</v>
      </c>
      <c r="F98" s="14"/>
      <c r="G98" s="15">
        <f t="shared" si="6"/>
        <v>5</v>
      </c>
      <c r="H98" s="14"/>
      <c r="I98" s="15">
        <f t="shared" si="8"/>
        <v>127.042</v>
      </c>
      <c r="J98" s="14"/>
      <c r="K98" s="16"/>
    </row>
    <row r="99" spans="1:11" ht="12.6" customHeight="1" x14ac:dyDescent="0.2">
      <c r="A99" s="13"/>
      <c r="B99" s="19" t="s">
        <v>56</v>
      </c>
      <c r="C99" s="15"/>
      <c r="D99" s="14">
        <v>4</v>
      </c>
      <c r="E99" s="15">
        <f t="shared" si="7"/>
        <v>83.992000000000004</v>
      </c>
      <c r="F99" s="14"/>
      <c r="G99" s="15">
        <f t="shared" si="6"/>
        <v>0</v>
      </c>
      <c r="H99" s="14"/>
      <c r="I99" s="15">
        <f t="shared" si="8"/>
        <v>127.042</v>
      </c>
      <c r="J99" s="14"/>
      <c r="K99" s="13" t="s">
        <v>1249</v>
      </c>
    </row>
    <row r="100" spans="1:11" ht="12.6" customHeight="1" x14ac:dyDescent="0.2">
      <c r="A100" s="13">
        <v>43831</v>
      </c>
      <c r="B100" s="19"/>
      <c r="C100" s="15">
        <v>3.75</v>
      </c>
      <c r="D100" s="14"/>
      <c r="E100" s="15">
        <f t="shared" si="7"/>
        <v>87.742000000000004</v>
      </c>
      <c r="F100" s="14"/>
      <c r="G100" s="15">
        <f t="shared" si="6"/>
        <v>3.75</v>
      </c>
      <c r="H100" s="14"/>
      <c r="I100" s="15">
        <f t="shared" si="8"/>
        <v>130.792</v>
      </c>
      <c r="J100" s="14"/>
      <c r="K100" s="13"/>
    </row>
    <row r="101" spans="1:11" ht="12.6" customHeight="1" x14ac:dyDescent="0.2">
      <c r="A101" s="13"/>
      <c r="B101" s="19" t="s">
        <v>57</v>
      </c>
      <c r="C101" s="15"/>
      <c r="D101" s="14">
        <v>1</v>
      </c>
      <c r="E101" s="15">
        <f t="shared" si="7"/>
        <v>86.742000000000004</v>
      </c>
      <c r="F101" s="14"/>
      <c r="G101" s="15">
        <f t="shared" si="6"/>
        <v>0</v>
      </c>
      <c r="H101" s="14"/>
      <c r="I101" s="15">
        <f t="shared" si="8"/>
        <v>130.792</v>
      </c>
      <c r="J101" s="14"/>
      <c r="K101" s="13" t="s">
        <v>537</v>
      </c>
    </row>
    <row r="102" spans="1:11" ht="12.6" customHeight="1" x14ac:dyDescent="0.2">
      <c r="A102" s="13">
        <v>44013</v>
      </c>
      <c r="B102" s="19"/>
      <c r="C102" s="15">
        <v>7.5</v>
      </c>
      <c r="D102" s="14"/>
      <c r="E102" s="15">
        <f t="shared" si="7"/>
        <v>94.242000000000004</v>
      </c>
      <c r="F102" s="14"/>
      <c r="G102" s="15">
        <f t="shared" si="6"/>
        <v>7.5</v>
      </c>
      <c r="H102" s="14"/>
      <c r="I102" s="15">
        <f t="shared" si="8"/>
        <v>138.292</v>
      </c>
      <c r="J102" s="14"/>
      <c r="K102" s="13"/>
    </row>
    <row r="103" spans="1:11" ht="12.6" customHeight="1" x14ac:dyDescent="0.2">
      <c r="A103" s="13"/>
      <c r="B103" s="19" t="s">
        <v>1250</v>
      </c>
      <c r="C103" s="15"/>
      <c r="D103" s="14"/>
      <c r="E103" s="15">
        <f t="shared" si="7"/>
        <v>94.242000000000004</v>
      </c>
      <c r="F103" s="14"/>
      <c r="G103" s="15">
        <f t="shared" si="6"/>
        <v>0</v>
      </c>
      <c r="H103" s="14">
        <v>1</v>
      </c>
      <c r="I103" s="15">
        <f t="shared" si="8"/>
        <v>137.292</v>
      </c>
      <c r="J103" s="14"/>
      <c r="K103" s="13">
        <v>44008</v>
      </c>
    </row>
    <row r="104" spans="1:11" ht="12.6" customHeight="1" x14ac:dyDescent="0.2">
      <c r="A104" s="13">
        <v>44075</v>
      </c>
      <c r="B104" s="19"/>
      <c r="C104" s="15">
        <v>2.5</v>
      </c>
      <c r="D104" s="14"/>
      <c r="E104" s="15">
        <f t="shared" si="7"/>
        <v>96.742000000000004</v>
      </c>
      <c r="F104" s="14"/>
      <c r="G104" s="15">
        <f t="shared" si="6"/>
        <v>2.5</v>
      </c>
      <c r="H104" s="14"/>
      <c r="I104" s="15">
        <f t="shared" si="8"/>
        <v>139.792</v>
      </c>
      <c r="J104" s="14"/>
      <c r="K104" s="13"/>
    </row>
    <row r="105" spans="1:11" ht="12.6" customHeight="1" x14ac:dyDescent="0.2">
      <c r="A105" s="13"/>
      <c r="B105" s="19" t="s">
        <v>1251</v>
      </c>
      <c r="C105" s="15"/>
      <c r="D105" s="14"/>
      <c r="E105" s="15">
        <f t="shared" si="7"/>
        <v>96.742000000000004</v>
      </c>
      <c r="F105" s="14"/>
      <c r="G105" s="15">
        <f t="shared" si="6"/>
        <v>0</v>
      </c>
      <c r="H105" s="14"/>
      <c r="I105" s="15">
        <f t="shared" si="8"/>
        <v>139.792</v>
      </c>
      <c r="J105" s="14"/>
      <c r="K105" s="13" t="s">
        <v>1252</v>
      </c>
    </row>
    <row r="106" spans="1:11" ht="12.6" customHeight="1" x14ac:dyDescent="0.2">
      <c r="A106" s="13">
        <v>44166</v>
      </c>
      <c r="B106" s="19"/>
      <c r="C106" s="15">
        <v>3.75</v>
      </c>
      <c r="D106" s="14"/>
      <c r="E106" s="15">
        <f t="shared" si="7"/>
        <v>100.492</v>
      </c>
      <c r="F106" s="14"/>
      <c r="G106" s="15">
        <f t="shared" si="6"/>
        <v>3.75</v>
      </c>
      <c r="H106" s="14"/>
      <c r="I106" s="15">
        <f t="shared" si="8"/>
        <v>143.542</v>
      </c>
      <c r="J106" s="14"/>
      <c r="K106" s="13"/>
    </row>
    <row r="107" spans="1:11" ht="12.6" customHeight="1" x14ac:dyDescent="0.2">
      <c r="A107" s="13"/>
      <c r="B107" s="19" t="s">
        <v>65</v>
      </c>
      <c r="C107" s="15"/>
      <c r="D107" s="14">
        <v>5</v>
      </c>
      <c r="E107" s="15">
        <f t="shared" si="7"/>
        <v>95.492000000000004</v>
      </c>
      <c r="F107" s="14"/>
      <c r="G107" s="15">
        <f t="shared" si="6"/>
        <v>0</v>
      </c>
      <c r="H107" s="14"/>
      <c r="I107" s="15">
        <f t="shared" si="8"/>
        <v>143.542</v>
      </c>
      <c r="J107" s="14"/>
      <c r="K107" s="16" t="s">
        <v>1253</v>
      </c>
    </row>
    <row r="108" spans="1:11" ht="12.6" customHeight="1" x14ac:dyDescent="0.2">
      <c r="A108" s="19"/>
      <c r="B108" s="19"/>
      <c r="C108" s="15">
        <f>SUM(C82:C107)</f>
        <v>40</v>
      </c>
      <c r="D108" s="15">
        <f>SUM(D82:D107)</f>
        <v>20.05</v>
      </c>
      <c r="E108" s="15"/>
      <c r="F108" s="14"/>
      <c r="G108" s="15">
        <f>SUM(G82:G107)</f>
        <v>40</v>
      </c>
      <c r="H108" s="15">
        <f>SUM(H82:H107)</f>
        <v>11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CASTILLO, MEYNARDO P.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>
        <f>K1</f>
        <v>38892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44197</v>
      </c>
      <c r="B117" s="19"/>
      <c r="C117" s="15">
        <v>1.25</v>
      </c>
      <c r="D117" s="14"/>
      <c r="E117" s="15">
        <f>E107+C117-D117</f>
        <v>96.742000000000004</v>
      </c>
      <c r="F117" s="14"/>
      <c r="G117" s="15">
        <f>C117</f>
        <v>1.25</v>
      </c>
      <c r="H117" s="14"/>
      <c r="I117" s="15">
        <f>I107+G117-H117</f>
        <v>144.792</v>
      </c>
      <c r="J117" s="14"/>
      <c r="K117" s="13"/>
    </row>
    <row r="118" spans="1:11" ht="12.6" customHeight="1" x14ac:dyDescent="0.2">
      <c r="A118" s="13"/>
      <c r="B118" s="17" t="s">
        <v>511</v>
      </c>
      <c r="C118" s="15"/>
      <c r="D118" s="14"/>
      <c r="E118" s="15">
        <f>E117+C118-D118</f>
        <v>96.742000000000004</v>
      </c>
      <c r="F118" s="14"/>
      <c r="G118" s="15">
        <f t="shared" ref="G118:G142" si="9">C118</f>
        <v>0</v>
      </c>
      <c r="H118" s="14">
        <v>9</v>
      </c>
      <c r="I118" s="15">
        <f>I117+G118-H118</f>
        <v>135.792</v>
      </c>
      <c r="J118" s="22"/>
      <c r="K118" s="23" t="s">
        <v>1254</v>
      </c>
    </row>
    <row r="119" spans="1:11" ht="12.6" customHeight="1" x14ac:dyDescent="0.2">
      <c r="A119" s="13">
        <v>44409</v>
      </c>
      <c r="B119" s="19"/>
      <c r="C119" s="15">
        <v>8.75</v>
      </c>
      <c r="D119" s="14"/>
      <c r="E119" s="15">
        <f t="shared" ref="E119:E142" si="10">E118+C119-D119</f>
        <v>105.492</v>
      </c>
      <c r="F119" s="14"/>
      <c r="G119" s="15">
        <f t="shared" si="9"/>
        <v>8.75</v>
      </c>
      <c r="H119" s="14"/>
      <c r="I119" s="15">
        <f t="shared" ref="I119:I142" si="11">I118+G119-H119</f>
        <v>144.542</v>
      </c>
      <c r="J119" s="14"/>
      <c r="K119" s="16"/>
    </row>
    <row r="120" spans="1:11" ht="12.6" customHeight="1" x14ac:dyDescent="0.2">
      <c r="A120" s="13"/>
      <c r="B120" s="19" t="s">
        <v>1255</v>
      </c>
      <c r="C120" s="15"/>
      <c r="D120" s="14"/>
      <c r="E120" s="15">
        <f t="shared" si="10"/>
        <v>105.492</v>
      </c>
      <c r="F120" s="14"/>
      <c r="G120" s="15">
        <f t="shared" si="9"/>
        <v>0</v>
      </c>
      <c r="H120" s="14"/>
      <c r="I120" s="15">
        <f t="shared" si="11"/>
        <v>144.542</v>
      </c>
      <c r="J120" s="14"/>
      <c r="K120" s="13">
        <v>44435</v>
      </c>
    </row>
    <row r="121" spans="1:11" ht="12.6" customHeight="1" x14ac:dyDescent="0.2">
      <c r="A121" s="29">
        <v>44562</v>
      </c>
      <c r="C121" s="15">
        <v>6.25</v>
      </c>
      <c r="D121" s="14"/>
      <c r="E121" s="15">
        <f t="shared" si="10"/>
        <v>111.742</v>
      </c>
      <c r="F121" s="14"/>
      <c r="G121" s="15">
        <f t="shared" si="9"/>
        <v>6.25</v>
      </c>
      <c r="H121" s="14"/>
      <c r="I121" s="15">
        <f t="shared" si="11"/>
        <v>150.792</v>
      </c>
      <c r="J121" s="14"/>
      <c r="K121" s="13"/>
    </row>
    <row r="122" spans="1:11" ht="12.6" customHeight="1" x14ac:dyDescent="0.2">
      <c r="A122" s="13"/>
      <c r="B122" s="19" t="s">
        <v>965</v>
      </c>
      <c r="C122" s="15"/>
      <c r="D122" s="14">
        <v>5</v>
      </c>
      <c r="E122" s="15">
        <f t="shared" si="10"/>
        <v>106.742</v>
      </c>
      <c r="F122" s="14"/>
      <c r="G122" s="15">
        <f t="shared" si="9"/>
        <v>0</v>
      </c>
      <c r="H122" s="14"/>
      <c r="I122" s="15">
        <f t="shared" si="11"/>
        <v>150.792</v>
      </c>
      <c r="J122" s="14"/>
      <c r="K122" s="13" t="s">
        <v>892</v>
      </c>
    </row>
    <row r="123" spans="1:11" ht="12.6" customHeight="1" x14ac:dyDescent="0.2">
      <c r="A123" s="13">
        <v>44593</v>
      </c>
      <c r="B123" s="17"/>
      <c r="C123" s="15">
        <v>1.25</v>
      </c>
      <c r="D123" s="14"/>
      <c r="E123" s="15">
        <f t="shared" si="10"/>
        <v>107.992</v>
      </c>
      <c r="F123" s="14"/>
      <c r="G123" s="15">
        <f t="shared" si="9"/>
        <v>1.25</v>
      </c>
      <c r="H123" s="14"/>
      <c r="I123" s="15">
        <f t="shared" si="11"/>
        <v>152.042</v>
      </c>
      <c r="J123" s="14"/>
      <c r="K123" s="13"/>
    </row>
    <row r="124" spans="1:11" ht="12.6" customHeight="1" x14ac:dyDescent="0.2">
      <c r="A124" s="13"/>
      <c r="B124" s="19" t="s">
        <v>1256</v>
      </c>
      <c r="C124" s="15"/>
      <c r="D124" s="14"/>
      <c r="E124" s="15">
        <f t="shared" si="10"/>
        <v>107.992</v>
      </c>
      <c r="F124" s="14"/>
      <c r="G124" s="15">
        <f t="shared" si="9"/>
        <v>0</v>
      </c>
      <c r="H124" s="14"/>
      <c r="I124" s="15">
        <f t="shared" si="11"/>
        <v>152.042</v>
      </c>
      <c r="J124" s="14"/>
      <c r="K124" s="16" t="s">
        <v>1257</v>
      </c>
    </row>
    <row r="125" spans="1:11" ht="12.6" customHeight="1" x14ac:dyDescent="0.2">
      <c r="A125" s="13"/>
      <c r="B125" s="17" t="s">
        <v>47</v>
      </c>
      <c r="C125" s="15"/>
      <c r="D125" s="14"/>
      <c r="E125" s="15">
        <f t="shared" si="10"/>
        <v>107.992</v>
      </c>
      <c r="F125" s="14"/>
      <c r="G125" s="15">
        <f t="shared" si="9"/>
        <v>0</v>
      </c>
      <c r="H125" s="14">
        <v>1</v>
      </c>
      <c r="I125" s="15">
        <f t="shared" si="11"/>
        <v>151.042</v>
      </c>
      <c r="J125" s="14"/>
      <c r="K125" s="13">
        <v>44592</v>
      </c>
    </row>
    <row r="126" spans="1:11" ht="12.6" customHeight="1" x14ac:dyDescent="0.2">
      <c r="A126" s="13">
        <v>44774</v>
      </c>
      <c r="B126" s="17"/>
      <c r="C126" s="15">
        <v>7.5</v>
      </c>
      <c r="D126" s="14"/>
      <c r="E126" s="15">
        <f t="shared" si="10"/>
        <v>115.492</v>
      </c>
      <c r="F126" s="14"/>
      <c r="G126" s="15">
        <f t="shared" si="9"/>
        <v>7.5</v>
      </c>
      <c r="H126" s="14"/>
      <c r="I126" s="15">
        <f t="shared" si="11"/>
        <v>158.542</v>
      </c>
      <c r="J126" s="14"/>
      <c r="K126" s="16"/>
    </row>
    <row r="127" spans="1:11" ht="12.6" customHeight="1" x14ac:dyDescent="0.2">
      <c r="A127" s="13"/>
      <c r="B127" s="19" t="s">
        <v>1258</v>
      </c>
      <c r="C127" s="15"/>
      <c r="D127" s="14">
        <v>5</v>
      </c>
      <c r="E127" s="15">
        <f t="shared" si="10"/>
        <v>110.492</v>
      </c>
      <c r="F127" s="14"/>
      <c r="G127" s="15">
        <f t="shared" si="9"/>
        <v>0</v>
      </c>
      <c r="H127" s="14"/>
      <c r="I127" s="15">
        <f t="shared" si="11"/>
        <v>158.542</v>
      </c>
      <c r="J127" s="14"/>
      <c r="K127" s="13" t="s">
        <v>1259</v>
      </c>
    </row>
    <row r="128" spans="1:11" ht="12.6" customHeight="1" x14ac:dyDescent="0.2">
      <c r="A128" s="13">
        <v>44835</v>
      </c>
      <c r="B128" s="17"/>
      <c r="C128" s="15">
        <v>2.5</v>
      </c>
      <c r="D128" s="14"/>
      <c r="E128" s="15">
        <f t="shared" si="10"/>
        <v>112.992</v>
      </c>
      <c r="F128" s="14"/>
      <c r="G128" s="15">
        <f t="shared" si="9"/>
        <v>2.5</v>
      </c>
      <c r="H128" s="14"/>
      <c r="I128" s="15">
        <f t="shared" si="11"/>
        <v>161.042</v>
      </c>
      <c r="J128" s="14"/>
      <c r="K128" s="13"/>
    </row>
    <row r="129" spans="1:11" ht="12.6" customHeight="1" x14ac:dyDescent="0.2">
      <c r="A129" s="13"/>
      <c r="B129" s="19" t="s">
        <v>1260</v>
      </c>
      <c r="C129" s="15"/>
      <c r="D129" s="14">
        <v>4</v>
      </c>
      <c r="E129" s="15">
        <f t="shared" si="10"/>
        <v>108.992</v>
      </c>
      <c r="F129" s="14"/>
      <c r="G129" s="15">
        <f t="shared" si="9"/>
        <v>0</v>
      </c>
      <c r="H129" s="14"/>
      <c r="I129" s="15">
        <f t="shared" si="11"/>
        <v>161.042</v>
      </c>
      <c r="J129" s="14"/>
      <c r="K129" s="13" t="s">
        <v>1261</v>
      </c>
    </row>
    <row r="130" spans="1:11" ht="12.6" customHeight="1" x14ac:dyDescent="0.2">
      <c r="A130" s="13">
        <v>44866</v>
      </c>
      <c r="B130" s="19"/>
      <c r="C130" s="15">
        <v>1.25</v>
      </c>
      <c r="D130" s="14"/>
      <c r="E130" s="15">
        <f t="shared" si="10"/>
        <v>110.242</v>
      </c>
      <c r="F130" s="14"/>
      <c r="G130" s="15">
        <f t="shared" si="9"/>
        <v>1.25</v>
      </c>
      <c r="H130" s="14"/>
      <c r="I130" s="15">
        <f t="shared" si="11"/>
        <v>162.292</v>
      </c>
      <c r="J130" s="14"/>
      <c r="K130" s="13"/>
    </row>
    <row r="131" spans="1:11" ht="12.6" customHeight="1" x14ac:dyDescent="0.2">
      <c r="A131" s="13"/>
      <c r="B131" s="19" t="s">
        <v>67</v>
      </c>
      <c r="C131" s="15"/>
      <c r="D131" s="14"/>
      <c r="E131" s="15">
        <f t="shared" si="10"/>
        <v>110.242</v>
      </c>
      <c r="F131" s="14"/>
      <c r="G131" s="15">
        <f t="shared" si="9"/>
        <v>0</v>
      </c>
      <c r="H131" s="14">
        <v>3</v>
      </c>
      <c r="I131" s="15">
        <f t="shared" si="11"/>
        <v>159.292</v>
      </c>
      <c r="J131" s="14"/>
      <c r="K131" s="33" t="s">
        <v>1262</v>
      </c>
    </row>
    <row r="132" spans="1:11" ht="12.6" customHeight="1" x14ac:dyDescent="0.2">
      <c r="A132" s="13"/>
      <c r="B132" s="19" t="s">
        <v>1258</v>
      </c>
      <c r="C132" s="15"/>
      <c r="D132" s="14">
        <v>5</v>
      </c>
      <c r="E132" s="15">
        <f t="shared" si="10"/>
        <v>105.242</v>
      </c>
      <c r="F132" s="14"/>
      <c r="G132" s="15">
        <f t="shared" si="9"/>
        <v>0</v>
      </c>
      <c r="H132" s="14"/>
      <c r="I132" s="15">
        <f t="shared" si="11"/>
        <v>159.292</v>
      </c>
      <c r="J132" s="14"/>
      <c r="K132" s="13" t="s">
        <v>1263</v>
      </c>
    </row>
    <row r="133" spans="1:11" ht="12.6" customHeight="1" x14ac:dyDescent="0.2">
      <c r="A133" s="13"/>
      <c r="B133" s="19" t="s">
        <v>47</v>
      </c>
      <c r="C133" s="15"/>
      <c r="D133" s="14"/>
      <c r="E133" s="15">
        <f t="shared" si="10"/>
        <v>105.242</v>
      </c>
      <c r="F133" s="14"/>
      <c r="G133" s="15">
        <f t="shared" si="9"/>
        <v>0</v>
      </c>
      <c r="H133" s="14">
        <v>1</v>
      </c>
      <c r="I133" s="15">
        <f t="shared" si="11"/>
        <v>158.292</v>
      </c>
      <c r="J133" s="14"/>
      <c r="K133" s="13">
        <v>44879</v>
      </c>
    </row>
    <row r="134" spans="1:11" ht="12.6" customHeight="1" x14ac:dyDescent="0.2">
      <c r="A134" s="13">
        <v>45017</v>
      </c>
      <c r="B134" s="19"/>
      <c r="C134" s="15">
        <v>6.25</v>
      </c>
      <c r="D134" s="14"/>
      <c r="E134" s="15">
        <f t="shared" si="10"/>
        <v>111.492</v>
      </c>
      <c r="F134" s="14"/>
      <c r="G134" s="15">
        <f t="shared" si="9"/>
        <v>6.25</v>
      </c>
      <c r="H134" s="14"/>
      <c r="I134" s="15">
        <f t="shared" si="11"/>
        <v>164.542</v>
      </c>
      <c r="J134" s="14"/>
      <c r="K134" s="13"/>
    </row>
    <row r="135" spans="1:11" ht="12.6" customHeight="1" x14ac:dyDescent="0.2">
      <c r="A135" s="13"/>
      <c r="B135" s="19" t="s">
        <v>1264</v>
      </c>
      <c r="C135" s="15"/>
      <c r="D135" s="14">
        <v>14</v>
      </c>
      <c r="E135" s="15">
        <f t="shared" si="10"/>
        <v>97.492000000000004</v>
      </c>
      <c r="F135" s="14"/>
      <c r="G135" s="15">
        <f t="shared" si="9"/>
        <v>0</v>
      </c>
      <c r="H135" s="14"/>
      <c r="I135" s="15">
        <f t="shared" si="11"/>
        <v>164.542</v>
      </c>
      <c r="J135" s="14"/>
      <c r="K135" s="13" t="s">
        <v>1265</v>
      </c>
    </row>
    <row r="136" spans="1:11" ht="12.6" customHeight="1" x14ac:dyDescent="0.2">
      <c r="A136" s="13">
        <v>45139</v>
      </c>
      <c r="B136" s="19"/>
      <c r="C136" s="15">
        <v>5</v>
      </c>
      <c r="D136" s="14"/>
      <c r="E136" s="15">
        <f t="shared" si="10"/>
        <v>102.492</v>
      </c>
      <c r="F136" s="14"/>
      <c r="G136" s="15">
        <f t="shared" si="9"/>
        <v>5</v>
      </c>
      <c r="H136" s="14"/>
      <c r="I136" s="15">
        <f t="shared" si="11"/>
        <v>169.542</v>
      </c>
      <c r="J136" s="14"/>
      <c r="K136" s="13"/>
    </row>
    <row r="137" spans="1:11" ht="12.6" customHeight="1" x14ac:dyDescent="0.2">
      <c r="A137" s="13"/>
      <c r="B137" s="19" t="s">
        <v>47</v>
      </c>
      <c r="C137" s="15"/>
      <c r="D137" s="14"/>
      <c r="E137" s="15">
        <f t="shared" si="10"/>
        <v>102.492</v>
      </c>
      <c r="F137" s="14"/>
      <c r="G137" s="15">
        <f t="shared" si="9"/>
        <v>0</v>
      </c>
      <c r="H137" s="14">
        <v>1</v>
      </c>
      <c r="I137" s="15">
        <f t="shared" si="11"/>
        <v>168.542</v>
      </c>
      <c r="J137" s="14"/>
      <c r="K137" s="13">
        <v>45138</v>
      </c>
    </row>
    <row r="138" spans="1:11" ht="12.6" customHeight="1" x14ac:dyDescent="0.2">
      <c r="A138" s="13">
        <v>45200</v>
      </c>
      <c r="B138" s="19"/>
      <c r="C138" s="15">
        <v>2.5</v>
      </c>
      <c r="D138" s="14"/>
      <c r="E138" s="15">
        <f t="shared" si="10"/>
        <v>104.992</v>
      </c>
      <c r="F138" s="14"/>
      <c r="G138" s="15">
        <f t="shared" si="9"/>
        <v>2.5</v>
      </c>
      <c r="H138" s="14"/>
      <c r="I138" s="15">
        <f t="shared" si="11"/>
        <v>171.042</v>
      </c>
      <c r="J138" s="14"/>
      <c r="K138" s="19"/>
    </row>
    <row r="139" spans="1:11" ht="12.6" customHeight="1" x14ac:dyDescent="0.2">
      <c r="A139" s="13"/>
      <c r="B139" s="19" t="s">
        <v>47</v>
      </c>
      <c r="C139" s="15"/>
      <c r="D139" s="14"/>
      <c r="E139" s="15">
        <f t="shared" si="10"/>
        <v>104.992</v>
      </c>
      <c r="F139" s="14"/>
      <c r="G139" s="15">
        <f t="shared" si="9"/>
        <v>0</v>
      </c>
      <c r="H139" s="14">
        <v>1</v>
      </c>
      <c r="I139" s="15">
        <f t="shared" si="11"/>
        <v>170.042</v>
      </c>
      <c r="J139" s="14"/>
      <c r="K139" s="13">
        <v>45219</v>
      </c>
    </row>
    <row r="140" spans="1:11" ht="12.6" customHeight="1" x14ac:dyDescent="0.2">
      <c r="A140" s="13"/>
      <c r="B140" s="19" t="s">
        <v>1266</v>
      </c>
      <c r="C140" s="15"/>
      <c r="D140" s="14">
        <v>0.17699999999999999</v>
      </c>
      <c r="E140" s="15">
        <f t="shared" si="10"/>
        <v>104.815</v>
      </c>
      <c r="F140" s="14"/>
      <c r="G140" s="15">
        <f t="shared" si="9"/>
        <v>0</v>
      </c>
      <c r="H140" s="14"/>
      <c r="I140" s="15">
        <f t="shared" si="11"/>
        <v>170.042</v>
      </c>
      <c r="J140" s="14"/>
      <c r="K140" s="13" t="s">
        <v>1267</v>
      </c>
    </row>
    <row r="141" spans="1:11" ht="12.6" customHeight="1" x14ac:dyDescent="0.2">
      <c r="A141" s="13">
        <v>45231</v>
      </c>
      <c r="B141" s="19"/>
      <c r="C141" s="15">
        <v>1.25</v>
      </c>
      <c r="D141" s="14"/>
      <c r="E141" s="15">
        <f t="shared" si="10"/>
        <v>106.065</v>
      </c>
      <c r="F141" s="14"/>
      <c r="G141" s="15">
        <f t="shared" si="9"/>
        <v>1.25</v>
      </c>
      <c r="H141" s="14"/>
      <c r="I141" s="15">
        <f t="shared" si="11"/>
        <v>171.292</v>
      </c>
      <c r="J141" s="14"/>
      <c r="K141" s="13"/>
    </row>
    <row r="142" spans="1:11" ht="12.6" customHeight="1" x14ac:dyDescent="0.2">
      <c r="A142" s="13"/>
      <c r="B142" s="19" t="s">
        <v>1226</v>
      </c>
      <c r="C142" s="15"/>
      <c r="D142" s="14"/>
      <c r="E142" s="15">
        <f t="shared" si="10"/>
        <v>106.065</v>
      </c>
      <c r="F142" s="14"/>
      <c r="G142" s="15">
        <f t="shared" si="9"/>
        <v>0</v>
      </c>
      <c r="H142" s="14"/>
      <c r="I142" s="15">
        <f t="shared" si="11"/>
        <v>171.292</v>
      </c>
      <c r="J142" s="14"/>
      <c r="K142" s="16" t="s">
        <v>1268</v>
      </c>
    </row>
    <row r="143" spans="1:11" ht="12.6" customHeight="1" x14ac:dyDescent="0.2">
      <c r="A143" s="19"/>
      <c r="B143" s="19"/>
      <c r="C143" s="15">
        <f>SUM(C117:C142)</f>
        <v>43.75</v>
      </c>
      <c r="D143" s="15">
        <f>SUM(D117:D142)</f>
        <v>33.177</v>
      </c>
      <c r="E143" s="15"/>
      <c r="F143" s="14"/>
      <c r="G143" s="15">
        <f>SUM(G117:G142)</f>
        <v>43.75</v>
      </c>
      <c r="H143" s="15">
        <f>SUM(H117:H142)</f>
        <v>16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CASTILLO, MEYNARDO P.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>
        <f>K1</f>
        <v>38892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45261</v>
      </c>
      <c r="B156" s="19"/>
      <c r="C156" s="15">
        <v>1.25</v>
      </c>
      <c r="D156" s="14"/>
      <c r="E156" s="15">
        <f>E142+C156-D156</f>
        <v>107.315</v>
      </c>
      <c r="F156" s="14"/>
      <c r="G156" s="15">
        <f>C156</f>
        <v>1.25</v>
      </c>
      <c r="H156" s="14"/>
      <c r="I156" s="15">
        <f>I142+G156-H156</f>
        <v>172.542</v>
      </c>
      <c r="J156" s="14"/>
      <c r="K156" s="13"/>
    </row>
    <row r="157" spans="1:11" ht="12.6" customHeight="1" x14ac:dyDescent="0.2">
      <c r="A157" s="13"/>
      <c r="B157" s="19" t="s">
        <v>47</v>
      </c>
      <c r="C157" s="15"/>
      <c r="D157" s="14"/>
      <c r="E157" s="15">
        <f>E156+C157-D157</f>
        <v>107.315</v>
      </c>
      <c r="F157" s="14"/>
      <c r="G157" s="15">
        <f t="shared" ref="G157:G181" si="12">C157</f>
        <v>0</v>
      </c>
      <c r="H157" s="14">
        <v>1</v>
      </c>
      <c r="I157" s="15">
        <f>I156+G157-H157</f>
        <v>171.542</v>
      </c>
      <c r="J157" s="14"/>
      <c r="K157" s="13">
        <v>45240</v>
      </c>
    </row>
    <row r="158" spans="1:11" ht="12.6" customHeight="1" x14ac:dyDescent="0.2">
      <c r="A158" s="13"/>
      <c r="B158" s="19" t="s">
        <v>47</v>
      </c>
      <c r="C158" s="15"/>
      <c r="D158" s="14"/>
      <c r="E158" s="15">
        <f t="shared" ref="E158:E181" si="13">E157+C158-D158</f>
        <v>107.315</v>
      </c>
      <c r="F158" s="22"/>
      <c r="G158" s="15">
        <f t="shared" si="12"/>
        <v>0</v>
      </c>
      <c r="H158" s="34">
        <v>1</v>
      </c>
      <c r="I158" s="15">
        <f t="shared" ref="I158:I181" si="14">I157+G158-H158</f>
        <v>170.542</v>
      </c>
      <c r="J158" s="14"/>
      <c r="K158" s="13">
        <v>45289</v>
      </c>
    </row>
    <row r="159" spans="1:11" ht="12.6" customHeight="1" x14ac:dyDescent="0.2">
      <c r="A159" s="13">
        <v>45292</v>
      </c>
      <c r="B159" s="19"/>
      <c r="C159" s="15">
        <v>1.25</v>
      </c>
      <c r="D159" s="14"/>
      <c r="E159" s="15">
        <f t="shared" si="13"/>
        <v>108.565</v>
      </c>
      <c r="F159" s="14"/>
      <c r="G159" s="15">
        <f t="shared" si="12"/>
        <v>1.25</v>
      </c>
      <c r="H159" s="34"/>
      <c r="I159" s="15">
        <f t="shared" si="14"/>
        <v>171.792</v>
      </c>
      <c r="J159" s="14"/>
      <c r="K159" s="13"/>
    </row>
    <row r="160" spans="1:11" ht="12.6" customHeight="1" x14ac:dyDescent="0.2">
      <c r="A160" s="13"/>
      <c r="B160" s="19" t="s">
        <v>1269</v>
      </c>
      <c r="C160" s="15"/>
      <c r="D160" s="14"/>
      <c r="E160" s="15">
        <f t="shared" si="13"/>
        <v>108.565</v>
      </c>
      <c r="F160" s="14"/>
      <c r="G160" s="15">
        <f t="shared" si="12"/>
        <v>0</v>
      </c>
      <c r="H160" s="34"/>
      <c r="I160" s="15">
        <f t="shared" si="14"/>
        <v>171.792</v>
      </c>
      <c r="J160" s="14"/>
      <c r="K160" s="13">
        <v>45316</v>
      </c>
    </row>
    <row r="161" spans="1:11" ht="12.6" customHeight="1" x14ac:dyDescent="0.2">
      <c r="A161" s="13">
        <v>45323</v>
      </c>
      <c r="B161" s="19"/>
      <c r="C161" s="15">
        <v>1.25</v>
      </c>
      <c r="D161" s="14"/>
      <c r="E161" s="15">
        <f t="shared" si="13"/>
        <v>109.815</v>
      </c>
      <c r="F161" s="14"/>
      <c r="G161" s="15">
        <f t="shared" si="12"/>
        <v>1.25</v>
      </c>
      <c r="H161" s="34"/>
      <c r="I161" s="15">
        <f t="shared" si="14"/>
        <v>173.042</v>
      </c>
      <c r="J161" s="14"/>
      <c r="K161" s="13"/>
    </row>
    <row r="162" spans="1:11" ht="12.6" customHeight="1" x14ac:dyDescent="0.2">
      <c r="A162" s="13"/>
      <c r="B162" s="19" t="s">
        <v>1269</v>
      </c>
      <c r="C162" s="15"/>
      <c r="D162" s="14"/>
      <c r="E162" s="15">
        <f t="shared" si="13"/>
        <v>109.815</v>
      </c>
      <c r="F162" s="14"/>
      <c r="G162" s="15">
        <f t="shared" si="12"/>
        <v>0</v>
      </c>
      <c r="H162" s="34"/>
      <c r="I162" s="15">
        <f t="shared" si="14"/>
        <v>173.042</v>
      </c>
      <c r="J162" s="14"/>
      <c r="K162" s="13">
        <v>45340</v>
      </c>
    </row>
    <row r="163" spans="1:11" ht="12.6" customHeight="1" x14ac:dyDescent="0.2">
      <c r="A163" s="13">
        <v>45352</v>
      </c>
      <c r="B163" s="19"/>
      <c r="C163" s="15">
        <v>1.25</v>
      </c>
      <c r="D163" s="22"/>
      <c r="E163" s="15">
        <f t="shared" si="13"/>
        <v>111.065</v>
      </c>
      <c r="F163" s="22"/>
      <c r="G163" s="15">
        <f t="shared" si="12"/>
        <v>1.25</v>
      </c>
      <c r="H163" s="14"/>
      <c r="I163" s="15">
        <f t="shared" si="14"/>
        <v>174.292</v>
      </c>
      <c r="J163" s="14"/>
      <c r="K163" s="13"/>
    </row>
    <row r="164" spans="1:11" ht="12.6" customHeight="1" x14ac:dyDescent="0.2">
      <c r="A164" s="13"/>
      <c r="B164" s="19" t="s">
        <v>95</v>
      </c>
      <c r="C164" s="15"/>
      <c r="D164" s="22">
        <v>3</v>
      </c>
      <c r="E164" s="15">
        <f t="shared" si="13"/>
        <v>108.065</v>
      </c>
      <c r="F164" s="14"/>
      <c r="G164" s="15">
        <f t="shared" si="12"/>
        <v>0</v>
      </c>
      <c r="H164" s="34"/>
      <c r="I164" s="15">
        <f t="shared" si="14"/>
        <v>174.292</v>
      </c>
      <c r="J164" s="14"/>
      <c r="K164" s="13" t="s">
        <v>1270</v>
      </c>
    </row>
    <row r="165" spans="1:11" ht="12.6" customHeight="1" x14ac:dyDescent="0.2">
      <c r="A165" s="13"/>
      <c r="B165" s="19" t="s">
        <v>1269</v>
      </c>
      <c r="C165" s="15"/>
      <c r="D165" s="14"/>
      <c r="E165" s="15">
        <f t="shared" si="13"/>
        <v>108.065</v>
      </c>
      <c r="F165" s="14"/>
      <c r="G165" s="15">
        <f t="shared" si="12"/>
        <v>0</v>
      </c>
      <c r="H165" s="34"/>
      <c r="I165" s="15">
        <f t="shared" si="14"/>
        <v>174.292</v>
      </c>
      <c r="J165" s="14"/>
      <c r="K165" s="13">
        <v>45373</v>
      </c>
    </row>
    <row r="166" spans="1:11" ht="12.6" customHeight="1" x14ac:dyDescent="0.2">
      <c r="A166" s="13">
        <v>45444</v>
      </c>
      <c r="B166" s="19"/>
      <c r="C166" s="15">
        <v>3.75</v>
      </c>
      <c r="D166" s="14"/>
      <c r="E166" s="15">
        <f t="shared" si="13"/>
        <v>111.815</v>
      </c>
      <c r="F166" s="22"/>
      <c r="G166" s="15">
        <f t="shared" si="12"/>
        <v>3.75</v>
      </c>
      <c r="H166" s="34"/>
      <c r="I166" s="15">
        <f t="shared" si="14"/>
        <v>178.042</v>
      </c>
      <c r="J166" s="14"/>
      <c r="K166" s="13"/>
    </row>
    <row r="167" spans="1:11" ht="12.6" customHeight="1" x14ac:dyDescent="0.2">
      <c r="A167" s="13"/>
      <c r="B167" s="19" t="s">
        <v>125</v>
      </c>
      <c r="C167" s="15"/>
      <c r="D167" s="14"/>
      <c r="E167" s="15">
        <f t="shared" si="13"/>
        <v>111.815</v>
      </c>
      <c r="F167" s="22"/>
      <c r="G167" s="15">
        <f t="shared" si="12"/>
        <v>0</v>
      </c>
      <c r="H167" s="35">
        <v>4</v>
      </c>
      <c r="I167" s="15">
        <f t="shared" si="14"/>
        <v>174.042</v>
      </c>
      <c r="J167" s="14"/>
      <c r="K167" s="16" t="s">
        <v>1271</v>
      </c>
    </row>
    <row r="168" spans="1:11" ht="12.6" customHeight="1" x14ac:dyDescent="0.2">
      <c r="A168" s="13">
        <v>45474</v>
      </c>
      <c r="B168" s="19"/>
      <c r="C168" s="15">
        <v>1.25</v>
      </c>
      <c r="D168" s="14"/>
      <c r="E168" s="15">
        <f t="shared" si="13"/>
        <v>113.065</v>
      </c>
      <c r="F168" s="14"/>
      <c r="G168" s="15">
        <f t="shared" si="12"/>
        <v>1.25</v>
      </c>
      <c r="H168" s="32"/>
      <c r="I168" s="15">
        <f t="shared" si="14"/>
        <v>175.292</v>
      </c>
      <c r="J168" s="14"/>
      <c r="K168" s="13"/>
    </row>
    <row r="169" spans="1:11" ht="12.6" customHeight="1" x14ac:dyDescent="0.2">
      <c r="A169" s="13"/>
      <c r="B169" s="19" t="s">
        <v>76</v>
      </c>
      <c r="C169" s="15"/>
      <c r="D169" s="14">
        <v>2</v>
      </c>
      <c r="E169" s="15">
        <f t="shared" si="13"/>
        <v>111.065</v>
      </c>
      <c r="F169" s="22"/>
      <c r="G169" s="15">
        <f t="shared" si="12"/>
        <v>0</v>
      </c>
      <c r="H169" s="34"/>
      <c r="I169" s="15">
        <f t="shared" si="14"/>
        <v>175.292</v>
      </c>
      <c r="J169" s="14"/>
      <c r="K169" s="13" t="s">
        <v>1272</v>
      </c>
    </row>
    <row r="170" spans="1:11" ht="12.6" customHeight="1" x14ac:dyDescent="0.2">
      <c r="A170" s="13"/>
      <c r="B170" s="19" t="s">
        <v>95</v>
      </c>
      <c r="C170" s="15"/>
      <c r="D170" s="14">
        <v>3</v>
      </c>
      <c r="E170" s="15">
        <f t="shared" si="13"/>
        <v>108.065</v>
      </c>
      <c r="F170" s="14"/>
      <c r="G170" s="15">
        <f t="shared" si="12"/>
        <v>0</v>
      </c>
      <c r="H170" s="14"/>
      <c r="I170" s="15">
        <f t="shared" si="14"/>
        <v>175.292</v>
      </c>
      <c r="J170" s="14"/>
      <c r="K170" s="13" t="s">
        <v>1273</v>
      </c>
    </row>
    <row r="171" spans="1:11" ht="12.6" customHeight="1" x14ac:dyDescent="0.2">
      <c r="A171" s="13">
        <v>45515</v>
      </c>
      <c r="B171" s="19"/>
      <c r="C171" s="15">
        <v>1.25</v>
      </c>
      <c r="D171" s="14"/>
      <c r="E171" s="15">
        <f t="shared" si="13"/>
        <v>109.315</v>
      </c>
      <c r="F171" s="14"/>
      <c r="G171" s="15">
        <f t="shared" si="12"/>
        <v>1.25</v>
      </c>
      <c r="H171" s="34"/>
      <c r="I171" s="15">
        <f t="shared" si="14"/>
        <v>176.542</v>
      </c>
      <c r="J171" s="14"/>
      <c r="K171" s="16"/>
    </row>
    <row r="172" spans="1:11" ht="12.6" customHeight="1" x14ac:dyDescent="0.2">
      <c r="A172" s="13"/>
      <c r="B172" s="19" t="s">
        <v>47</v>
      </c>
      <c r="C172" s="15"/>
      <c r="D172" s="14"/>
      <c r="E172" s="15">
        <f t="shared" si="13"/>
        <v>109.315</v>
      </c>
      <c r="F172" s="14"/>
      <c r="G172" s="15">
        <f t="shared" si="12"/>
        <v>0</v>
      </c>
      <c r="H172" s="34">
        <v>1</v>
      </c>
      <c r="I172" s="15">
        <f t="shared" si="14"/>
        <v>175.542</v>
      </c>
      <c r="J172" s="14"/>
      <c r="K172" s="13">
        <v>45502</v>
      </c>
    </row>
    <row r="173" spans="1:11" ht="12.6" customHeight="1" x14ac:dyDescent="0.2">
      <c r="A173" s="13"/>
      <c r="B173" s="19" t="s">
        <v>56</v>
      </c>
      <c r="C173" s="15"/>
      <c r="D173" s="14">
        <v>4</v>
      </c>
      <c r="E173" s="15">
        <f t="shared" si="13"/>
        <v>105.315</v>
      </c>
      <c r="F173" s="14"/>
      <c r="G173" s="15">
        <f t="shared" si="12"/>
        <v>0</v>
      </c>
      <c r="H173" s="35"/>
      <c r="I173" s="15">
        <f t="shared" si="14"/>
        <v>175.542</v>
      </c>
      <c r="J173" s="14"/>
      <c r="K173" s="13" t="s">
        <v>1274</v>
      </c>
    </row>
    <row r="174" spans="1:11" ht="12.6" customHeight="1" x14ac:dyDescent="0.2">
      <c r="A174" s="13">
        <v>45536</v>
      </c>
      <c r="B174" s="19"/>
      <c r="C174" s="15">
        <v>1.25</v>
      </c>
      <c r="D174" s="14"/>
      <c r="E174" s="15">
        <f t="shared" si="13"/>
        <v>106.565</v>
      </c>
      <c r="F174" s="22"/>
      <c r="G174" s="15">
        <f t="shared" si="12"/>
        <v>1.25</v>
      </c>
      <c r="H174" s="14"/>
      <c r="I174" s="15">
        <f t="shared" si="14"/>
        <v>176.792</v>
      </c>
      <c r="J174" s="14"/>
      <c r="K174" s="13"/>
    </row>
    <row r="175" spans="1:11" ht="12.6" customHeight="1" x14ac:dyDescent="0.2">
      <c r="A175" s="13"/>
      <c r="B175" s="19" t="s">
        <v>673</v>
      </c>
      <c r="C175" s="15"/>
      <c r="D175" s="14">
        <v>6</v>
      </c>
      <c r="E175" s="15">
        <f t="shared" si="13"/>
        <v>100.565</v>
      </c>
      <c r="F175" s="22"/>
      <c r="G175" s="15">
        <f t="shared" si="12"/>
        <v>0</v>
      </c>
      <c r="H175" s="34"/>
      <c r="I175" s="15">
        <f t="shared" si="14"/>
        <v>176.792</v>
      </c>
      <c r="J175" s="14"/>
      <c r="K175" s="13" t="s">
        <v>1275</v>
      </c>
    </row>
    <row r="176" spans="1:11" ht="12.6" customHeight="1" x14ac:dyDescent="0.2">
      <c r="A176" s="13">
        <v>45566</v>
      </c>
      <c r="B176" s="19"/>
      <c r="C176" s="15">
        <v>1.25</v>
      </c>
      <c r="D176" s="14"/>
      <c r="E176" s="15">
        <f t="shared" si="13"/>
        <v>101.815</v>
      </c>
      <c r="F176" s="14"/>
      <c r="G176" s="15">
        <f t="shared" si="12"/>
        <v>1.25</v>
      </c>
      <c r="H176" s="32"/>
      <c r="I176" s="15">
        <f t="shared" si="14"/>
        <v>178.042</v>
      </c>
      <c r="J176" s="14"/>
      <c r="K176" s="16"/>
    </row>
    <row r="177" spans="1:11" ht="12.6" customHeight="1" x14ac:dyDescent="0.2">
      <c r="A177" s="13"/>
      <c r="B177" s="19" t="s">
        <v>1276</v>
      </c>
      <c r="C177" s="15"/>
      <c r="D177" s="14">
        <v>0.73699999999999999</v>
      </c>
      <c r="E177" s="15">
        <f t="shared" si="13"/>
        <v>101.078</v>
      </c>
      <c r="F177" s="14"/>
      <c r="G177" s="15">
        <f t="shared" si="12"/>
        <v>0</v>
      </c>
      <c r="H177" s="34"/>
      <c r="I177" s="15">
        <f t="shared" si="14"/>
        <v>178.042</v>
      </c>
      <c r="J177" s="14"/>
      <c r="K177" s="16" t="s">
        <v>1277</v>
      </c>
    </row>
    <row r="178" spans="1:11" ht="12.6" customHeight="1" x14ac:dyDescent="0.2">
      <c r="A178" s="13"/>
      <c r="B178" s="19" t="s">
        <v>47</v>
      </c>
      <c r="C178" s="15"/>
      <c r="D178" s="14"/>
      <c r="E178" s="15">
        <f t="shared" si="13"/>
        <v>101.078</v>
      </c>
      <c r="F178" s="14"/>
      <c r="G178" s="15">
        <f t="shared" si="12"/>
        <v>0</v>
      </c>
      <c r="H178" s="34">
        <v>1</v>
      </c>
      <c r="I178" s="15">
        <f t="shared" si="14"/>
        <v>177.042</v>
      </c>
      <c r="J178" s="14"/>
      <c r="K178" s="13">
        <v>45586</v>
      </c>
    </row>
    <row r="179" spans="1:11" ht="12.6" customHeight="1" x14ac:dyDescent="0.2">
      <c r="A179" s="13">
        <v>45627</v>
      </c>
      <c r="B179" s="19"/>
      <c r="C179" s="15">
        <v>2.5</v>
      </c>
      <c r="D179" s="14"/>
      <c r="E179" s="15">
        <f t="shared" si="13"/>
        <v>103.578</v>
      </c>
      <c r="F179" s="14"/>
      <c r="G179" s="15">
        <f t="shared" si="12"/>
        <v>2.5</v>
      </c>
      <c r="H179" s="34"/>
      <c r="I179" s="15">
        <f t="shared" si="14"/>
        <v>179.542</v>
      </c>
      <c r="J179" s="14"/>
      <c r="K179" s="16"/>
    </row>
    <row r="180" spans="1:11" ht="12.6" customHeight="1" x14ac:dyDescent="0.2">
      <c r="A180" s="13"/>
      <c r="B180" s="19" t="s">
        <v>52</v>
      </c>
      <c r="C180" s="15"/>
      <c r="D180" s="14"/>
      <c r="E180" s="15">
        <f t="shared" si="13"/>
        <v>103.578</v>
      </c>
      <c r="F180" s="14"/>
      <c r="G180" s="15">
        <f t="shared" si="12"/>
        <v>0</v>
      </c>
      <c r="H180" s="34">
        <v>2</v>
      </c>
      <c r="I180" s="15">
        <f t="shared" si="14"/>
        <v>177.542</v>
      </c>
      <c r="J180" s="14"/>
      <c r="K180" s="13" t="s">
        <v>1278</v>
      </c>
    </row>
    <row r="181" spans="1:11" ht="12.6" customHeight="1" x14ac:dyDescent="0.2">
      <c r="A181" s="13"/>
      <c r="B181" s="19" t="s">
        <v>47</v>
      </c>
      <c r="C181" s="15"/>
      <c r="D181" s="14"/>
      <c r="E181" s="15">
        <f t="shared" si="13"/>
        <v>103.578</v>
      </c>
      <c r="F181" s="14"/>
      <c r="G181" s="15">
        <f t="shared" si="12"/>
        <v>0</v>
      </c>
      <c r="H181" s="34">
        <v>1</v>
      </c>
      <c r="I181" s="15">
        <f t="shared" si="14"/>
        <v>176.542</v>
      </c>
      <c r="J181" s="14"/>
      <c r="K181" s="13">
        <v>45636</v>
      </c>
    </row>
    <row r="182" spans="1:11" ht="12.6" customHeight="1" x14ac:dyDescent="0.2">
      <c r="A182" s="19"/>
      <c r="B182" s="19"/>
      <c r="C182" s="15">
        <f>SUM(C156:C181)</f>
        <v>16.25</v>
      </c>
      <c r="D182" s="15">
        <f>SUM(D156:D181)</f>
        <v>18.736999999999998</v>
      </c>
      <c r="E182" s="36"/>
      <c r="F182" s="37"/>
      <c r="G182" s="15">
        <f>SUM(G156:G181)</f>
        <v>16.25</v>
      </c>
      <c r="H182" s="15">
        <f>SUM(H156:H181)</f>
        <v>11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CASTILLO, MEYNARDO P.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>
        <f>K1</f>
        <v>38892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45658</v>
      </c>
      <c r="B191" s="19"/>
      <c r="C191" s="15">
        <v>1.25</v>
      </c>
      <c r="D191" s="14"/>
      <c r="E191" s="15">
        <f>E181+C191-D191</f>
        <v>104.828</v>
      </c>
      <c r="F191" s="14"/>
      <c r="G191" s="15">
        <f>C191</f>
        <v>1.25</v>
      </c>
      <c r="H191" s="34"/>
      <c r="I191" s="15">
        <f>I181+G191-H191</f>
        <v>177.792</v>
      </c>
      <c r="J191" s="14"/>
      <c r="K191" s="13"/>
    </row>
    <row r="192" spans="1:11" ht="12.6" customHeight="1" x14ac:dyDescent="0.2">
      <c r="A192" s="13"/>
      <c r="B192" s="19" t="s">
        <v>52</v>
      </c>
      <c r="C192" s="15"/>
      <c r="D192" s="14"/>
      <c r="E192" s="15">
        <f>E191+C192-D192</f>
        <v>104.828</v>
      </c>
      <c r="F192" s="14"/>
      <c r="G192" s="15">
        <f t="shared" ref="G192:G216" si="15">C192</f>
        <v>0</v>
      </c>
      <c r="H192" s="34">
        <v>2</v>
      </c>
      <c r="I192" s="15">
        <f>I191+G192-H192</f>
        <v>175.792</v>
      </c>
      <c r="J192" s="14"/>
      <c r="K192" s="13" t="s">
        <v>1279</v>
      </c>
    </row>
    <row r="193" spans="1:11" ht="12.6" customHeight="1" x14ac:dyDescent="0.2">
      <c r="A193" s="13"/>
      <c r="B193" s="19" t="s">
        <v>47</v>
      </c>
      <c r="C193" s="15"/>
      <c r="D193" s="14"/>
      <c r="E193" s="15">
        <f t="shared" ref="E193:E216" si="16">E192+C193-D193</f>
        <v>104.828</v>
      </c>
      <c r="F193" s="22"/>
      <c r="G193" s="15">
        <f t="shared" si="15"/>
        <v>0</v>
      </c>
      <c r="H193" s="34">
        <v>1</v>
      </c>
      <c r="I193" s="15">
        <f t="shared" ref="I193:I216" si="17">I192+G193-H193</f>
        <v>174.792</v>
      </c>
      <c r="J193" s="14"/>
      <c r="K193" s="38">
        <v>45681</v>
      </c>
    </row>
    <row r="194" spans="1:11" ht="12.6" customHeight="1" x14ac:dyDescent="0.2">
      <c r="A194" s="13">
        <v>45717</v>
      </c>
      <c r="B194" s="19"/>
      <c r="C194" s="15">
        <v>2.5</v>
      </c>
      <c r="D194" s="14"/>
      <c r="E194" s="15">
        <f t="shared" si="16"/>
        <v>107.328</v>
      </c>
      <c r="F194" s="14"/>
      <c r="G194" s="15">
        <f t="shared" si="15"/>
        <v>2.5</v>
      </c>
      <c r="H194" s="34"/>
      <c r="I194" s="15">
        <f t="shared" si="17"/>
        <v>177.292</v>
      </c>
      <c r="J194" s="14"/>
      <c r="K194" s="13"/>
    </row>
    <row r="195" spans="1:11" ht="12.6" customHeight="1" x14ac:dyDescent="0.2">
      <c r="A195" s="13"/>
      <c r="B195" s="19" t="s">
        <v>52</v>
      </c>
      <c r="C195" s="15"/>
      <c r="D195" s="14"/>
      <c r="E195" s="15">
        <f t="shared" si="16"/>
        <v>107.328</v>
      </c>
      <c r="F195" s="14"/>
      <c r="G195" s="15">
        <f t="shared" si="15"/>
        <v>0</v>
      </c>
      <c r="H195" s="34">
        <v>2</v>
      </c>
      <c r="I195" s="15">
        <f t="shared" si="17"/>
        <v>175.292</v>
      </c>
      <c r="J195" s="14"/>
      <c r="K195" s="13" t="s">
        <v>1280</v>
      </c>
    </row>
    <row r="196" spans="1:11" ht="12.6" customHeight="1" x14ac:dyDescent="0.2">
      <c r="A196" s="13">
        <v>45748</v>
      </c>
      <c r="B196" s="19"/>
      <c r="C196" s="15">
        <v>1.25</v>
      </c>
      <c r="D196" s="14"/>
      <c r="E196" s="15">
        <f t="shared" si="16"/>
        <v>108.578</v>
      </c>
      <c r="F196" s="14"/>
      <c r="G196" s="15">
        <f t="shared" si="15"/>
        <v>1.25</v>
      </c>
      <c r="H196" s="34"/>
      <c r="I196" s="15">
        <f t="shared" si="17"/>
        <v>176.542</v>
      </c>
      <c r="J196" s="14"/>
      <c r="K196" s="13"/>
    </row>
    <row r="197" spans="1:11" ht="12.6" customHeight="1" x14ac:dyDescent="0.2">
      <c r="A197" s="13"/>
      <c r="B197" s="19" t="s">
        <v>90</v>
      </c>
      <c r="C197" s="15"/>
      <c r="D197" s="14"/>
      <c r="E197" s="15">
        <f t="shared" si="16"/>
        <v>108.578</v>
      </c>
      <c r="F197" s="14"/>
      <c r="G197" s="15">
        <f t="shared" si="15"/>
        <v>0</v>
      </c>
      <c r="H197" s="34"/>
      <c r="I197" s="15">
        <f t="shared" si="17"/>
        <v>176.542</v>
      </c>
      <c r="J197" s="14"/>
      <c r="K197" s="16" t="s">
        <v>1281</v>
      </c>
    </row>
    <row r="198" spans="1:11" ht="12.6" customHeight="1" x14ac:dyDescent="0.2">
      <c r="A198" s="13"/>
      <c r="B198" s="19" t="s">
        <v>673</v>
      </c>
      <c r="C198" s="15"/>
      <c r="D198" s="22">
        <v>6</v>
      </c>
      <c r="E198" s="15">
        <f t="shared" si="16"/>
        <v>102.578</v>
      </c>
      <c r="F198" s="22"/>
      <c r="G198" s="15">
        <f t="shared" si="15"/>
        <v>0</v>
      </c>
      <c r="H198" s="34"/>
      <c r="I198" s="15">
        <f t="shared" si="17"/>
        <v>176.542</v>
      </c>
      <c r="J198" s="14"/>
      <c r="K198" s="16" t="s">
        <v>1282</v>
      </c>
    </row>
    <row r="199" spans="1:11" ht="12.6" customHeight="1" x14ac:dyDescent="0.2">
      <c r="A199" s="13">
        <v>45778</v>
      </c>
      <c r="B199" s="19"/>
      <c r="C199" s="15">
        <v>1.25</v>
      </c>
      <c r="D199" s="22"/>
      <c r="E199" s="15">
        <f t="shared" si="16"/>
        <v>103.828</v>
      </c>
      <c r="F199" s="14"/>
      <c r="G199" s="15">
        <f t="shared" si="15"/>
        <v>1.25</v>
      </c>
      <c r="H199" s="34"/>
      <c r="I199" s="15">
        <f t="shared" si="17"/>
        <v>177.792</v>
      </c>
      <c r="J199" s="14"/>
      <c r="K199" s="16"/>
    </row>
    <row r="200" spans="1:11" ht="12.6" customHeight="1" x14ac:dyDescent="0.2">
      <c r="A200" s="13"/>
      <c r="B200" s="19" t="s">
        <v>47</v>
      </c>
      <c r="C200" s="15"/>
      <c r="D200" s="14"/>
      <c r="E200" s="15">
        <f t="shared" si="16"/>
        <v>103.828</v>
      </c>
      <c r="F200" s="14"/>
      <c r="G200" s="15">
        <f t="shared" si="15"/>
        <v>0</v>
      </c>
      <c r="H200" s="34">
        <v>1</v>
      </c>
      <c r="I200" s="15">
        <f t="shared" si="17"/>
        <v>176.792</v>
      </c>
      <c r="J200" s="14"/>
      <c r="K200" s="13">
        <v>45800</v>
      </c>
    </row>
    <row r="201" spans="1:11" ht="12.6" customHeight="1" x14ac:dyDescent="0.2">
      <c r="A201" s="13">
        <v>45809</v>
      </c>
      <c r="B201" s="19"/>
      <c r="C201" s="15">
        <v>1.25</v>
      </c>
      <c r="D201" s="22"/>
      <c r="E201" s="15">
        <f t="shared" si="16"/>
        <v>105.078</v>
      </c>
      <c r="F201" s="22"/>
      <c r="G201" s="15">
        <f t="shared" si="15"/>
        <v>1.25</v>
      </c>
      <c r="H201" s="34"/>
      <c r="I201" s="15">
        <f t="shared" si="17"/>
        <v>178.042</v>
      </c>
      <c r="J201" s="14"/>
      <c r="K201" s="13"/>
    </row>
    <row r="202" spans="1:11" ht="12.6" customHeight="1" x14ac:dyDescent="0.2">
      <c r="A202" s="13"/>
      <c r="B202" s="19" t="s">
        <v>74</v>
      </c>
      <c r="C202" s="15"/>
      <c r="D202" s="14">
        <v>1</v>
      </c>
      <c r="E202" s="15">
        <f t="shared" si="16"/>
        <v>104.078</v>
      </c>
      <c r="F202" s="22"/>
      <c r="G202" s="15">
        <f t="shared" si="15"/>
        <v>0</v>
      </c>
      <c r="H202" s="34"/>
      <c r="I202" s="15">
        <f t="shared" si="17"/>
        <v>178.042</v>
      </c>
      <c r="J202" s="14"/>
      <c r="K202" s="13">
        <v>45832</v>
      </c>
    </row>
    <row r="203" spans="1:11" ht="12.6" customHeight="1" x14ac:dyDescent="0.2">
      <c r="A203" s="13">
        <v>45839</v>
      </c>
      <c r="B203" s="19"/>
      <c r="C203" s="15">
        <v>1.25</v>
      </c>
      <c r="D203" s="14"/>
      <c r="E203" s="15">
        <f t="shared" si="16"/>
        <v>105.328</v>
      </c>
      <c r="F203" s="14"/>
      <c r="G203" s="15">
        <f t="shared" si="15"/>
        <v>1.25</v>
      </c>
      <c r="H203" s="34"/>
      <c r="I203" s="15">
        <f t="shared" si="17"/>
        <v>179.292</v>
      </c>
      <c r="J203" s="14"/>
      <c r="K203" s="16"/>
    </row>
    <row r="204" spans="1:11" ht="12.6" customHeight="1" x14ac:dyDescent="0.2">
      <c r="A204" s="13"/>
      <c r="B204" s="19"/>
      <c r="C204" s="15"/>
      <c r="D204" s="14">
        <v>0.53300000000000003</v>
      </c>
      <c r="E204" s="15">
        <f t="shared" si="16"/>
        <v>104.795</v>
      </c>
      <c r="F204" s="22"/>
      <c r="G204" s="15">
        <f t="shared" si="15"/>
        <v>0</v>
      </c>
      <c r="H204" s="34"/>
      <c r="I204" s="15">
        <f t="shared" si="17"/>
        <v>179.292</v>
      </c>
      <c r="J204" s="14"/>
      <c r="K204" s="13" t="s">
        <v>1283</v>
      </c>
    </row>
    <row r="205" spans="1:11" ht="12.6" customHeight="1" x14ac:dyDescent="0.2">
      <c r="A205" s="13">
        <v>45962</v>
      </c>
      <c r="B205" s="19"/>
      <c r="C205" s="15">
        <v>7.5</v>
      </c>
      <c r="D205" s="14"/>
      <c r="E205" s="15">
        <f t="shared" si="16"/>
        <v>112.295</v>
      </c>
      <c r="F205" s="14"/>
      <c r="G205" s="15">
        <f t="shared" si="15"/>
        <v>7.5</v>
      </c>
      <c r="H205" s="34"/>
      <c r="I205" s="15">
        <f t="shared" si="17"/>
        <v>186.792</v>
      </c>
      <c r="J205" s="14"/>
      <c r="K205" s="16"/>
    </row>
    <row r="206" spans="1:11" ht="12.6" customHeight="1" x14ac:dyDescent="0.2">
      <c r="A206" s="13"/>
      <c r="B206" s="19" t="s">
        <v>65</v>
      </c>
      <c r="C206" s="15"/>
      <c r="D206" s="22">
        <v>5</v>
      </c>
      <c r="E206" s="15">
        <f t="shared" si="16"/>
        <v>107.295</v>
      </c>
      <c r="F206" s="14"/>
      <c r="G206" s="15">
        <f t="shared" si="15"/>
        <v>0</v>
      </c>
      <c r="H206" s="34"/>
      <c r="I206" s="15">
        <f t="shared" si="17"/>
        <v>186.792</v>
      </c>
      <c r="J206" s="14"/>
      <c r="K206" s="16" t="s">
        <v>1284</v>
      </c>
    </row>
    <row r="207" spans="1:11" ht="12.6" customHeight="1" x14ac:dyDescent="0.2">
      <c r="A207" s="13">
        <v>46023</v>
      </c>
      <c r="B207" s="19"/>
      <c r="C207" s="15">
        <v>2.5</v>
      </c>
      <c r="D207" s="22"/>
      <c r="E207" s="15">
        <f t="shared" si="16"/>
        <v>109.795</v>
      </c>
      <c r="F207" s="14"/>
      <c r="G207" s="15">
        <f t="shared" si="15"/>
        <v>2.5</v>
      </c>
      <c r="H207" s="34"/>
      <c r="I207" s="15">
        <f t="shared" si="17"/>
        <v>189.292</v>
      </c>
      <c r="J207" s="14"/>
      <c r="K207" s="13"/>
    </row>
    <row r="208" spans="1:11" ht="12.6" customHeight="1" x14ac:dyDescent="0.2">
      <c r="A208" s="13"/>
      <c r="B208" s="19" t="s">
        <v>52</v>
      </c>
      <c r="C208" s="15"/>
      <c r="D208" s="14"/>
      <c r="E208" s="15">
        <f t="shared" si="16"/>
        <v>109.795</v>
      </c>
      <c r="F208" s="14"/>
      <c r="G208" s="15">
        <f t="shared" si="15"/>
        <v>0</v>
      </c>
      <c r="H208" s="34">
        <v>2</v>
      </c>
      <c r="I208" s="15">
        <f t="shared" si="17"/>
        <v>187.292</v>
      </c>
      <c r="J208" s="14"/>
      <c r="K208" s="13" t="s">
        <v>1285</v>
      </c>
    </row>
    <row r="209" spans="1:11" ht="12.6" customHeight="1" x14ac:dyDescent="0.2">
      <c r="A209" s="13">
        <v>46054</v>
      </c>
      <c r="B209" s="19"/>
      <c r="C209" s="15">
        <v>1.25</v>
      </c>
      <c r="D209" s="14"/>
      <c r="E209" s="15">
        <f t="shared" si="16"/>
        <v>111.045</v>
      </c>
      <c r="F209" s="22"/>
      <c r="G209" s="15">
        <f t="shared" si="15"/>
        <v>1.25</v>
      </c>
      <c r="H209" s="34"/>
      <c r="I209" s="15">
        <f t="shared" si="17"/>
        <v>188.542</v>
      </c>
      <c r="J209" s="14"/>
      <c r="K209" s="16"/>
    </row>
    <row r="210" spans="1:11" ht="12.6" customHeight="1" x14ac:dyDescent="0.2">
      <c r="A210" s="13"/>
      <c r="B210" s="19" t="s">
        <v>909</v>
      </c>
      <c r="C210" s="15"/>
      <c r="D210" s="14"/>
      <c r="E210" s="15">
        <f t="shared" si="16"/>
        <v>111.045</v>
      </c>
      <c r="F210" s="22"/>
      <c r="G210" s="15">
        <f t="shared" si="15"/>
        <v>0</v>
      </c>
      <c r="H210" s="34"/>
      <c r="I210" s="15">
        <f t="shared" si="17"/>
        <v>188.542</v>
      </c>
      <c r="J210" s="14"/>
      <c r="K210" s="13" t="s">
        <v>1286</v>
      </c>
    </row>
    <row r="211" spans="1:11" ht="12.6" customHeight="1" x14ac:dyDescent="0.2">
      <c r="A211" s="13">
        <v>46082</v>
      </c>
      <c r="B211" s="19"/>
      <c r="C211" s="15">
        <v>1.25</v>
      </c>
      <c r="D211" s="14"/>
      <c r="E211" s="15">
        <f t="shared" si="16"/>
        <v>112.295</v>
      </c>
      <c r="F211" s="14"/>
      <c r="G211" s="15">
        <f t="shared" si="15"/>
        <v>1.25</v>
      </c>
      <c r="H211" s="34"/>
      <c r="I211" s="15">
        <f t="shared" si="17"/>
        <v>189.792</v>
      </c>
      <c r="J211" s="14"/>
      <c r="K211" s="16"/>
    </row>
    <row r="212" spans="1:11" ht="12.6" customHeight="1" x14ac:dyDescent="0.2">
      <c r="A212" s="13"/>
      <c r="B212" s="19" t="s">
        <v>1287</v>
      </c>
      <c r="C212" s="15"/>
      <c r="D212" s="14"/>
      <c r="E212" s="15">
        <f t="shared" si="16"/>
        <v>112.295</v>
      </c>
      <c r="F212" s="14"/>
      <c r="G212" s="15">
        <f t="shared" si="15"/>
        <v>0</v>
      </c>
      <c r="H212" s="34"/>
      <c r="I212" s="15">
        <f t="shared" si="17"/>
        <v>189.792</v>
      </c>
      <c r="J212" s="14"/>
      <c r="K212" s="13">
        <v>46063</v>
      </c>
    </row>
    <row r="213" spans="1:11" ht="12.6" customHeight="1" x14ac:dyDescent="0.2">
      <c r="A213" s="13"/>
      <c r="B213" s="19" t="s">
        <v>47</v>
      </c>
      <c r="C213" s="15"/>
      <c r="D213" s="14"/>
      <c r="E213" s="15">
        <f t="shared" si="16"/>
        <v>112.295</v>
      </c>
      <c r="F213" s="14"/>
      <c r="G213" s="15">
        <f t="shared" si="15"/>
        <v>0</v>
      </c>
      <c r="H213" s="34">
        <v>1</v>
      </c>
      <c r="I213" s="15">
        <f t="shared" si="17"/>
        <v>188.792</v>
      </c>
      <c r="J213" s="14"/>
      <c r="K213" s="13">
        <v>46087</v>
      </c>
    </row>
    <row r="214" spans="1:11" ht="12.6" customHeight="1" x14ac:dyDescent="0.2">
      <c r="A214" s="13">
        <v>46113</v>
      </c>
      <c r="B214" s="19"/>
      <c r="C214" s="15">
        <v>1.25</v>
      </c>
      <c r="D214" s="14"/>
      <c r="E214" s="15">
        <f t="shared" si="16"/>
        <v>113.545</v>
      </c>
      <c r="F214" s="14"/>
      <c r="G214" s="15">
        <f t="shared" si="15"/>
        <v>1.25</v>
      </c>
      <c r="H214" s="14"/>
      <c r="I214" s="15">
        <f t="shared" si="17"/>
        <v>190.042</v>
      </c>
      <c r="J214" s="14"/>
      <c r="K214" s="16"/>
    </row>
    <row r="215" spans="1:11" ht="12.6" customHeight="1" x14ac:dyDescent="0.2">
      <c r="A215" s="13"/>
      <c r="B215" s="19" t="s">
        <v>90</v>
      </c>
      <c r="C215" s="15"/>
      <c r="D215" s="14"/>
      <c r="E215" s="15">
        <f t="shared" si="16"/>
        <v>113.545</v>
      </c>
      <c r="F215" s="14"/>
      <c r="G215" s="15">
        <f t="shared" si="15"/>
        <v>0</v>
      </c>
      <c r="H215" s="14"/>
      <c r="I215" s="15">
        <f t="shared" si="17"/>
        <v>190.042</v>
      </c>
      <c r="J215" s="14"/>
      <c r="K215" s="13" t="s">
        <v>1288</v>
      </c>
    </row>
    <row r="216" spans="1:11" ht="12.6" customHeight="1" x14ac:dyDescent="0.2">
      <c r="A216" s="13"/>
      <c r="B216" s="19" t="s">
        <v>909</v>
      </c>
      <c r="C216" s="15"/>
      <c r="D216" s="14"/>
      <c r="E216" s="15">
        <f t="shared" si="16"/>
        <v>113.545</v>
      </c>
      <c r="F216" s="14"/>
      <c r="G216" s="15">
        <f t="shared" si="15"/>
        <v>0</v>
      </c>
      <c r="H216" s="14"/>
      <c r="I216" s="15">
        <f t="shared" si="17"/>
        <v>190.042</v>
      </c>
      <c r="J216" s="14"/>
      <c r="K216" s="16" t="s">
        <v>1289</v>
      </c>
    </row>
    <row r="217" spans="1:11" ht="12.6" customHeight="1" x14ac:dyDescent="0.2">
      <c r="A217" s="19"/>
      <c r="B217" s="19"/>
      <c r="C217" s="15">
        <f>SUM(C191:C216)</f>
        <v>22.5</v>
      </c>
      <c r="D217" s="15">
        <f>SUM(D191:D216)</f>
        <v>12.533000000000001</v>
      </c>
      <c r="E217" s="36"/>
      <c r="F217" s="39"/>
      <c r="G217" s="15">
        <f>SUM(G191:G216)</f>
        <v>22.5</v>
      </c>
      <c r="H217" s="15">
        <f>SUM(H191:H216)</f>
        <v>9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CASTILLO, MEYNARDO P.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>
        <f>K1</f>
        <v>38892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/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 t="s">
        <v>76</v>
      </c>
      <c r="C230" s="15"/>
      <c r="D230" s="14">
        <v>2</v>
      </c>
      <c r="E230" s="15">
        <f>E216+C230-D230</f>
        <v>111.545</v>
      </c>
      <c r="F230" s="14"/>
      <c r="G230" s="15">
        <f>C230</f>
        <v>0</v>
      </c>
      <c r="H230" s="14"/>
      <c r="I230" s="15">
        <f>I216+G230-H230</f>
        <v>190.042</v>
      </c>
      <c r="J230" s="14"/>
      <c r="K230" s="16" t="s">
        <v>1290</v>
      </c>
    </row>
    <row r="231" spans="1:11" ht="12.6" customHeight="1" x14ac:dyDescent="0.2">
      <c r="A231" s="13">
        <v>46174</v>
      </c>
      <c r="B231" s="19"/>
      <c r="C231" s="15">
        <v>2.5</v>
      </c>
      <c r="D231" s="14"/>
      <c r="E231" s="15">
        <f>E230+C231-D231</f>
        <v>114.045</v>
      </c>
      <c r="F231" s="14"/>
      <c r="G231" s="15">
        <f t="shared" ref="G231:G255" si="18">C231</f>
        <v>2.5</v>
      </c>
      <c r="H231" s="14"/>
      <c r="I231" s="15">
        <f>I230+G231-H231</f>
        <v>192.542</v>
      </c>
      <c r="J231" s="14"/>
      <c r="K231" s="13"/>
    </row>
    <row r="232" spans="1:11" ht="12.6" customHeight="1" x14ac:dyDescent="0.2">
      <c r="A232" s="13"/>
      <c r="B232" s="19"/>
      <c r="C232" s="15"/>
      <c r="D232" s="14"/>
      <c r="E232" s="15">
        <f t="shared" ref="E232:E255" si="19">E231+C232-D232</f>
        <v>114.045</v>
      </c>
      <c r="F232" s="14"/>
      <c r="G232" s="15">
        <f t="shared" si="18"/>
        <v>0</v>
      </c>
      <c r="H232" s="14"/>
      <c r="I232" s="15">
        <f t="shared" ref="I232:I255" si="20">I231+G232-H232</f>
        <v>192.542</v>
      </c>
      <c r="J232" s="14"/>
      <c r="K232" s="13"/>
    </row>
    <row r="233" spans="1:11" ht="12.6" customHeight="1" x14ac:dyDescent="0.2">
      <c r="A233" s="13"/>
      <c r="B233" s="19"/>
      <c r="C233" s="15"/>
      <c r="D233" s="14"/>
      <c r="E233" s="15">
        <f t="shared" si="19"/>
        <v>114.045</v>
      </c>
      <c r="F233" s="14"/>
      <c r="G233" s="15">
        <f t="shared" si="18"/>
        <v>0</v>
      </c>
      <c r="H233" s="14"/>
      <c r="I233" s="15">
        <f t="shared" si="20"/>
        <v>192.542</v>
      </c>
      <c r="J233" s="14"/>
      <c r="K233" s="16"/>
    </row>
    <row r="234" spans="1:11" ht="12.6" customHeight="1" x14ac:dyDescent="0.2">
      <c r="A234" s="13"/>
      <c r="B234" s="19"/>
      <c r="C234" s="15"/>
      <c r="D234" s="14"/>
      <c r="E234" s="15">
        <f t="shared" si="19"/>
        <v>114.045</v>
      </c>
      <c r="F234" s="14"/>
      <c r="G234" s="15">
        <f t="shared" si="18"/>
        <v>0</v>
      </c>
      <c r="H234" s="14"/>
      <c r="I234" s="15">
        <f t="shared" si="20"/>
        <v>192.542</v>
      </c>
      <c r="J234" s="14"/>
      <c r="K234" s="13"/>
    </row>
    <row r="235" spans="1:11" ht="12.6" customHeight="1" x14ac:dyDescent="0.2">
      <c r="A235" s="13"/>
      <c r="B235" s="19"/>
      <c r="C235" s="15"/>
      <c r="D235" s="14"/>
      <c r="E235" s="15">
        <f t="shared" si="19"/>
        <v>114.045</v>
      </c>
      <c r="F235" s="14"/>
      <c r="G235" s="15">
        <f t="shared" si="18"/>
        <v>0</v>
      </c>
      <c r="H235" s="14"/>
      <c r="I235" s="15">
        <f t="shared" si="20"/>
        <v>192.542</v>
      </c>
      <c r="J235" s="14"/>
      <c r="K235" s="16"/>
    </row>
    <row r="236" spans="1:11" ht="12.6" customHeight="1" x14ac:dyDescent="0.2">
      <c r="A236" s="13"/>
      <c r="B236" s="19"/>
      <c r="C236" s="15"/>
      <c r="D236" s="14"/>
      <c r="E236" s="15">
        <f t="shared" si="19"/>
        <v>114.045</v>
      </c>
      <c r="F236" s="14"/>
      <c r="G236" s="15">
        <f t="shared" si="18"/>
        <v>0</v>
      </c>
      <c r="H236" s="14"/>
      <c r="I236" s="15">
        <f t="shared" si="20"/>
        <v>192.542</v>
      </c>
      <c r="J236" s="14"/>
      <c r="K236" s="13"/>
    </row>
    <row r="237" spans="1:11" ht="12.6" customHeight="1" x14ac:dyDescent="0.2">
      <c r="A237" s="13"/>
      <c r="B237" s="19"/>
      <c r="C237" s="15"/>
      <c r="D237" s="14"/>
      <c r="E237" s="15">
        <f t="shared" si="19"/>
        <v>114.045</v>
      </c>
      <c r="F237" s="14"/>
      <c r="G237" s="15">
        <f t="shared" si="18"/>
        <v>0</v>
      </c>
      <c r="H237" s="14"/>
      <c r="I237" s="15">
        <f t="shared" si="20"/>
        <v>192.542</v>
      </c>
      <c r="J237" s="14"/>
      <c r="K237" s="13"/>
    </row>
    <row r="238" spans="1:11" ht="12.6" customHeight="1" x14ac:dyDescent="0.2">
      <c r="A238" s="13"/>
      <c r="B238" s="19"/>
      <c r="C238" s="15"/>
      <c r="D238" s="14"/>
      <c r="E238" s="15">
        <f t="shared" si="19"/>
        <v>114.045</v>
      </c>
      <c r="F238" s="14"/>
      <c r="G238" s="15">
        <f t="shared" si="18"/>
        <v>0</v>
      </c>
      <c r="H238" s="14"/>
      <c r="I238" s="15">
        <f t="shared" si="20"/>
        <v>192.542</v>
      </c>
      <c r="J238" s="14"/>
      <c r="K238" s="16"/>
    </row>
    <row r="239" spans="1:11" ht="12.6" customHeight="1" x14ac:dyDescent="0.2">
      <c r="A239" s="13"/>
      <c r="B239" s="19"/>
      <c r="C239" s="15"/>
      <c r="D239" s="14"/>
      <c r="E239" s="15">
        <f t="shared" si="19"/>
        <v>114.045</v>
      </c>
      <c r="F239" s="14"/>
      <c r="G239" s="15">
        <f t="shared" si="18"/>
        <v>0</v>
      </c>
      <c r="H239" s="14"/>
      <c r="I239" s="15">
        <f t="shared" si="20"/>
        <v>192.542</v>
      </c>
      <c r="J239" s="14"/>
      <c r="K239" s="13"/>
    </row>
    <row r="240" spans="1:11" ht="12.6" customHeight="1" x14ac:dyDescent="0.2">
      <c r="A240" s="13"/>
      <c r="B240" s="19"/>
      <c r="C240" s="15"/>
      <c r="D240" s="14"/>
      <c r="E240" s="15">
        <f t="shared" si="19"/>
        <v>114.045</v>
      </c>
      <c r="F240" s="14"/>
      <c r="G240" s="15">
        <f t="shared" si="18"/>
        <v>0</v>
      </c>
      <c r="H240" s="14"/>
      <c r="I240" s="15">
        <f t="shared" si="20"/>
        <v>192.542</v>
      </c>
      <c r="J240" s="14"/>
      <c r="K240" s="16"/>
    </row>
    <row r="241" spans="1:11" ht="12.6" customHeight="1" x14ac:dyDescent="0.2">
      <c r="A241" s="13"/>
      <c r="B241" s="19"/>
      <c r="C241" s="15"/>
      <c r="D241" s="14"/>
      <c r="E241" s="15">
        <f t="shared" si="19"/>
        <v>114.045</v>
      </c>
      <c r="F241" s="14"/>
      <c r="G241" s="15">
        <f t="shared" si="18"/>
        <v>0</v>
      </c>
      <c r="H241" s="14"/>
      <c r="I241" s="15">
        <f t="shared" si="20"/>
        <v>192.542</v>
      </c>
      <c r="J241" s="14"/>
      <c r="K241" s="13"/>
    </row>
    <row r="242" spans="1:11" ht="12.6" customHeight="1" x14ac:dyDescent="0.2">
      <c r="A242" s="13"/>
      <c r="B242" s="19"/>
      <c r="C242" s="15"/>
      <c r="D242" s="14"/>
      <c r="E242" s="15">
        <f t="shared" si="19"/>
        <v>114.045</v>
      </c>
      <c r="F242" s="14"/>
      <c r="G242" s="15">
        <f t="shared" si="18"/>
        <v>0</v>
      </c>
      <c r="H242" s="14"/>
      <c r="I242" s="15">
        <f t="shared" si="20"/>
        <v>192.542</v>
      </c>
      <c r="J242" s="14"/>
      <c r="K242" s="13"/>
    </row>
    <row r="243" spans="1:11" ht="12.6" customHeight="1" x14ac:dyDescent="0.2">
      <c r="A243" s="13"/>
      <c r="B243" s="19"/>
      <c r="C243" s="15"/>
      <c r="D243" s="14"/>
      <c r="E243" s="15">
        <f t="shared" si="19"/>
        <v>114.045</v>
      </c>
      <c r="F243" s="14"/>
      <c r="G243" s="15">
        <f t="shared" si="18"/>
        <v>0</v>
      </c>
      <c r="H243" s="14"/>
      <c r="I243" s="15">
        <f t="shared" si="20"/>
        <v>192.542</v>
      </c>
      <c r="J243" s="14"/>
      <c r="K243" s="13"/>
    </row>
    <row r="244" spans="1:11" ht="12.6" customHeight="1" x14ac:dyDescent="0.2">
      <c r="A244" s="13"/>
      <c r="B244" s="19"/>
      <c r="C244" s="15"/>
      <c r="D244" s="14"/>
      <c r="E244" s="15">
        <f t="shared" si="19"/>
        <v>114.045</v>
      </c>
      <c r="F244" s="14"/>
      <c r="G244" s="15">
        <f t="shared" si="18"/>
        <v>0</v>
      </c>
      <c r="H244" s="14"/>
      <c r="I244" s="15">
        <f t="shared" si="20"/>
        <v>192.542</v>
      </c>
      <c r="J244" s="14"/>
      <c r="K244" s="13"/>
    </row>
    <row r="245" spans="1:11" ht="12.6" customHeight="1" x14ac:dyDescent="0.2">
      <c r="A245" s="13"/>
      <c r="B245" s="19"/>
      <c r="C245" s="15"/>
      <c r="D245" s="14"/>
      <c r="E245" s="15">
        <f t="shared" si="19"/>
        <v>114.045</v>
      </c>
      <c r="F245" s="14"/>
      <c r="G245" s="15">
        <f t="shared" si="18"/>
        <v>0</v>
      </c>
      <c r="H245" s="14"/>
      <c r="I245" s="15">
        <f t="shared" si="20"/>
        <v>192.542</v>
      </c>
      <c r="J245" s="14"/>
      <c r="K245" s="13"/>
    </row>
    <row r="246" spans="1:11" ht="12.6" customHeight="1" x14ac:dyDescent="0.2">
      <c r="A246" s="16"/>
      <c r="B246" s="19"/>
      <c r="C246" s="15"/>
      <c r="D246" s="14"/>
      <c r="E246" s="15">
        <f t="shared" si="19"/>
        <v>114.045</v>
      </c>
      <c r="F246" s="14"/>
      <c r="G246" s="15">
        <f t="shared" si="18"/>
        <v>0</v>
      </c>
      <c r="H246" s="14"/>
      <c r="I246" s="15">
        <f t="shared" si="20"/>
        <v>192.542</v>
      </c>
      <c r="J246" s="14"/>
      <c r="K246" s="13"/>
    </row>
    <row r="247" spans="1:11" ht="12.6" customHeight="1" x14ac:dyDescent="0.2">
      <c r="A247" s="13"/>
      <c r="B247" s="19"/>
      <c r="C247" s="15"/>
      <c r="D247" s="15"/>
      <c r="E247" s="15">
        <f t="shared" si="19"/>
        <v>114.045</v>
      </c>
      <c r="F247" s="14"/>
      <c r="G247" s="15">
        <f t="shared" si="18"/>
        <v>0</v>
      </c>
      <c r="H247" s="14"/>
      <c r="I247" s="15">
        <f t="shared" si="20"/>
        <v>192.542</v>
      </c>
      <c r="J247" s="14"/>
      <c r="K247" s="13"/>
    </row>
    <row r="248" spans="1:11" ht="12.6" customHeight="1" x14ac:dyDescent="0.2">
      <c r="A248" s="13"/>
      <c r="B248" s="19"/>
      <c r="C248" s="15"/>
      <c r="D248" s="14"/>
      <c r="E248" s="15">
        <f t="shared" si="19"/>
        <v>114.045</v>
      </c>
      <c r="F248" s="14"/>
      <c r="G248" s="15">
        <f t="shared" si="18"/>
        <v>0</v>
      </c>
      <c r="H248" s="14"/>
      <c r="I248" s="15">
        <f t="shared" si="20"/>
        <v>192.542</v>
      </c>
      <c r="J248" s="14"/>
      <c r="K248" s="13"/>
    </row>
    <row r="249" spans="1:11" ht="12.6" customHeight="1" x14ac:dyDescent="0.2">
      <c r="A249" s="16"/>
      <c r="B249" s="19"/>
      <c r="C249" s="15"/>
      <c r="D249" s="15"/>
      <c r="E249" s="15">
        <f t="shared" si="19"/>
        <v>114.045</v>
      </c>
      <c r="F249" s="14"/>
      <c r="G249" s="15">
        <f t="shared" si="18"/>
        <v>0</v>
      </c>
      <c r="H249" s="14"/>
      <c r="I249" s="15">
        <f t="shared" si="20"/>
        <v>192.542</v>
      </c>
      <c r="J249" s="14"/>
      <c r="K249" s="13"/>
    </row>
    <row r="250" spans="1:11" ht="12.6" customHeight="1" x14ac:dyDescent="0.2">
      <c r="A250" s="13"/>
      <c r="B250" s="19"/>
      <c r="C250" s="15"/>
      <c r="D250" s="14"/>
      <c r="E250" s="15">
        <f t="shared" si="19"/>
        <v>114.045</v>
      </c>
      <c r="F250" s="14"/>
      <c r="G250" s="15">
        <f t="shared" si="18"/>
        <v>0</v>
      </c>
      <c r="H250" s="14"/>
      <c r="I250" s="15">
        <f t="shared" si="20"/>
        <v>192.542</v>
      </c>
      <c r="J250" s="14"/>
      <c r="K250" s="16"/>
    </row>
    <row r="251" spans="1:11" ht="12.6" customHeight="1" x14ac:dyDescent="0.2">
      <c r="A251" s="13"/>
      <c r="B251" s="19"/>
      <c r="C251" s="15"/>
      <c r="D251" s="14"/>
      <c r="E251" s="15">
        <f t="shared" si="19"/>
        <v>114.045</v>
      </c>
      <c r="F251" s="14"/>
      <c r="G251" s="15">
        <f t="shared" si="18"/>
        <v>0</v>
      </c>
      <c r="H251" s="14"/>
      <c r="I251" s="15">
        <f t="shared" si="20"/>
        <v>192.542</v>
      </c>
      <c r="J251" s="14"/>
      <c r="K251" s="13"/>
    </row>
    <row r="252" spans="1:11" ht="12.6" customHeight="1" x14ac:dyDescent="0.2">
      <c r="A252" s="13"/>
      <c r="B252" s="19"/>
      <c r="C252" s="15"/>
      <c r="D252" s="14"/>
      <c r="E252" s="15">
        <f t="shared" si="19"/>
        <v>114.045</v>
      </c>
      <c r="F252" s="14"/>
      <c r="G252" s="15">
        <f t="shared" si="18"/>
        <v>0</v>
      </c>
      <c r="H252" s="14"/>
      <c r="I252" s="15">
        <f t="shared" si="20"/>
        <v>192.542</v>
      </c>
      <c r="J252" s="14"/>
      <c r="K252" s="13"/>
    </row>
    <row r="253" spans="1:11" ht="12.6" customHeight="1" x14ac:dyDescent="0.2">
      <c r="A253" s="13"/>
      <c r="B253" s="19"/>
      <c r="C253" s="15"/>
      <c r="D253" s="14"/>
      <c r="E253" s="15">
        <f t="shared" si="19"/>
        <v>114.045</v>
      </c>
      <c r="F253" s="14"/>
      <c r="G253" s="15">
        <f t="shared" si="18"/>
        <v>0</v>
      </c>
      <c r="H253" s="14"/>
      <c r="I253" s="15">
        <f t="shared" si="20"/>
        <v>192.542</v>
      </c>
      <c r="J253" s="14"/>
      <c r="K253" s="13"/>
    </row>
    <row r="254" spans="1:11" ht="12.6" customHeight="1" x14ac:dyDescent="0.2">
      <c r="A254" s="13"/>
      <c r="B254" s="19"/>
      <c r="C254" s="15"/>
      <c r="D254" s="14"/>
      <c r="E254" s="15">
        <f t="shared" si="19"/>
        <v>114.045</v>
      </c>
      <c r="F254" s="14"/>
      <c r="G254" s="15">
        <f t="shared" si="18"/>
        <v>0</v>
      </c>
      <c r="H254" s="14"/>
      <c r="I254" s="15">
        <f t="shared" si="20"/>
        <v>192.542</v>
      </c>
      <c r="J254" s="14"/>
      <c r="K254" s="16"/>
    </row>
    <row r="255" spans="1:11" ht="12.6" customHeight="1" x14ac:dyDescent="0.2">
      <c r="A255" s="13"/>
      <c r="B255" s="19"/>
      <c r="C255" s="15"/>
      <c r="D255" s="14"/>
      <c r="E255" s="15">
        <f t="shared" si="19"/>
        <v>114.045</v>
      </c>
      <c r="F255" s="14"/>
      <c r="G255" s="15">
        <f t="shared" si="18"/>
        <v>0</v>
      </c>
      <c r="H255" s="14"/>
      <c r="I255" s="15">
        <f t="shared" si="20"/>
        <v>192.542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2.5</v>
      </c>
      <c r="D256" s="36">
        <f>SUM(D230:D255)</f>
        <v>2</v>
      </c>
      <c r="E256" s="36"/>
      <c r="F256" s="37"/>
      <c r="G256" s="36">
        <f>SUM(G230:G255)</f>
        <v>2.5</v>
      </c>
      <c r="H256" s="36">
        <f>SUM(H230:H255)</f>
        <v>0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CASTILLO, MEYNARDO P.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>
        <f>K1</f>
        <v>38892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/>
      <c r="C265" s="15"/>
      <c r="D265" s="14"/>
      <c r="E265" s="15">
        <f>E255+C265-D265</f>
        <v>114.045</v>
      </c>
      <c r="F265" s="14"/>
      <c r="G265" s="15">
        <f>C265</f>
        <v>0</v>
      </c>
      <c r="H265" s="14"/>
      <c r="I265" s="15">
        <f>I255+G265-H265</f>
        <v>192.542</v>
      </c>
      <c r="J265" s="14"/>
      <c r="K265" s="16"/>
    </row>
    <row r="266" spans="1:11" ht="12.6" customHeight="1" x14ac:dyDescent="0.2">
      <c r="A266" s="13"/>
      <c r="B266" s="19"/>
      <c r="C266" s="15"/>
      <c r="D266" s="14"/>
      <c r="E266" s="15">
        <f>E265+C266-D266</f>
        <v>114.045</v>
      </c>
      <c r="F266" s="14"/>
      <c r="G266" s="15">
        <f t="shared" ref="G266:G290" si="21">C266</f>
        <v>0</v>
      </c>
      <c r="H266" s="14"/>
      <c r="I266" s="15">
        <f>I265+G266-H266</f>
        <v>192.542</v>
      </c>
      <c r="J266" s="14"/>
      <c r="K266" s="13"/>
    </row>
    <row r="267" spans="1:11" ht="12.6" customHeight="1" x14ac:dyDescent="0.2">
      <c r="A267" s="13"/>
      <c r="B267" s="19"/>
      <c r="C267" s="15"/>
      <c r="D267" s="14"/>
      <c r="E267" s="15">
        <f t="shared" ref="E267:E290" si="22">E266+C267-D267</f>
        <v>114.045</v>
      </c>
      <c r="F267" s="14"/>
      <c r="G267" s="15">
        <f t="shared" si="21"/>
        <v>0</v>
      </c>
      <c r="H267" s="14"/>
      <c r="I267" s="15">
        <f t="shared" ref="I267:I290" si="23">I266+G267-H267</f>
        <v>192.542</v>
      </c>
      <c r="J267" s="14"/>
      <c r="K267" s="13"/>
    </row>
    <row r="268" spans="1:11" ht="12.6" customHeight="1" x14ac:dyDescent="0.2">
      <c r="A268" s="13"/>
      <c r="B268" s="19"/>
      <c r="C268" s="15"/>
      <c r="D268" s="14"/>
      <c r="E268" s="15">
        <f t="shared" si="22"/>
        <v>114.045</v>
      </c>
      <c r="F268" s="14"/>
      <c r="G268" s="15">
        <f t="shared" si="21"/>
        <v>0</v>
      </c>
      <c r="H268" s="14"/>
      <c r="I268" s="15">
        <f t="shared" si="23"/>
        <v>192.542</v>
      </c>
      <c r="J268" s="14"/>
      <c r="K268" s="16"/>
    </row>
    <row r="269" spans="1:11" ht="12.6" customHeight="1" x14ac:dyDescent="0.2">
      <c r="A269" s="13"/>
      <c r="B269" s="19"/>
      <c r="C269" s="15"/>
      <c r="D269" s="14"/>
      <c r="E269" s="15">
        <f t="shared" si="22"/>
        <v>114.045</v>
      </c>
      <c r="F269" s="14"/>
      <c r="G269" s="15">
        <f t="shared" si="21"/>
        <v>0</v>
      </c>
      <c r="H269" s="14"/>
      <c r="I269" s="15">
        <f t="shared" si="23"/>
        <v>192.542</v>
      </c>
      <c r="J269" s="14"/>
      <c r="K269" s="13"/>
    </row>
    <row r="270" spans="1:11" ht="12.6" customHeight="1" x14ac:dyDescent="0.2">
      <c r="A270" s="13"/>
      <c r="B270" s="19"/>
      <c r="C270" s="15"/>
      <c r="D270" s="14"/>
      <c r="E270" s="15">
        <f t="shared" si="22"/>
        <v>114.045</v>
      </c>
      <c r="F270" s="14"/>
      <c r="G270" s="15">
        <f t="shared" si="21"/>
        <v>0</v>
      </c>
      <c r="H270" s="14"/>
      <c r="I270" s="15">
        <f t="shared" si="23"/>
        <v>192.542</v>
      </c>
      <c r="J270" s="14"/>
      <c r="K270" s="16"/>
    </row>
    <row r="271" spans="1:11" ht="12.6" customHeight="1" x14ac:dyDescent="0.2">
      <c r="A271" s="13"/>
      <c r="B271" s="19"/>
      <c r="C271" s="15"/>
      <c r="D271" s="14"/>
      <c r="E271" s="15">
        <f t="shared" si="22"/>
        <v>114.045</v>
      </c>
      <c r="F271" s="14"/>
      <c r="G271" s="15">
        <f t="shared" si="21"/>
        <v>0</v>
      </c>
      <c r="H271" s="14"/>
      <c r="I271" s="15">
        <f t="shared" si="23"/>
        <v>192.542</v>
      </c>
      <c r="J271" s="14"/>
      <c r="K271" s="13"/>
    </row>
    <row r="272" spans="1:11" ht="12.6" customHeight="1" x14ac:dyDescent="0.2">
      <c r="A272" s="13"/>
      <c r="B272" s="19"/>
      <c r="C272" s="15"/>
      <c r="D272" s="14"/>
      <c r="E272" s="15">
        <f t="shared" si="22"/>
        <v>114.045</v>
      </c>
      <c r="F272" s="14"/>
      <c r="G272" s="15">
        <f t="shared" si="21"/>
        <v>0</v>
      </c>
      <c r="H272" s="14"/>
      <c r="I272" s="15">
        <f t="shared" si="23"/>
        <v>192.542</v>
      </c>
      <c r="J272" s="14"/>
      <c r="K272" s="13"/>
    </row>
    <row r="273" spans="1:11" ht="12.6" customHeight="1" x14ac:dyDescent="0.2">
      <c r="A273" s="13"/>
      <c r="B273" s="19"/>
      <c r="C273" s="15"/>
      <c r="D273" s="14"/>
      <c r="E273" s="15">
        <f t="shared" si="22"/>
        <v>114.045</v>
      </c>
      <c r="F273" s="14"/>
      <c r="G273" s="15">
        <f t="shared" si="21"/>
        <v>0</v>
      </c>
      <c r="H273" s="14"/>
      <c r="I273" s="15">
        <f t="shared" si="23"/>
        <v>192.542</v>
      </c>
      <c r="J273" s="14"/>
      <c r="K273" s="16"/>
    </row>
    <row r="274" spans="1:11" ht="12.6" customHeight="1" x14ac:dyDescent="0.2">
      <c r="A274" s="13"/>
      <c r="B274" s="19"/>
      <c r="C274" s="15"/>
      <c r="D274" s="14"/>
      <c r="E274" s="15">
        <f t="shared" si="22"/>
        <v>114.045</v>
      </c>
      <c r="F274" s="14"/>
      <c r="G274" s="15">
        <f t="shared" si="21"/>
        <v>0</v>
      </c>
      <c r="H274" s="14"/>
      <c r="I274" s="15">
        <f t="shared" si="23"/>
        <v>192.542</v>
      </c>
      <c r="J274" s="14"/>
      <c r="K274" s="16"/>
    </row>
    <row r="275" spans="1:11" ht="12.6" customHeight="1" x14ac:dyDescent="0.2">
      <c r="A275" s="13"/>
      <c r="B275" s="19"/>
      <c r="C275" s="15"/>
      <c r="D275" s="14"/>
      <c r="E275" s="15">
        <f t="shared" si="22"/>
        <v>114.045</v>
      </c>
      <c r="F275" s="14"/>
      <c r="G275" s="15">
        <f t="shared" si="21"/>
        <v>0</v>
      </c>
      <c r="H275" s="14"/>
      <c r="I275" s="15">
        <f t="shared" si="23"/>
        <v>192.542</v>
      </c>
      <c r="J275" s="14"/>
      <c r="K275" s="13"/>
    </row>
    <row r="276" spans="1:11" ht="12.6" customHeight="1" x14ac:dyDescent="0.2">
      <c r="A276" s="13"/>
      <c r="B276" s="19"/>
      <c r="C276" s="15"/>
      <c r="D276" s="14"/>
      <c r="E276" s="15">
        <f t="shared" si="22"/>
        <v>114.045</v>
      </c>
      <c r="F276" s="14"/>
      <c r="G276" s="15">
        <f t="shared" si="21"/>
        <v>0</v>
      </c>
      <c r="H276" s="14"/>
      <c r="I276" s="15">
        <f t="shared" si="23"/>
        <v>192.542</v>
      </c>
      <c r="J276" s="14"/>
      <c r="K276" s="13"/>
    </row>
    <row r="277" spans="1:11" ht="12.6" customHeight="1" x14ac:dyDescent="0.2">
      <c r="A277" s="13"/>
      <c r="B277" s="19"/>
      <c r="C277" s="15"/>
      <c r="D277" s="14"/>
      <c r="E277" s="15">
        <f t="shared" si="22"/>
        <v>114.045</v>
      </c>
      <c r="F277" s="14"/>
      <c r="G277" s="15">
        <f t="shared" si="21"/>
        <v>0</v>
      </c>
      <c r="H277" s="14"/>
      <c r="I277" s="15">
        <f t="shared" si="23"/>
        <v>192.542</v>
      </c>
      <c r="J277" s="14"/>
      <c r="K277" s="13"/>
    </row>
    <row r="278" spans="1:11" ht="12.6" customHeight="1" x14ac:dyDescent="0.2">
      <c r="A278" s="13"/>
      <c r="B278" s="19"/>
      <c r="C278" s="15"/>
      <c r="D278" s="14"/>
      <c r="E278" s="15">
        <f t="shared" si="22"/>
        <v>114.045</v>
      </c>
      <c r="F278" s="14"/>
      <c r="G278" s="15">
        <f t="shared" si="21"/>
        <v>0</v>
      </c>
      <c r="H278" s="14"/>
      <c r="I278" s="15">
        <f t="shared" si="23"/>
        <v>192.542</v>
      </c>
      <c r="J278" s="14"/>
      <c r="K278" s="13"/>
    </row>
    <row r="279" spans="1:11" ht="12.6" customHeight="1" x14ac:dyDescent="0.2">
      <c r="A279" s="13"/>
      <c r="B279" s="19"/>
      <c r="C279" s="15"/>
      <c r="D279" s="14"/>
      <c r="E279" s="15">
        <f t="shared" si="22"/>
        <v>114.045</v>
      </c>
      <c r="F279" s="14"/>
      <c r="G279" s="15">
        <f t="shared" si="21"/>
        <v>0</v>
      </c>
      <c r="H279" s="14"/>
      <c r="I279" s="15">
        <f t="shared" si="23"/>
        <v>192.542</v>
      </c>
      <c r="J279" s="14"/>
      <c r="K279" s="13"/>
    </row>
    <row r="280" spans="1:11" ht="12.6" customHeight="1" x14ac:dyDescent="0.2">
      <c r="A280" s="13"/>
      <c r="B280" s="19"/>
      <c r="C280" s="15"/>
      <c r="D280" s="14"/>
      <c r="E280" s="15">
        <f t="shared" si="22"/>
        <v>114.045</v>
      </c>
      <c r="F280" s="14"/>
      <c r="G280" s="15">
        <f t="shared" si="21"/>
        <v>0</v>
      </c>
      <c r="H280" s="14"/>
      <c r="I280" s="15">
        <f t="shared" si="23"/>
        <v>192.542</v>
      </c>
      <c r="J280" s="14"/>
      <c r="K280" s="13"/>
    </row>
    <row r="281" spans="1:11" ht="12.6" customHeight="1" x14ac:dyDescent="0.2">
      <c r="A281" s="13"/>
      <c r="B281" s="19"/>
      <c r="C281" s="15"/>
      <c r="D281" s="14"/>
      <c r="E281" s="15">
        <f t="shared" si="22"/>
        <v>114.045</v>
      </c>
      <c r="F281" s="14"/>
      <c r="G281" s="15">
        <f t="shared" si="21"/>
        <v>0</v>
      </c>
      <c r="H281" s="14"/>
      <c r="I281" s="15">
        <f t="shared" si="23"/>
        <v>192.542</v>
      </c>
      <c r="J281" s="14"/>
      <c r="K281" s="13"/>
    </row>
    <row r="282" spans="1:11" ht="12.6" customHeight="1" x14ac:dyDescent="0.2">
      <c r="A282" s="13"/>
      <c r="B282" s="19"/>
      <c r="C282" s="15"/>
      <c r="D282" s="15"/>
      <c r="E282" s="15">
        <f t="shared" si="22"/>
        <v>114.045</v>
      </c>
      <c r="F282" s="14"/>
      <c r="G282" s="15">
        <f t="shared" si="21"/>
        <v>0</v>
      </c>
      <c r="H282" s="14"/>
      <c r="I282" s="15">
        <f t="shared" si="23"/>
        <v>192.542</v>
      </c>
      <c r="J282" s="14"/>
      <c r="K282" s="13"/>
    </row>
    <row r="283" spans="1:11" ht="12.6" customHeight="1" x14ac:dyDescent="0.2">
      <c r="A283" s="13"/>
      <c r="B283" s="19"/>
      <c r="C283" s="15"/>
      <c r="D283" s="14"/>
      <c r="E283" s="15">
        <f t="shared" si="22"/>
        <v>114.045</v>
      </c>
      <c r="F283" s="14"/>
      <c r="G283" s="15">
        <f t="shared" si="21"/>
        <v>0</v>
      </c>
      <c r="H283" s="14"/>
      <c r="I283" s="15">
        <f t="shared" si="23"/>
        <v>192.542</v>
      </c>
      <c r="J283" s="14"/>
      <c r="K283" s="16"/>
    </row>
    <row r="284" spans="1:11" ht="12.6" customHeight="1" x14ac:dyDescent="0.2">
      <c r="A284" s="13"/>
      <c r="B284" s="19"/>
      <c r="C284" s="15"/>
      <c r="D284" s="15"/>
      <c r="E284" s="15">
        <f t="shared" si="22"/>
        <v>114.045</v>
      </c>
      <c r="F284" s="14"/>
      <c r="G284" s="15">
        <f t="shared" si="21"/>
        <v>0</v>
      </c>
      <c r="H284" s="14"/>
      <c r="I284" s="15">
        <f t="shared" si="23"/>
        <v>192.542</v>
      </c>
      <c r="J284" s="14"/>
      <c r="K284" s="13"/>
    </row>
    <row r="285" spans="1:11" ht="12.6" customHeight="1" x14ac:dyDescent="0.2">
      <c r="A285" s="13"/>
      <c r="B285" s="19"/>
      <c r="C285" s="15"/>
      <c r="D285" s="14"/>
      <c r="E285" s="15">
        <f t="shared" si="22"/>
        <v>114.045</v>
      </c>
      <c r="F285" s="14"/>
      <c r="G285" s="15">
        <f t="shared" si="21"/>
        <v>0</v>
      </c>
      <c r="H285" s="14"/>
      <c r="I285" s="15">
        <f t="shared" si="23"/>
        <v>192.542</v>
      </c>
      <c r="J285" s="14"/>
      <c r="K285" s="16"/>
    </row>
    <row r="286" spans="1:11" ht="12.6" customHeight="1" x14ac:dyDescent="0.2">
      <c r="A286" s="13"/>
      <c r="B286" s="19"/>
      <c r="C286" s="15"/>
      <c r="D286" s="14"/>
      <c r="E286" s="15">
        <f t="shared" si="22"/>
        <v>114.045</v>
      </c>
      <c r="F286" s="14"/>
      <c r="G286" s="15">
        <f t="shared" si="21"/>
        <v>0</v>
      </c>
      <c r="H286" s="14"/>
      <c r="I286" s="15">
        <f t="shared" si="23"/>
        <v>192.542</v>
      </c>
      <c r="J286" s="14"/>
      <c r="K286" s="13"/>
    </row>
    <row r="287" spans="1:11" ht="12.6" customHeight="1" x14ac:dyDescent="0.2">
      <c r="A287" s="13"/>
      <c r="B287" s="19"/>
      <c r="C287" s="15"/>
      <c r="D287" s="14"/>
      <c r="E287" s="15">
        <f t="shared" si="22"/>
        <v>114.045</v>
      </c>
      <c r="F287" s="14"/>
      <c r="G287" s="15">
        <f t="shared" si="21"/>
        <v>0</v>
      </c>
      <c r="H287" s="14"/>
      <c r="I287" s="15">
        <f t="shared" si="23"/>
        <v>192.542</v>
      </c>
      <c r="J287" s="14"/>
      <c r="K287" s="13"/>
    </row>
    <row r="288" spans="1:11" ht="12.6" customHeight="1" x14ac:dyDescent="0.2">
      <c r="A288" s="13"/>
      <c r="B288" s="19"/>
      <c r="C288" s="15"/>
      <c r="D288" s="14"/>
      <c r="E288" s="15">
        <f t="shared" si="22"/>
        <v>114.045</v>
      </c>
      <c r="F288" s="14"/>
      <c r="G288" s="15">
        <f t="shared" si="21"/>
        <v>0</v>
      </c>
      <c r="H288" s="14"/>
      <c r="I288" s="15">
        <f t="shared" si="23"/>
        <v>192.542</v>
      </c>
      <c r="J288" s="14"/>
      <c r="K288" s="13"/>
    </row>
    <row r="289" spans="1:11" ht="12.6" customHeight="1" x14ac:dyDescent="0.2">
      <c r="A289" s="13"/>
      <c r="B289" s="19"/>
      <c r="C289" s="15"/>
      <c r="D289" s="14"/>
      <c r="E289" s="15">
        <f t="shared" si="22"/>
        <v>114.045</v>
      </c>
      <c r="F289" s="14"/>
      <c r="G289" s="15">
        <f t="shared" si="21"/>
        <v>0</v>
      </c>
      <c r="H289" s="14"/>
      <c r="I289" s="15">
        <f t="shared" si="23"/>
        <v>192.542</v>
      </c>
      <c r="J289" s="14"/>
      <c r="K289" s="13"/>
    </row>
    <row r="290" spans="1:11" ht="12.6" customHeight="1" x14ac:dyDescent="0.2">
      <c r="A290" s="13"/>
      <c r="B290" s="19"/>
      <c r="C290" s="15"/>
      <c r="D290" s="14"/>
      <c r="E290" s="15">
        <f t="shared" si="22"/>
        <v>114.045</v>
      </c>
      <c r="F290" s="14"/>
      <c r="G290" s="15">
        <f t="shared" si="21"/>
        <v>0</v>
      </c>
      <c r="H290" s="14"/>
      <c r="I290" s="15">
        <f t="shared" si="23"/>
        <v>192.542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0</v>
      </c>
      <c r="D291" s="36">
        <f>SUM(D265:D290)</f>
        <v>0</v>
      </c>
      <c r="E291" s="36"/>
      <c r="F291" s="37"/>
      <c r="G291" s="36">
        <f>SUM(G265:G290)</f>
        <v>0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CASTILLO, MEYNARDO P.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>
        <f>K1</f>
        <v>38892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/>
      <c r="C304" s="15"/>
      <c r="D304" s="14"/>
      <c r="E304" s="15">
        <f>E290+C304-D304</f>
        <v>114.045</v>
      </c>
      <c r="F304" s="14"/>
      <c r="G304" s="15">
        <f>C304</f>
        <v>0</v>
      </c>
      <c r="H304" s="14"/>
      <c r="I304" s="15">
        <f>I290+G304-H304</f>
        <v>192.542</v>
      </c>
      <c r="J304" s="14"/>
      <c r="K304" s="16"/>
    </row>
    <row r="305" spans="1:11" ht="12.6" customHeight="1" x14ac:dyDescent="0.2">
      <c r="A305" s="13"/>
      <c r="B305" s="19"/>
      <c r="C305" s="15"/>
      <c r="D305" s="14"/>
      <c r="E305" s="15">
        <f>E304+C305-D305</f>
        <v>114.045</v>
      </c>
      <c r="F305" s="14"/>
      <c r="G305" s="15">
        <f t="shared" ref="G305:G329" si="24">C305</f>
        <v>0</v>
      </c>
      <c r="H305" s="14"/>
      <c r="I305" s="15">
        <f>I304+G305-H305</f>
        <v>192.542</v>
      </c>
      <c r="J305" s="14"/>
      <c r="K305" s="13"/>
    </row>
    <row r="306" spans="1:11" ht="12.6" customHeight="1" x14ac:dyDescent="0.2">
      <c r="A306" s="13"/>
      <c r="B306" s="19"/>
      <c r="C306" s="15"/>
      <c r="D306" s="14"/>
      <c r="E306" s="15">
        <f t="shared" ref="E306:E329" si="25">E305+C306-D306</f>
        <v>114.045</v>
      </c>
      <c r="F306" s="14"/>
      <c r="G306" s="15">
        <f t="shared" si="24"/>
        <v>0</v>
      </c>
      <c r="H306" s="14"/>
      <c r="I306" s="15">
        <f t="shared" ref="I306:I329" si="26">I305+G306-H306</f>
        <v>192.542</v>
      </c>
      <c r="J306" s="14"/>
      <c r="K306" s="13"/>
    </row>
    <row r="307" spans="1:11" ht="12.6" customHeight="1" x14ac:dyDescent="0.2">
      <c r="A307" s="13"/>
      <c r="B307" s="19"/>
      <c r="C307" s="15"/>
      <c r="D307" s="14"/>
      <c r="E307" s="15">
        <f t="shared" si="25"/>
        <v>114.045</v>
      </c>
      <c r="F307" s="14"/>
      <c r="G307" s="15">
        <f t="shared" si="24"/>
        <v>0</v>
      </c>
      <c r="H307" s="14"/>
      <c r="I307" s="15">
        <f t="shared" si="26"/>
        <v>192.542</v>
      </c>
      <c r="J307" s="14"/>
      <c r="K307" s="16"/>
    </row>
    <row r="308" spans="1:11" ht="12.6" customHeight="1" x14ac:dyDescent="0.2">
      <c r="A308" s="13"/>
      <c r="B308" s="19"/>
      <c r="C308" s="15"/>
      <c r="D308" s="14"/>
      <c r="E308" s="15">
        <f t="shared" si="25"/>
        <v>114.045</v>
      </c>
      <c r="F308" s="14"/>
      <c r="G308" s="15">
        <f t="shared" si="24"/>
        <v>0</v>
      </c>
      <c r="H308" s="14"/>
      <c r="I308" s="15">
        <f t="shared" si="26"/>
        <v>192.542</v>
      </c>
      <c r="J308" s="14"/>
      <c r="K308" s="13"/>
    </row>
    <row r="309" spans="1:11" ht="12.6" customHeight="1" x14ac:dyDescent="0.2">
      <c r="A309" s="13"/>
      <c r="B309" s="19"/>
      <c r="C309" s="15"/>
      <c r="D309" s="14"/>
      <c r="E309" s="15">
        <f t="shared" si="25"/>
        <v>114.045</v>
      </c>
      <c r="F309" s="14"/>
      <c r="G309" s="15">
        <f t="shared" si="24"/>
        <v>0</v>
      </c>
      <c r="H309" s="14"/>
      <c r="I309" s="15">
        <f t="shared" si="26"/>
        <v>192.542</v>
      </c>
      <c r="J309" s="14"/>
      <c r="K309" s="13"/>
    </row>
    <row r="310" spans="1:11" ht="12.6" customHeight="1" x14ac:dyDescent="0.2">
      <c r="A310" s="13"/>
      <c r="B310" s="19"/>
      <c r="C310" s="15"/>
      <c r="D310" s="14"/>
      <c r="E310" s="15">
        <f t="shared" si="25"/>
        <v>114.045</v>
      </c>
      <c r="F310" s="14"/>
      <c r="G310" s="15">
        <f t="shared" si="24"/>
        <v>0</v>
      </c>
      <c r="H310" s="14"/>
      <c r="I310" s="15">
        <f t="shared" si="26"/>
        <v>192.542</v>
      </c>
      <c r="J310" s="14"/>
      <c r="K310" s="13"/>
    </row>
    <row r="311" spans="1:11" ht="12.6" customHeight="1" x14ac:dyDescent="0.2">
      <c r="A311" s="13"/>
      <c r="B311" s="19"/>
      <c r="C311" s="15"/>
      <c r="D311" s="14"/>
      <c r="E311" s="15">
        <f t="shared" si="25"/>
        <v>114.045</v>
      </c>
      <c r="F311" s="14"/>
      <c r="G311" s="15">
        <f t="shared" si="24"/>
        <v>0</v>
      </c>
      <c r="H311" s="14"/>
      <c r="I311" s="15">
        <f t="shared" si="26"/>
        <v>192.542</v>
      </c>
      <c r="J311" s="14"/>
      <c r="K311" s="13"/>
    </row>
    <row r="312" spans="1:11" ht="12.6" customHeight="1" x14ac:dyDescent="0.2">
      <c r="A312" s="13"/>
      <c r="B312" s="19"/>
      <c r="C312" s="15"/>
      <c r="D312" s="14"/>
      <c r="E312" s="15">
        <f t="shared" si="25"/>
        <v>114.045</v>
      </c>
      <c r="F312" s="14"/>
      <c r="G312" s="15">
        <f t="shared" si="24"/>
        <v>0</v>
      </c>
      <c r="H312" s="14"/>
      <c r="I312" s="15">
        <f t="shared" si="26"/>
        <v>192.542</v>
      </c>
      <c r="J312" s="14"/>
      <c r="K312" s="16"/>
    </row>
    <row r="313" spans="1:11" ht="12.6" customHeight="1" x14ac:dyDescent="0.2">
      <c r="A313" s="13"/>
      <c r="B313" s="19"/>
      <c r="C313" s="15"/>
      <c r="D313" s="14"/>
      <c r="E313" s="15">
        <f t="shared" si="25"/>
        <v>114.045</v>
      </c>
      <c r="F313" s="14"/>
      <c r="G313" s="15">
        <f t="shared" si="24"/>
        <v>0</v>
      </c>
      <c r="H313" s="14"/>
      <c r="I313" s="15">
        <f t="shared" si="26"/>
        <v>192.542</v>
      </c>
      <c r="J313" s="14"/>
      <c r="K313" s="16"/>
    </row>
    <row r="314" spans="1:11" ht="12.6" customHeight="1" x14ac:dyDescent="0.2">
      <c r="A314" s="13"/>
      <c r="B314" s="19"/>
      <c r="C314" s="15"/>
      <c r="D314" s="14"/>
      <c r="E314" s="15">
        <f t="shared" si="25"/>
        <v>114.045</v>
      </c>
      <c r="F314" s="14"/>
      <c r="G314" s="15">
        <f t="shared" si="24"/>
        <v>0</v>
      </c>
      <c r="H314" s="14"/>
      <c r="I314" s="15">
        <f t="shared" si="26"/>
        <v>192.542</v>
      </c>
      <c r="J314" s="14"/>
      <c r="K314" s="16"/>
    </row>
    <row r="315" spans="1:11" ht="12.6" customHeight="1" x14ac:dyDescent="0.2">
      <c r="A315" s="13"/>
      <c r="B315" s="19"/>
      <c r="C315" s="15"/>
      <c r="D315" s="14"/>
      <c r="E315" s="15">
        <f t="shared" si="25"/>
        <v>114.045</v>
      </c>
      <c r="F315" s="14"/>
      <c r="G315" s="15">
        <f t="shared" si="24"/>
        <v>0</v>
      </c>
      <c r="H315" s="14"/>
      <c r="I315" s="15">
        <f t="shared" si="26"/>
        <v>192.542</v>
      </c>
      <c r="J315" s="14"/>
      <c r="K315" s="13"/>
    </row>
    <row r="316" spans="1:11" ht="12.6" customHeight="1" x14ac:dyDescent="0.2">
      <c r="A316" s="13"/>
      <c r="B316" s="19"/>
      <c r="C316" s="15"/>
      <c r="D316" s="14"/>
      <c r="E316" s="15">
        <f t="shared" si="25"/>
        <v>114.045</v>
      </c>
      <c r="F316" s="14"/>
      <c r="G316" s="15">
        <f t="shared" si="24"/>
        <v>0</v>
      </c>
      <c r="H316" s="14"/>
      <c r="I316" s="15">
        <f t="shared" si="26"/>
        <v>192.542</v>
      </c>
      <c r="J316" s="14"/>
      <c r="K316" s="13"/>
    </row>
    <row r="317" spans="1:11" ht="12.6" customHeight="1" x14ac:dyDescent="0.2">
      <c r="A317" s="13"/>
      <c r="B317" s="19"/>
      <c r="C317" s="15"/>
      <c r="D317" s="14"/>
      <c r="E317" s="15">
        <f t="shared" si="25"/>
        <v>114.045</v>
      </c>
      <c r="F317" s="14"/>
      <c r="G317" s="15">
        <f t="shared" si="24"/>
        <v>0</v>
      </c>
      <c r="H317" s="14"/>
      <c r="I317" s="15">
        <f t="shared" si="26"/>
        <v>192.542</v>
      </c>
      <c r="J317" s="14"/>
      <c r="K317" s="13"/>
    </row>
    <row r="318" spans="1:11" ht="12.6" customHeight="1" x14ac:dyDescent="0.2">
      <c r="A318" s="13"/>
      <c r="B318" s="19"/>
      <c r="C318" s="15"/>
      <c r="D318" s="14"/>
      <c r="E318" s="15">
        <f t="shared" si="25"/>
        <v>114.045</v>
      </c>
      <c r="F318" s="14"/>
      <c r="G318" s="15">
        <f t="shared" si="24"/>
        <v>0</v>
      </c>
      <c r="H318" s="14"/>
      <c r="I318" s="15">
        <f t="shared" si="26"/>
        <v>192.542</v>
      </c>
      <c r="J318" s="14"/>
      <c r="K318" s="13"/>
    </row>
    <row r="319" spans="1:11" ht="12.6" customHeight="1" x14ac:dyDescent="0.2">
      <c r="A319" s="13"/>
      <c r="B319" s="19"/>
      <c r="C319" s="15"/>
      <c r="D319" s="14"/>
      <c r="E319" s="15">
        <f t="shared" si="25"/>
        <v>114.045</v>
      </c>
      <c r="F319" s="14"/>
      <c r="G319" s="15">
        <f t="shared" si="24"/>
        <v>0</v>
      </c>
      <c r="H319" s="14"/>
      <c r="I319" s="15">
        <f t="shared" si="26"/>
        <v>192.542</v>
      </c>
      <c r="J319" s="14"/>
      <c r="K319" s="13"/>
    </row>
    <row r="320" spans="1:11" ht="12.6" customHeight="1" x14ac:dyDescent="0.2">
      <c r="A320" s="13"/>
      <c r="B320" s="19"/>
      <c r="C320" s="15"/>
      <c r="D320" s="14"/>
      <c r="E320" s="15">
        <f t="shared" si="25"/>
        <v>114.045</v>
      </c>
      <c r="F320" s="14"/>
      <c r="G320" s="15">
        <f t="shared" si="24"/>
        <v>0</v>
      </c>
      <c r="H320" s="14"/>
      <c r="I320" s="15">
        <f t="shared" si="26"/>
        <v>192.542</v>
      </c>
      <c r="J320" s="14"/>
      <c r="K320" s="13"/>
    </row>
    <row r="321" spans="1:11" ht="12.6" customHeight="1" x14ac:dyDescent="0.2">
      <c r="A321" s="13"/>
      <c r="B321" s="19"/>
      <c r="C321" s="15"/>
      <c r="D321" s="15"/>
      <c r="E321" s="15">
        <f t="shared" si="25"/>
        <v>114.045</v>
      </c>
      <c r="F321" s="14"/>
      <c r="G321" s="15">
        <f t="shared" si="24"/>
        <v>0</v>
      </c>
      <c r="H321" s="14"/>
      <c r="I321" s="15">
        <f t="shared" si="26"/>
        <v>192.542</v>
      </c>
      <c r="J321" s="14"/>
      <c r="K321" s="13"/>
    </row>
    <row r="322" spans="1:11" ht="12.6" customHeight="1" x14ac:dyDescent="0.2">
      <c r="A322" s="13"/>
      <c r="B322" s="19"/>
      <c r="C322" s="15"/>
      <c r="D322" s="14"/>
      <c r="E322" s="15">
        <f t="shared" si="25"/>
        <v>114.045</v>
      </c>
      <c r="F322" s="14"/>
      <c r="G322" s="15">
        <f t="shared" si="24"/>
        <v>0</v>
      </c>
      <c r="H322" s="14"/>
      <c r="I322" s="15">
        <f t="shared" si="26"/>
        <v>192.542</v>
      </c>
      <c r="J322" s="14"/>
      <c r="K322" s="16"/>
    </row>
    <row r="323" spans="1:11" ht="12.6" customHeight="1" x14ac:dyDescent="0.2">
      <c r="A323" s="16"/>
      <c r="B323" s="19"/>
      <c r="C323" s="15"/>
      <c r="D323" s="15"/>
      <c r="E323" s="15">
        <f t="shared" si="25"/>
        <v>114.045</v>
      </c>
      <c r="F323" s="14"/>
      <c r="G323" s="15">
        <f t="shared" si="24"/>
        <v>0</v>
      </c>
      <c r="H323" s="14"/>
      <c r="I323" s="15">
        <f t="shared" si="26"/>
        <v>192.542</v>
      </c>
      <c r="J323" s="14"/>
      <c r="K323" s="13"/>
    </row>
    <row r="324" spans="1:11" ht="12.6" customHeight="1" x14ac:dyDescent="0.2">
      <c r="A324" s="13"/>
      <c r="B324" s="19"/>
      <c r="C324" s="15"/>
      <c r="D324" s="14"/>
      <c r="E324" s="15">
        <f t="shared" si="25"/>
        <v>114.045</v>
      </c>
      <c r="F324" s="14"/>
      <c r="G324" s="15">
        <f t="shared" si="24"/>
        <v>0</v>
      </c>
      <c r="H324" s="14"/>
      <c r="I324" s="15">
        <f t="shared" si="26"/>
        <v>192.542</v>
      </c>
      <c r="J324" s="14"/>
      <c r="K324" s="16"/>
    </row>
    <row r="325" spans="1:11" ht="12.6" customHeight="1" x14ac:dyDescent="0.2">
      <c r="A325" s="13"/>
      <c r="B325" s="19"/>
      <c r="C325" s="15"/>
      <c r="D325" s="14"/>
      <c r="E325" s="15">
        <f t="shared" si="25"/>
        <v>114.045</v>
      </c>
      <c r="F325" s="14"/>
      <c r="G325" s="15">
        <f t="shared" si="24"/>
        <v>0</v>
      </c>
      <c r="H325" s="14"/>
      <c r="I325" s="15">
        <f t="shared" si="26"/>
        <v>192.542</v>
      </c>
      <c r="J325" s="14"/>
      <c r="K325" s="13"/>
    </row>
    <row r="326" spans="1:11" ht="12.6" customHeight="1" x14ac:dyDescent="0.2">
      <c r="A326" s="13"/>
      <c r="B326" s="19"/>
      <c r="C326" s="15"/>
      <c r="D326" s="14"/>
      <c r="E326" s="15">
        <f t="shared" si="25"/>
        <v>114.045</v>
      </c>
      <c r="F326" s="14"/>
      <c r="G326" s="15">
        <f t="shared" si="24"/>
        <v>0</v>
      </c>
      <c r="H326" s="14"/>
      <c r="I326" s="15">
        <f t="shared" si="26"/>
        <v>192.542</v>
      </c>
      <c r="J326" s="14"/>
      <c r="K326" s="13"/>
    </row>
    <row r="327" spans="1:11" ht="12.6" customHeight="1" x14ac:dyDescent="0.2">
      <c r="A327" s="13"/>
      <c r="B327" s="19"/>
      <c r="C327" s="15"/>
      <c r="D327" s="14"/>
      <c r="E327" s="15">
        <f t="shared" si="25"/>
        <v>114.045</v>
      </c>
      <c r="F327" s="14"/>
      <c r="G327" s="15">
        <f t="shared" si="24"/>
        <v>0</v>
      </c>
      <c r="H327" s="14"/>
      <c r="I327" s="15">
        <f t="shared" si="26"/>
        <v>192.542</v>
      </c>
      <c r="J327" s="14"/>
      <c r="K327" s="13"/>
    </row>
    <row r="328" spans="1:11" ht="12.6" customHeight="1" x14ac:dyDescent="0.2">
      <c r="A328" s="13"/>
      <c r="B328" s="19"/>
      <c r="C328" s="15"/>
      <c r="D328" s="14"/>
      <c r="E328" s="15">
        <f t="shared" si="25"/>
        <v>114.045</v>
      </c>
      <c r="F328" s="14"/>
      <c r="G328" s="15">
        <f t="shared" si="24"/>
        <v>0</v>
      </c>
      <c r="H328" s="14"/>
      <c r="I328" s="15">
        <f t="shared" si="26"/>
        <v>192.542</v>
      </c>
      <c r="J328" s="14"/>
      <c r="K328" s="13"/>
    </row>
    <row r="329" spans="1:11" ht="12.6" customHeight="1" x14ac:dyDescent="0.2">
      <c r="A329" s="13"/>
      <c r="B329" s="19"/>
      <c r="C329" s="15"/>
      <c r="D329" s="14"/>
      <c r="E329" s="15">
        <f t="shared" si="25"/>
        <v>114.045</v>
      </c>
      <c r="F329" s="14"/>
      <c r="G329" s="15">
        <f t="shared" si="24"/>
        <v>0</v>
      </c>
      <c r="H329" s="14"/>
      <c r="I329" s="15">
        <f t="shared" si="26"/>
        <v>192.542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0</v>
      </c>
      <c r="D330" s="36">
        <f>SUM(D304:D329)</f>
        <v>0</v>
      </c>
      <c r="E330" s="36"/>
      <c r="F330" s="37"/>
      <c r="G330" s="36">
        <f>SUM(G304:G329)</f>
        <v>0</v>
      </c>
      <c r="H330" s="36">
        <f>SUM(H304:H329)</f>
        <v>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CASTILLO, MEYNARDO P.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>
        <f>K1</f>
        <v>38892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/>
      <c r="C339" s="15"/>
      <c r="D339" s="14"/>
      <c r="E339" s="15">
        <f>E329+C339-D339</f>
        <v>114.045</v>
      </c>
      <c r="F339" s="14"/>
      <c r="G339" s="15">
        <f>C339</f>
        <v>0</v>
      </c>
      <c r="H339" s="14"/>
      <c r="I339" s="15">
        <f>I329+G339-H339</f>
        <v>192.542</v>
      </c>
      <c r="J339" s="14"/>
      <c r="K339" s="16"/>
    </row>
    <row r="340" spans="1:11" ht="12.6" customHeight="1" x14ac:dyDescent="0.2">
      <c r="A340" s="13"/>
      <c r="B340" s="19"/>
      <c r="C340" s="15"/>
      <c r="D340" s="14"/>
      <c r="E340" s="15">
        <f>E339+C340-D340</f>
        <v>114.045</v>
      </c>
      <c r="F340" s="14"/>
      <c r="G340" s="15">
        <f t="shared" ref="G340:G364" si="27">C340</f>
        <v>0</v>
      </c>
      <c r="H340" s="14"/>
      <c r="I340" s="15">
        <f>I339+G340-H340</f>
        <v>192.542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114.045</v>
      </c>
      <c r="F341" s="14"/>
      <c r="G341" s="15">
        <f t="shared" si="27"/>
        <v>0</v>
      </c>
      <c r="H341" s="14"/>
      <c r="I341" s="15">
        <f t="shared" ref="I341:I364" si="29">I340+G341-H341</f>
        <v>192.542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114.045</v>
      </c>
      <c r="F342" s="14"/>
      <c r="G342" s="15">
        <f t="shared" si="27"/>
        <v>0</v>
      </c>
      <c r="H342" s="14"/>
      <c r="I342" s="15">
        <f t="shared" si="29"/>
        <v>192.542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114.045</v>
      </c>
      <c r="F343" s="14"/>
      <c r="G343" s="15">
        <f t="shared" si="27"/>
        <v>0</v>
      </c>
      <c r="H343" s="14"/>
      <c r="I343" s="15">
        <f t="shared" si="29"/>
        <v>192.542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114.045</v>
      </c>
      <c r="F344" s="14"/>
      <c r="G344" s="15">
        <f t="shared" si="27"/>
        <v>0</v>
      </c>
      <c r="H344" s="14"/>
      <c r="I344" s="15">
        <f t="shared" si="29"/>
        <v>192.542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114.045</v>
      </c>
      <c r="F345" s="14"/>
      <c r="G345" s="15">
        <f t="shared" si="27"/>
        <v>0</v>
      </c>
      <c r="H345" s="14"/>
      <c r="I345" s="15">
        <f t="shared" si="29"/>
        <v>192.542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114.045</v>
      </c>
      <c r="F346" s="14"/>
      <c r="G346" s="15">
        <f t="shared" si="27"/>
        <v>0</v>
      </c>
      <c r="H346" s="14"/>
      <c r="I346" s="15">
        <f t="shared" si="29"/>
        <v>192.542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114.045</v>
      </c>
      <c r="F347" s="14"/>
      <c r="G347" s="15">
        <f t="shared" si="27"/>
        <v>0</v>
      </c>
      <c r="H347" s="14"/>
      <c r="I347" s="15">
        <f t="shared" si="29"/>
        <v>192.542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114.045</v>
      </c>
      <c r="F348" s="14"/>
      <c r="G348" s="15">
        <f t="shared" si="27"/>
        <v>0</v>
      </c>
      <c r="H348" s="14"/>
      <c r="I348" s="15">
        <f t="shared" si="29"/>
        <v>192.542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114.045</v>
      </c>
      <c r="F349" s="14"/>
      <c r="G349" s="15">
        <f t="shared" si="27"/>
        <v>0</v>
      </c>
      <c r="H349" s="14"/>
      <c r="I349" s="15">
        <f t="shared" si="29"/>
        <v>192.542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114.045</v>
      </c>
      <c r="F350" s="14"/>
      <c r="G350" s="15">
        <f t="shared" si="27"/>
        <v>0</v>
      </c>
      <c r="H350" s="14"/>
      <c r="I350" s="15">
        <f t="shared" si="29"/>
        <v>192.542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114.045</v>
      </c>
      <c r="F351" s="14"/>
      <c r="G351" s="15">
        <f t="shared" si="27"/>
        <v>0</v>
      </c>
      <c r="H351" s="14"/>
      <c r="I351" s="15">
        <f t="shared" si="29"/>
        <v>192.542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114.045</v>
      </c>
      <c r="F352" s="14"/>
      <c r="G352" s="15">
        <f t="shared" si="27"/>
        <v>0</v>
      </c>
      <c r="H352" s="14"/>
      <c r="I352" s="15">
        <f t="shared" si="29"/>
        <v>192.542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114.045</v>
      </c>
      <c r="F353" s="14"/>
      <c r="G353" s="15">
        <f t="shared" si="27"/>
        <v>0</v>
      </c>
      <c r="H353" s="14"/>
      <c r="I353" s="15">
        <f t="shared" si="29"/>
        <v>192.542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114.045</v>
      </c>
      <c r="F354" s="14"/>
      <c r="G354" s="15">
        <f t="shared" si="27"/>
        <v>0</v>
      </c>
      <c r="H354" s="14"/>
      <c r="I354" s="15">
        <f t="shared" si="29"/>
        <v>192.542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114.045</v>
      </c>
      <c r="F355" s="14"/>
      <c r="G355" s="15">
        <f t="shared" si="27"/>
        <v>0</v>
      </c>
      <c r="H355" s="14"/>
      <c r="I355" s="15">
        <f t="shared" si="29"/>
        <v>192.542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114.045</v>
      </c>
      <c r="F356" s="14"/>
      <c r="G356" s="15">
        <f t="shared" si="27"/>
        <v>0</v>
      </c>
      <c r="H356" s="14"/>
      <c r="I356" s="15">
        <f t="shared" si="29"/>
        <v>192.542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114.045</v>
      </c>
      <c r="F357" s="14"/>
      <c r="G357" s="15">
        <f t="shared" si="27"/>
        <v>0</v>
      </c>
      <c r="H357" s="14"/>
      <c r="I357" s="15">
        <f t="shared" si="29"/>
        <v>192.542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114.045</v>
      </c>
      <c r="F358" s="14"/>
      <c r="G358" s="15">
        <f t="shared" si="27"/>
        <v>0</v>
      </c>
      <c r="H358" s="14"/>
      <c r="I358" s="15">
        <f t="shared" si="29"/>
        <v>192.542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114.045</v>
      </c>
      <c r="F359" s="14"/>
      <c r="G359" s="15">
        <f t="shared" si="27"/>
        <v>0</v>
      </c>
      <c r="H359" s="14"/>
      <c r="I359" s="15">
        <f t="shared" si="29"/>
        <v>192.542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114.045</v>
      </c>
      <c r="F360" s="14"/>
      <c r="G360" s="15">
        <f t="shared" si="27"/>
        <v>0</v>
      </c>
      <c r="H360" s="14"/>
      <c r="I360" s="15">
        <f t="shared" si="29"/>
        <v>192.542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114.045</v>
      </c>
      <c r="F361" s="14"/>
      <c r="G361" s="15">
        <f t="shared" si="27"/>
        <v>0</v>
      </c>
      <c r="H361" s="14"/>
      <c r="I361" s="15">
        <f t="shared" si="29"/>
        <v>192.542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114.045</v>
      </c>
      <c r="F362" s="14"/>
      <c r="G362" s="15">
        <f t="shared" si="27"/>
        <v>0</v>
      </c>
      <c r="H362" s="14"/>
      <c r="I362" s="15">
        <f t="shared" si="29"/>
        <v>192.542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114.045</v>
      </c>
      <c r="F363" s="14"/>
      <c r="G363" s="15">
        <f t="shared" si="27"/>
        <v>0</v>
      </c>
      <c r="H363" s="14"/>
      <c r="I363" s="15">
        <f t="shared" si="29"/>
        <v>192.542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114.045</v>
      </c>
      <c r="F364" s="14"/>
      <c r="G364" s="15">
        <f t="shared" si="27"/>
        <v>0</v>
      </c>
      <c r="H364" s="14"/>
      <c r="I364" s="15">
        <f t="shared" si="29"/>
        <v>192.542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0</v>
      </c>
      <c r="D365" s="36">
        <f>SUM(D339:D364)</f>
        <v>0</v>
      </c>
      <c r="E365" s="36"/>
      <c r="F365" s="37"/>
      <c r="G365" s="36">
        <f>SUM(G339:G364)</f>
        <v>0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CASTILLO, MEYNARDO P.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>
        <f>K1</f>
        <v>38892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114.045</v>
      </c>
      <c r="F378" s="14"/>
      <c r="G378" s="15">
        <f>C378</f>
        <v>0</v>
      </c>
      <c r="H378" s="14"/>
      <c r="I378" s="15">
        <f>I364+G378-H378</f>
        <v>192.542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114.045</v>
      </c>
      <c r="F379" s="14"/>
      <c r="G379" s="15">
        <f t="shared" ref="G379:G403" si="30">C379</f>
        <v>0</v>
      </c>
      <c r="H379" s="14"/>
      <c r="I379" s="15">
        <f>I378+G379-H379</f>
        <v>192.542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114.045</v>
      </c>
      <c r="F380" s="14"/>
      <c r="G380" s="15">
        <f t="shared" si="30"/>
        <v>0</v>
      </c>
      <c r="H380" s="14"/>
      <c r="I380" s="15">
        <f t="shared" ref="I380:I403" si="32">I379+G380-H380</f>
        <v>192.542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114.045</v>
      </c>
      <c r="F381" s="14"/>
      <c r="G381" s="15">
        <f t="shared" si="30"/>
        <v>0</v>
      </c>
      <c r="H381" s="14"/>
      <c r="I381" s="15">
        <f t="shared" si="32"/>
        <v>192.542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114.045</v>
      </c>
      <c r="F382" s="14"/>
      <c r="G382" s="15">
        <f t="shared" si="30"/>
        <v>0</v>
      </c>
      <c r="H382" s="14"/>
      <c r="I382" s="15">
        <f t="shared" si="32"/>
        <v>192.542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114.045</v>
      </c>
      <c r="F383" s="14"/>
      <c r="G383" s="15">
        <f t="shared" si="30"/>
        <v>0</v>
      </c>
      <c r="H383" s="14"/>
      <c r="I383" s="15">
        <f t="shared" si="32"/>
        <v>192.542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114.045</v>
      </c>
      <c r="F384" s="14"/>
      <c r="G384" s="15">
        <f t="shared" si="30"/>
        <v>0</v>
      </c>
      <c r="H384" s="14"/>
      <c r="I384" s="15">
        <f t="shared" si="32"/>
        <v>192.542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114.045</v>
      </c>
      <c r="F385" s="14"/>
      <c r="G385" s="15">
        <f t="shared" si="30"/>
        <v>0</v>
      </c>
      <c r="H385" s="14"/>
      <c r="I385" s="15">
        <f t="shared" si="32"/>
        <v>192.542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114.045</v>
      </c>
      <c r="F386" s="14"/>
      <c r="G386" s="15">
        <f t="shared" si="30"/>
        <v>0</v>
      </c>
      <c r="H386" s="14"/>
      <c r="I386" s="15">
        <f t="shared" si="32"/>
        <v>192.542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114.045</v>
      </c>
      <c r="F387" s="14"/>
      <c r="G387" s="15">
        <f t="shared" si="30"/>
        <v>0</v>
      </c>
      <c r="H387" s="14"/>
      <c r="I387" s="15">
        <f t="shared" si="32"/>
        <v>192.542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114.045</v>
      </c>
      <c r="F388" s="14"/>
      <c r="G388" s="15">
        <f t="shared" si="30"/>
        <v>0</v>
      </c>
      <c r="H388" s="14"/>
      <c r="I388" s="15">
        <f t="shared" si="32"/>
        <v>192.542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114.045</v>
      </c>
      <c r="F389" s="14"/>
      <c r="G389" s="15">
        <f t="shared" si="30"/>
        <v>0</v>
      </c>
      <c r="H389" s="14"/>
      <c r="I389" s="15">
        <f t="shared" si="32"/>
        <v>192.542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114.045</v>
      </c>
      <c r="F390" s="14"/>
      <c r="G390" s="15">
        <f t="shared" si="30"/>
        <v>0</v>
      </c>
      <c r="H390" s="14"/>
      <c r="I390" s="15">
        <f t="shared" si="32"/>
        <v>192.542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114.045</v>
      </c>
      <c r="F391" s="14"/>
      <c r="G391" s="15">
        <f t="shared" si="30"/>
        <v>0</v>
      </c>
      <c r="H391" s="14"/>
      <c r="I391" s="15">
        <f t="shared" si="32"/>
        <v>192.542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114.045</v>
      </c>
      <c r="F392" s="14"/>
      <c r="G392" s="15">
        <f t="shared" si="30"/>
        <v>0</v>
      </c>
      <c r="H392" s="14"/>
      <c r="I392" s="15">
        <f t="shared" si="32"/>
        <v>192.542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114.045</v>
      </c>
      <c r="F393" s="14"/>
      <c r="G393" s="15">
        <f t="shared" si="30"/>
        <v>0</v>
      </c>
      <c r="H393" s="14"/>
      <c r="I393" s="15">
        <f t="shared" si="32"/>
        <v>192.542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114.045</v>
      </c>
      <c r="F394" s="14"/>
      <c r="G394" s="15">
        <f t="shared" si="30"/>
        <v>0</v>
      </c>
      <c r="H394" s="14"/>
      <c r="I394" s="15">
        <f t="shared" si="32"/>
        <v>192.542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114.045</v>
      </c>
      <c r="F395" s="14"/>
      <c r="G395" s="15">
        <f t="shared" si="30"/>
        <v>0</v>
      </c>
      <c r="H395" s="14"/>
      <c r="I395" s="15">
        <f t="shared" si="32"/>
        <v>192.542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114.045</v>
      </c>
      <c r="F396" s="14"/>
      <c r="G396" s="15">
        <f t="shared" si="30"/>
        <v>0</v>
      </c>
      <c r="H396" s="14"/>
      <c r="I396" s="15">
        <f t="shared" si="32"/>
        <v>192.542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114.045</v>
      </c>
      <c r="F397" s="14"/>
      <c r="G397" s="15">
        <f t="shared" si="30"/>
        <v>0</v>
      </c>
      <c r="H397" s="14"/>
      <c r="I397" s="15">
        <f t="shared" si="32"/>
        <v>192.542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114.045</v>
      </c>
      <c r="F398" s="14"/>
      <c r="G398" s="15">
        <f t="shared" si="30"/>
        <v>0</v>
      </c>
      <c r="H398" s="14"/>
      <c r="I398" s="15">
        <f t="shared" si="32"/>
        <v>192.542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114.045</v>
      </c>
      <c r="F399" s="14"/>
      <c r="G399" s="15">
        <f t="shared" si="30"/>
        <v>0</v>
      </c>
      <c r="H399" s="14"/>
      <c r="I399" s="15">
        <f t="shared" si="32"/>
        <v>192.542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114.045</v>
      </c>
      <c r="F400" s="14"/>
      <c r="G400" s="15">
        <f t="shared" si="30"/>
        <v>0</v>
      </c>
      <c r="H400" s="14"/>
      <c r="I400" s="15">
        <f t="shared" si="32"/>
        <v>192.542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114.045</v>
      </c>
      <c r="F401" s="14"/>
      <c r="G401" s="15">
        <f t="shared" si="30"/>
        <v>0</v>
      </c>
      <c r="H401" s="14"/>
      <c r="I401" s="15">
        <f t="shared" si="32"/>
        <v>192.542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114.045</v>
      </c>
      <c r="F402" s="14"/>
      <c r="G402" s="15">
        <f t="shared" si="30"/>
        <v>0</v>
      </c>
      <c r="H402" s="14"/>
      <c r="I402" s="15">
        <f t="shared" si="32"/>
        <v>192.542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114.045</v>
      </c>
      <c r="F403" s="14"/>
      <c r="G403" s="15">
        <f t="shared" si="30"/>
        <v>0</v>
      </c>
      <c r="H403" s="14"/>
      <c r="I403" s="15">
        <f t="shared" si="32"/>
        <v>192.542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CASTILLO, MEYNARDO P.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>
        <f>K1</f>
        <v>38892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114.045</v>
      </c>
      <c r="F413" s="14"/>
      <c r="G413" s="15">
        <f>C413</f>
        <v>0</v>
      </c>
      <c r="H413" s="14"/>
      <c r="I413" s="15">
        <f>I403+G413-H413</f>
        <v>192.542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114.045</v>
      </c>
      <c r="F414" s="14"/>
      <c r="G414" s="15">
        <f t="shared" ref="G414:G438" si="33">C414</f>
        <v>0</v>
      </c>
      <c r="H414" s="14"/>
      <c r="I414" s="15">
        <f>I413+G414-H414</f>
        <v>192.542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114.045</v>
      </c>
      <c r="F415" s="14"/>
      <c r="G415" s="15">
        <f t="shared" si="33"/>
        <v>0</v>
      </c>
      <c r="H415" s="14"/>
      <c r="I415" s="15">
        <f t="shared" ref="I415:I438" si="35">I414+G415-H415</f>
        <v>192.542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114.045</v>
      </c>
      <c r="F416" s="14"/>
      <c r="G416" s="15">
        <f t="shared" si="33"/>
        <v>0</v>
      </c>
      <c r="H416" s="14"/>
      <c r="I416" s="15">
        <f t="shared" si="35"/>
        <v>192.542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114.045</v>
      </c>
      <c r="F417" s="14"/>
      <c r="G417" s="15">
        <f t="shared" si="33"/>
        <v>0</v>
      </c>
      <c r="H417" s="14"/>
      <c r="I417" s="15">
        <f t="shared" si="35"/>
        <v>192.542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114.045</v>
      </c>
      <c r="F418" s="14"/>
      <c r="G418" s="15">
        <f t="shared" si="33"/>
        <v>0</v>
      </c>
      <c r="H418" s="14"/>
      <c r="I418" s="15">
        <f t="shared" si="35"/>
        <v>192.542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114.045</v>
      </c>
      <c r="F419" s="14"/>
      <c r="G419" s="15">
        <f t="shared" si="33"/>
        <v>0</v>
      </c>
      <c r="H419" s="14"/>
      <c r="I419" s="15">
        <f t="shared" si="35"/>
        <v>192.542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114.045</v>
      </c>
      <c r="F420" s="14"/>
      <c r="G420" s="15">
        <f t="shared" si="33"/>
        <v>0</v>
      </c>
      <c r="H420" s="14"/>
      <c r="I420" s="15">
        <f t="shared" si="35"/>
        <v>192.542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114.045</v>
      </c>
      <c r="F421" s="14"/>
      <c r="G421" s="15">
        <f t="shared" si="33"/>
        <v>0</v>
      </c>
      <c r="H421" s="14"/>
      <c r="I421" s="15">
        <f t="shared" si="35"/>
        <v>192.542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114.045</v>
      </c>
      <c r="F422" s="14"/>
      <c r="G422" s="15">
        <f t="shared" si="33"/>
        <v>0</v>
      </c>
      <c r="H422" s="14"/>
      <c r="I422" s="15">
        <f t="shared" si="35"/>
        <v>192.542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114.045</v>
      </c>
      <c r="F423" s="14"/>
      <c r="G423" s="15">
        <f t="shared" si="33"/>
        <v>0</v>
      </c>
      <c r="H423" s="14"/>
      <c r="I423" s="15">
        <f t="shared" si="35"/>
        <v>192.542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114.045</v>
      </c>
      <c r="F424" s="14"/>
      <c r="G424" s="15">
        <f t="shared" si="33"/>
        <v>0</v>
      </c>
      <c r="H424" s="14"/>
      <c r="I424" s="15">
        <f t="shared" si="35"/>
        <v>192.542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114.045</v>
      </c>
      <c r="F425" s="14"/>
      <c r="G425" s="15">
        <f t="shared" si="33"/>
        <v>0</v>
      </c>
      <c r="H425" s="14"/>
      <c r="I425" s="15">
        <f t="shared" si="35"/>
        <v>192.542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114.045</v>
      </c>
      <c r="F426" s="14"/>
      <c r="G426" s="15">
        <f t="shared" si="33"/>
        <v>0</v>
      </c>
      <c r="H426" s="14"/>
      <c r="I426" s="15">
        <f t="shared" si="35"/>
        <v>192.542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114.045</v>
      </c>
      <c r="F427" s="14"/>
      <c r="G427" s="15">
        <f t="shared" si="33"/>
        <v>0</v>
      </c>
      <c r="H427" s="14"/>
      <c r="I427" s="15">
        <f t="shared" si="35"/>
        <v>192.542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114.045</v>
      </c>
      <c r="F428" s="14"/>
      <c r="G428" s="15">
        <f t="shared" si="33"/>
        <v>0</v>
      </c>
      <c r="H428" s="14"/>
      <c r="I428" s="15">
        <f t="shared" si="35"/>
        <v>192.542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114.045</v>
      </c>
      <c r="F429" s="14"/>
      <c r="G429" s="15">
        <f t="shared" si="33"/>
        <v>0</v>
      </c>
      <c r="H429" s="14"/>
      <c r="I429" s="15">
        <f t="shared" si="35"/>
        <v>192.542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114.045</v>
      </c>
      <c r="F430" s="14"/>
      <c r="G430" s="15">
        <f t="shared" si="33"/>
        <v>0</v>
      </c>
      <c r="H430" s="14"/>
      <c r="I430" s="15">
        <f t="shared" si="35"/>
        <v>192.542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114.045</v>
      </c>
      <c r="F431" s="14"/>
      <c r="G431" s="15">
        <f t="shared" si="33"/>
        <v>0</v>
      </c>
      <c r="H431" s="14"/>
      <c r="I431" s="15">
        <f t="shared" si="35"/>
        <v>192.542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114.045</v>
      </c>
      <c r="F432" s="14"/>
      <c r="G432" s="15">
        <f t="shared" si="33"/>
        <v>0</v>
      </c>
      <c r="H432" s="14"/>
      <c r="I432" s="15">
        <f t="shared" si="35"/>
        <v>192.542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114.045</v>
      </c>
      <c r="F433" s="14"/>
      <c r="G433" s="15">
        <f t="shared" si="33"/>
        <v>0</v>
      </c>
      <c r="H433" s="14"/>
      <c r="I433" s="15">
        <f t="shared" si="35"/>
        <v>192.542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114.045</v>
      </c>
      <c r="F434" s="14"/>
      <c r="G434" s="15">
        <f t="shared" si="33"/>
        <v>0</v>
      </c>
      <c r="H434" s="14"/>
      <c r="I434" s="15">
        <f t="shared" si="35"/>
        <v>192.542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114.045</v>
      </c>
      <c r="F435" s="14"/>
      <c r="G435" s="15">
        <f t="shared" si="33"/>
        <v>0</v>
      </c>
      <c r="H435" s="14"/>
      <c r="I435" s="15">
        <f t="shared" si="35"/>
        <v>192.542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114.045</v>
      </c>
      <c r="F436" s="14"/>
      <c r="G436" s="15">
        <f t="shared" si="33"/>
        <v>0</v>
      </c>
      <c r="H436" s="14"/>
      <c r="I436" s="15">
        <f t="shared" si="35"/>
        <v>192.542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114.045</v>
      </c>
      <c r="F437" s="14"/>
      <c r="G437" s="15">
        <f t="shared" si="33"/>
        <v>0</v>
      </c>
      <c r="H437" s="14"/>
      <c r="I437" s="15">
        <f t="shared" si="35"/>
        <v>192.542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114.045</v>
      </c>
      <c r="F438" s="14"/>
      <c r="G438" s="15">
        <f t="shared" si="33"/>
        <v>0</v>
      </c>
      <c r="H438" s="14"/>
      <c r="I438" s="15">
        <f t="shared" si="35"/>
        <v>192.542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CASTILLO, MEYNARDO P.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>
        <f>K1</f>
        <v>38892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114.045</v>
      </c>
      <c r="F452" s="14"/>
      <c r="G452" s="15">
        <f>C452</f>
        <v>0</v>
      </c>
      <c r="H452" s="14"/>
      <c r="I452" s="15">
        <f>I438+G452-H452</f>
        <v>192.542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114.045</v>
      </c>
      <c r="F453" s="14"/>
      <c r="G453" s="15">
        <f t="shared" ref="G453:G477" si="36">C453</f>
        <v>0</v>
      </c>
      <c r="H453" s="14"/>
      <c r="I453" s="15">
        <f>I452+G453-H453</f>
        <v>192.542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114.045</v>
      </c>
      <c r="F454" s="14"/>
      <c r="G454" s="15">
        <f t="shared" si="36"/>
        <v>0</v>
      </c>
      <c r="H454" s="14"/>
      <c r="I454" s="15">
        <f t="shared" ref="I454:I477" si="38">I453+G454-H454</f>
        <v>192.542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114.045</v>
      </c>
      <c r="F455" s="14"/>
      <c r="G455" s="15">
        <f t="shared" si="36"/>
        <v>0</v>
      </c>
      <c r="H455" s="14"/>
      <c r="I455" s="15">
        <f t="shared" si="38"/>
        <v>192.542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114.045</v>
      </c>
      <c r="F456" s="14"/>
      <c r="G456" s="15">
        <f t="shared" si="36"/>
        <v>0</v>
      </c>
      <c r="H456" s="14"/>
      <c r="I456" s="15">
        <f t="shared" si="38"/>
        <v>192.542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114.045</v>
      </c>
      <c r="F457" s="14"/>
      <c r="G457" s="15">
        <f t="shared" si="36"/>
        <v>0</v>
      </c>
      <c r="H457" s="14"/>
      <c r="I457" s="15">
        <f t="shared" si="38"/>
        <v>192.542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114.045</v>
      </c>
      <c r="F458" s="14"/>
      <c r="G458" s="15">
        <f t="shared" si="36"/>
        <v>0</v>
      </c>
      <c r="H458" s="14"/>
      <c r="I458" s="15">
        <f t="shared" si="38"/>
        <v>192.542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114.045</v>
      </c>
      <c r="F459" s="14"/>
      <c r="G459" s="15">
        <f t="shared" si="36"/>
        <v>0</v>
      </c>
      <c r="H459" s="14"/>
      <c r="I459" s="15">
        <f t="shared" si="38"/>
        <v>192.542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114.045</v>
      </c>
      <c r="F460" s="14"/>
      <c r="G460" s="15">
        <f t="shared" si="36"/>
        <v>0</v>
      </c>
      <c r="H460" s="14"/>
      <c r="I460" s="15">
        <f t="shared" si="38"/>
        <v>192.542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114.045</v>
      </c>
      <c r="F461" s="14"/>
      <c r="G461" s="15">
        <f t="shared" si="36"/>
        <v>0</v>
      </c>
      <c r="H461" s="14"/>
      <c r="I461" s="15">
        <f t="shared" si="38"/>
        <v>192.542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114.045</v>
      </c>
      <c r="F462" s="14"/>
      <c r="G462" s="15">
        <f t="shared" si="36"/>
        <v>0</v>
      </c>
      <c r="H462" s="14"/>
      <c r="I462" s="15">
        <f t="shared" si="38"/>
        <v>192.542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114.045</v>
      </c>
      <c r="F463" s="14"/>
      <c r="G463" s="15">
        <f t="shared" si="36"/>
        <v>0</v>
      </c>
      <c r="H463" s="14"/>
      <c r="I463" s="15">
        <f t="shared" si="38"/>
        <v>192.542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114.045</v>
      </c>
      <c r="F464" s="14"/>
      <c r="G464" s="15">
        <f t="shared" si="36"/>
        <v>0</v>
      </c>
      <c r="H464" s="14"/>
      <c r="I464" s="15">
        <f t="shared" si="38"/>
        <v>192.542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114.045</v>
      </c>
      <c r="F465" s="14"/>
      <c r="G465" s="15">
        <f t="shared" si="36"/>
        <v>0</v>
      </c>
      <c r="H465" s="14"/>
      <c r="I465" s="15">
        <f t="shared" si="38"/>
        <v>192.542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114.045</v>
      </c>
      <c r="F466" s="14"/>
      <c r="G466" s="15">
        <f t="shared" si="36"/>
        <v>0</v>
      </c>
      <c r="H466" s="14"/>
      <c r="I466" s="15">
        <f t="shared" si="38"/>
        <v>192.542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114.045</v>
      </c>
      <c r="F467" s="14"/>
      <c r="G467" s="15">
        <f t="shared" si="36"/>
        <v>0</v>
      </c>
      <c r="H467" s="14"/>
      <c r="I467" s="15">
        <f t="shared" si="38"/>
        <v>192.542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114.045</v>
      </c>
      <c r="F468" s="14"/>
      <c r="G468" s="15">
        <f t="shared" si="36"/>
        <v>0</v>
      </c>
      <c r="H468" s="14"/>
      <c r="I468" s="15">
        <f t="shared" si="38"/>
        <v>192.542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114.045</v>
      </c>
      <c r="F469" s="14"/>
      <c r="G469" s="15">
        <f t="shared" si="36"/>
        <v>0</v>
      </c>
      <c r="H469" s="14"/>
      <c r="I469" s="15">
        <f t="shared" si="38"/>
        <v>192.542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114.045</v>
      </c>
      <c r="F470" s="14"/>
      <c r="G470" s="15">
        <f t="shared" si="36"/>
        <v>0</v>
      </c>
      <c r="H470" s="14"/>
      <c r="I470" s="15">
        <f t="shared" si="38"/>
        <v>192.542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114.045</v>
      </c>
      <c r="F471" s="14"/>
      <c r="G471" s="15">
        <f t="shared" si="36"/>
        <v>0</v>
      </c>
      <c r="H471" s="14"/>
      <c r="I471" s="15">
        <f t="shared" si="38"/>
        <v>192.542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114.045</v>
      </c>
      <c r="F472" s="14"/>
      <c r="G472" s="15">
        <f t="shared" si="36"/>
        <v>0</v>
      </c>
      <c r="H472" s="14"/>
      <c r="I472" s="15">
        <f t="shared" si="38"/>
        <v>192.542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114.045</v>
      </c>
      <c r="F473" s="14"/>
      <c r="G473" s="15">
        <f t="shared" si="36"/>
        <v>0</v>
      </c>
      <c r="H473" s="14"/>
      <c r="I473" s="15">
        <f t="shared" si="38"/>
        <v>192.542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114.045</v>
      </c>
      <c r="F474" s="14"/>
      <c r="G474" s="15">
        <f t="shared" si="36"/>
        <v>0</v>
      </c>
      <c r="H474" s="14"/>
      <c r="I474" s="15">
        <f t="shared" si="38"/>
        <v>192.542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114.045</v>
      </c>
      <c r="F475" s="14"/>
      <c r="G475" s="15">
        <f t="shared" si="36"/>
        <v>0</v>
      </c>
      <c r="H475" s="14"/>
      <c r="I475" s="15">
        <f t="shared" si="38"/>
        <v>192.542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114.045</v>
      </c>
      <c r="F476" s="14"/>
      <c r="G476" s="15">
        <f t="shared" si="36"/>
        <v>0</v>
      </c>
      <c r="H476" s="14"/>
      <c r="I476" s="15">
        <f t="shared" si="38"/>
        <v>192.542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114.045</v>
      </c>
      <c r="F477" s="14"/>
      <c r="G477" s="15">
        <f t="shared" si="36"/>
        <v>0</v>
      </c>
      <c r="H477" s="14"/>
      <c r="I477" s="15">
        <f t="shared" si="38"/>
        <v>192.542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CASTILLO, MEYNARDO P.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>
        <f>K1</f>
        <v>38892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114.045</v>
      </c>
      <c r="F487" s="14"/>
      <c r="G487" s="15"/>
      <c r="H487" s="14"/>
      <c r="I487" s="15">
        <f>I477+G487-H487</f>
        <v>192.542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114.045</v>
      </c>
      <c r="F488" s="14"/>
      <c r="G488" s="15"/>
      <c r="H488" s="14"/>
      <c r="I488" s="15">
        <f>I487+G488-H488</f>
        <v>192.542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114.045</v>
      </c>
      <c r="F489" s="14"/>
      <c r="G489" s="15"/>
      <c r="H489" s="14"/>
      <c r="I489" s="15">
        <f t="shared" ref="I489:I512" si="40">I488+G489-H489</f>
        <v>192.542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114.045</v>
      </c>
      <c r="F490" s="14"/>
      <c r="G490" s="15"/>
      <c r="H490" s="14"/>
      <c r="I490" s="15">
        <f t="shared" si="40"/>
        <v>192.542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114.045</v>
      </c>
      <c r="F491" s="14"/>
      <c r="G491" s="15"/>
      <c r="H491" s="14"/>
      <c r="I491" s="15">
        <f t="shared" si="40"/>
        <v>192.542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114.045</v>
      </c>
      <c r="F492" s="14"/>
      <c r="G492" s="15"/>
      <c r="H492" s="14"/>
      <c r="I492" s="15">
        <f t="shared" si="40"/>
        <v>192.542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114.045</v>
      </c>
      <c r="F493" s="14"/>
      <c r="G493" s="15"/>
      <c r="H493" s="14"/>
      <c r="I493" s="15">
        <f t="shared" si="40"/>
        <v>192.542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114.045</v>
      </c>
      <c r="F494" s="14"/>
      <c r="G494" s="15"/>
      <c r="H494" s="14"/>
      <c r="I494" s="15">
        <f t="shared" si="40"/>
        <v>192.542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114.045</v>
      </c>
      <c r="F495" s="14"/>
      <c r="G495" s="15"/>
      <c r="H495" s="14"/>
      <c r="I495" s="15">
        <f t="shared" si="40"/>
        <v>192.542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114.045</v>
      </c>
      <c r="F496" s="14"/>
      <c r="G496" s="15"/>
      <c r="H496" s="14"/>
      <c r="I496" s="15">
        <f t="shared" si="40"/>
        <v>192.542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114.045</v>
      </c>
      <c r="F497" s="14"/>
      <c r="G497" s="15"/>
      <c r="H497" s="14"/>
      <c r="I497" s="15">
        <f t="shared" si="40"/>
        <v>192.542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114.045</v>
      </c>
      <c r="F498" s="14"/>
      <c r="G498" s="15"/>
      <c r="H498" s="14"/>
      <c r="I498" s="15">
        <f t="shared" si="40"/>
        <v>192.542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114.045</v>
      </c>
      <c r="F499" s="14"/>
      <c r="G499" s="15"/>
      <c r="H499" s="14"/>
      <c r="I499" s="15">
        <f t="shared" si="40"/>
        <v>192.542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114.045</v>
      </c>
      <c r="F500" s="14"/>
      <c r="G500" s="15"/>
      <c r="H500" s="14"/>
      <c r="I500" s="15">
        <f t="shared" si="40"/>
        <v>192.542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114.045</v>
      </c>
      <c r="F501" s="14"/>
      <c r="G501" s="15"/>
      <c r="H501" s="14"/>
      <c r="I501" s="15">
        <f t="shared" si="40"/>
        <v>192.542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114.045</v>
      </c>
      <c r="F502" s="14"/>
      <c r="G502" s="15"/>
      <c r="H502" s="14"/>
      <c r="I502" s="15">
        <f t="shared" si="40"/>
        <v>192.542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114.045</v>
      </c>
      <c r="F503" s="14"/>
      <c r="G503" s="15"/>
      <c r="H503" s="14"/>
      <c r="I503" s="15">
        <f t="shared" si="40"/>
        <v>192.542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114.045</v>
      </c>
      <c r="F504" s="14"/>
      <c r="G504" s="15"/>
      <c r="H504" s="14"/>
      <c r="I504" s="15">
        <f t="shared" si="40"/>
        <v>192.542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114.045</v>
      </c>
      <c r="F505" s="14"/>
      <c r="G505" s="15"/>
      <c r="H505" s="14"/>
      <c r="I505" s="15">
        <f t="shared" si="40"/>
        <v>192.542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114.045</v>
      </c>
      <c r="F506" s="14"/>
      <c r="G506" s="15"/>
      <c r="H506" s="14"/>
      <c r="I506" s="15">
        <f t="shared" si="40"/>
        <v>192.542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114.045</v>
      </c>
      <c r="F507" s="14"/>
      <c r="G507" s="15"/>
      <c r="H507" s="14"/>
      <c r="I507" s="15">
        <f t="shared" si="40"/>
        <v>192.542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114.045</v>
      </c>
      <c r="F508" s="14"/>
      <c r="G508" s="15"/>
      <c r="H508" s="14"/>
      <c r="I508" s="15">
        <f t="shared" si="40"/>
        <v>192.542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114.045</v>
      </c>
      <c r="F509" s="14"/>
      <c r="G509" s="15"/>
      <c r="H509" s="14"/>
      <c r="I509" s="15">
        <f t="shared" si="40"/>
        <v>192.542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114.045</v>
      </c>
      <c r="F510" s="14"/>
      <c r="G510" s="15"/>
      <c r="H510" s="14"/>
      <c r="I510" s="15">
        <f t="shared" si="40"/>
        <v>192.542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114.045</v>
      </c>
      <c r="F511" s="14"/>
      <c r="G511" s="15"/>
      <c r="H511" s="14"/>
      <c r="I511" s="15">
        <f t="shared" si="40"/>
        <v>192.542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114.045</v>
      </c>
      <c r="F512" s="14"/>
      <c r="G512" s="15"/>
      <c r="H512" s="14"/>
      <c r="I512" s="15">
        <f t="shared" si="40"/>
        <v>192.542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CASTILLO, MEYNARDO P.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>
        <f>K1</f>
        <v>38892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114.045</v>
      </c>
      <c r="F526" s="14"/>
      <c r="G526" s="15"/>
      <c r="H526" s="14"/>
      <c r="I526" s="15">
        <f>I512+G526-H526</f>
        <v>192.542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114.045</v>
      </c>
      <c r="F527" s="14"/>
      <c r="G527" s="15"/>
      <c r="H527" s="14"/>
      <c r="I527" s="15">
        <f>I526+G527-H527</f>
        <v>192.542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114.045</v>
      </c>
      <c r="F528" s="14"/>
      <c r="G528" s="15"/>
      <c r="H528" s="14"/>
      <c r="I528" s="15">
        <f t="shared" ref="I528:I551" si="42">I527+G528-H528</f>
        <v>192.542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114.045</v>
      </c>
      <c r="F529" s="14"/>
      <c r="G529" s="15"/>
      <c r="H529" s="14"/>
      <c r="I529" s="15">
        <f t="shared" si="42"/>
        <v>192.542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114.045</v>
      </c>
      <c r="F530" s="14"/>
      <c r="G530" s="15"/>
      <c r="H530" s="14"/>
      <c r="I530" s="15">
        <f t="shared" si="42"/>
        <v>192.542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114.045</v>
      </c>
      <c r="F531" s="14"/>
      <c r="G531" s="15"/>
      <c r="H531" s="14"/>
      <c r="I531" s="15">
        <f t="shared" si="42"/>
        <v>192.542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114.045</v>
      </c>
      <c r="F532" s="14"/>
      <c r="G532" s="15"/>
      <c r="H532" s="14"/>
      <c r="I532" s="15">
        <f t="shared" si="42"/>
        <v>192.542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114.045</v>
      </c>
      <c r="F533" s="14"/>
      <c r="G533" s="15"/>
      <c r="H533" s="14"/>
      <c r="I533" s="15">
        <f t="shared" si="42"/>
        <v>192.542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114.045</v>
      </c>
      <c r="F534" s="14"/>
      <c r="G534" s="15"/>
      <c r="H534" s="14"/>
      <c r="I534" s="15">
        <f t="shared" si="42"/>
        <v>192.542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114.045</v>
      </c>
      <c r="F535" s="14"/>
      <c r="G535" s="15"/>
      <c r="H535" s="14"/>
      <c r="I535" s="15">
        <f t="shared" si="42"/>
        <v>192.542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114.045</v>
      </c>
      <c r="F536" s="14"/>
      <c r="G536" s="15"/>
      <c r="H536" s="14"/>
      <c r="I536" s="15">
        <f t="shared" si="42"/>
        <v>192.542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114.045</v>
      </c>
      <c r="F537" s="14"/>
      <c r="G537" s="15"/>
      <c r="H537" s="14"/>
      <c r="I537" s="15">
        <f t="shared" si="42"/>
        <v>192.542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114.045</v>
      </c>
      <c r="F538" s="14"/>
      <c r="G538" s="15"/>
      <c r="H538" s="14"/>
      <c r="I538" s="15">
        <f t="shared" si="42"/>
        <v>192.542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114.045</v>
      </c>
      <c r="F539" s="14"/>
      <c r="G539" s="15"/>
      <c r="H539" s="14"/>
      <c r="I539" s="15">
        <f t="shared" si="42"/>
        <v>192.542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114.045</v>
      </c>
      <c r="F540" s="14"/>
      <c r="G540" s="15"/>
      <c r="H540" s="14"/>
      <c r="I540" s="15">
        <f t="shared" si="42"/>
        <v>192.542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114.045</v>
      </c>
      <c r="F541" s="14"/>
      <c r="G541" s="15"/>
      <c r="H541" s="14"/>
      <c r="I541" s="15">
        <f t="shared" si="42"/>
        <v>192.542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114.045</v>
      </c>
      <c r="F542" s="14"/>
      <c r="G542" s="15"/>
      <c r="H542" s="14"/>
      <c r="I542" s="15">
        <f t="shared" si="42"/>
        <v>192.542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114.045</v>
      </c>
      <c r="F543" s="14"/>
      <c r="G543" s="15"/>
      <c r="H543" s="14"/>
      <c r="I543" s="15">
        <f t="shared" si="42"/>
        <v>192.542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114.045</v>
      </c>
      <c r="F544" s="14"/>
      <c r="G544" s="15"/>
      <c r="H544" s="14"/>
      <c r="I544" s="15">
        <f t="shared" si="42"/>
        <v>192.542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114.045</v>
      </c>
      <c r="F545" s="14"/>
      <c r="G545" s="15"/>
      <c r="H545" s="14"/>
      <c r="I545" s="15">
        <f t="shared" si="42"/>
        <v>192.542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114.045</v>
      </c>
      <c r="F546" s="14"/>
      <c r="G546" s="15"/>
      <c r="H546" s="14"/>
      <c r="I546" s="15">
        <f t="shared" si="42"/>
        <v>192.542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114.045</v>
      </c>
      <c r="F547" s="14"/>
      <c r="G547" s="15"/>
      <c r="H547" s="14"/>
      <c r="I547" s="15">
        <f t="shared" si="42"/>
        <v>192.542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114.045</v>
      </c>
      <c r="F548" s="14"/>
      <c r="G548" s="15"/>
      <c r="H548" s="14"/>
      <c r="I548" s="15">
        <f t="shared" si="42"/>
        <v>192.542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114.045</v>
      </c>
      <c r="F549" s="14"/>
      <c r="G549" s="15"/>
      <c r="H549" s="14"/>
      <c r="I549" s="15">
        <f t="shared" si="42"/>
        <v>192.542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114.045</v>
      </c>
      <c r="F550" s="14"/>
      <c r="G550" s="15"/>
      <c r="H550" s="14"/>
      <c r="I550" s="15">
        <f t="shared" si="42"/>
        <v>192.542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114.045</v>
      </c>
      <c r="F551" s="14"/>
      <c r="G551" s="15"/>
      <c r="H551" s="14"/>
      <c r="I551" s="15">
        <f t="shared" si="42"/>
        <v>192.542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256.54200000000003</v>
      </c>
      <c r="D556" s="46">
        <f>SUM(D552+D513+D478+D439+D404+D365+D330+D291+D256+D217+D182+D143+D108+D69+D34)</f>
        <v>142.49700000000001</v>
      </c>
      <c r="E556" s="46"/>
      <c r="G556" s="26">
        <f>SUM(G552+G513+G478+G439+G404+G365+G330+G291+G256+G217+G182+G143+G108+G69+G34)</f>
        <v>256.54200000000003</v>
      </c>
      <c r="H556" s="46">
        <f>SUM(H552+H513+H478+H439+H404+H365+H330+H291+H256+H217+H182+H143+H108+H69+H34)</f>
        <v>64</v>
      </c>
      <c r="I556" s="46"/>
      <c r="K556" s="28">
        <v>319.875</v>
      </c>
    </row>
    <row r="557" spans="1:11" ht="12.6" customHeight="1" x14ac:dyDescent="0.2">
      <c r="K557" s="47">
        <f>G556-K556</f>
        <v>-63.33299999999997</v>
      </c>
    </row>
    <row r="566" spans="2:11" ht="12.6" customHeight="1" x14ac:dyDescent="0.2">
      <c r="B566" s="3" t="s">
        <v>33</v>
      </c>
      <c r="E566" s="46"/>
      <c r="F566" s="48">
        <f>C556</f>
        <v>256.54200000000003</v>
      </c>
      <c r="H566" s="48">
        <f>F566</f>
        <v>256.54200000000003</v>
      </c>
    </row>
    <row r="567" spans="2:11" ht="12.6" customHeight="1" x14ac:dyDescent="0.2">
      <c r="B567" s="3" t="s">
        <v>34</v>
      </c>
      <c r="E567" s="46"/>
      <c r="F567" s="48">
        <f>D556</f>
        <v>142.49700000000001</v>
      </c>
      <c r="H567" s="48">
        <f>H556</f>
        <v>64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114.04500000000002</v>
      </c>
      <c r="G570" s="50"/>
      <c r="H570" s="53">
        <f>SUM(H566-H567)</f>
        <v>192.54200000000003</v>
      </c>
      <c r="I570" s="54">
        <f>SUM(H570+F570)</f>
        <v>306.58700000000005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306.58700000000005</v>
      </c>
      <c r="D573" s="97"/>
      <c r="E573" s="100">
        <v>4.8192699999999998E-2</v>
      </c>
      <c r="F573" s="100"/>
      <c r="H573" s="101">
        <f>B573*C573*E573</f>
        <v>235975.60263426794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4"/>
  <sheetViews>
    <sheetView topLeftCell="A13" zoomScale="99" zoomScaleNormal="150" workbookViewId="0">
      <selection activeCell="B51" sqref="B51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1202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1203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31809</v>
      </c>
      <c r="B7" s="14" t="s">
        <v>1204</v>
      </c>
      <c r="C7" s="15">
        <v>0.5</v>
      </c>
      <c r="D7" s="14"/>
      <c r="E7" s="15">
        <f>C7+D7</f>
        <v>0.5</v>
      </c>
      <c r="F7" s="14"/>
      <c r="G7" s="15">
        <f>C7</f>
        <v>0.5</v>
      </c>
      <c r="H7" s="14"/>
      <c r="I7" s="15">
        <f>G7+H7</f>
        <v>0.5</v>
      </c>
      <c r="J7" s="14"/>
      <c r="K7" s="16"/>
    </row>
    <row r="8" spans="1:11" ht="12.6" customHeight="1" x14ac:dyDescent="0.2">
      <c r="A8" s="13">
        <v>32021</v>
      </c>
      <c r="B8" s="17"/>
      <c r="C8" s="15">
        <v>8.75</v>
      </c>
      <c r="D8" s="18"/>
      <c r="E8" s="15">
        <f>E7+C8-D8</f>
        <v>9.25</v>
      </c>
      <c r="F8" s="14"/>
      <c r="G8" s="15">
        <f t="shared" ref="G8:G33" si="0">C8</f>
        <v>8.75</v>
      </c>
      <c r="H8" s="14"/>
      <c r="I8" s="15">
        <f>I7+G8-H8</f>
        <v>9.25</v>
      </c>
      <c r="J8" s="14"/>
      <c r="K8" s="16"/>
    </row>
    <row r="9" spans="1:11" ht="12.6" customHeight="1" x14ac:dyDescent="0.2">
      <c r="A9" s="13"/>
      <c r="B9" s="17" t="s">
        <v>60</v>
      </c>
      <c r="C9" s="15"/>
      <c r="D9" s="14">
        <v>5</v>
      </c>
      <c r="E9" s="15">
        <f t="shared" ref="E9:E33" si="1">E8+C9-D9</f>
        <v>4.25</v>
      </c>
      <c r="F9" s="14"/>
      <c r="G9" s="15">
        <f t="shared" si="0"/>
        <v>0</v>
      </c>
      <c r="H9" s="14"/>
      <c r="I9" s="15">
        <f t="shared" ref="I9:I34" si="2">I8+G9-H9</f>
        <v>9.25</v>
      </c>
      <c r="J9" s="14"/>
      <c r="K9" s="16" t="s">
        <v>1205</v>
      </c>
    </row>
    <row r="10" spans="1:11" ht="12.6" customHeight="1" x14ac:dyDescent="0.2">
      <c r="A10" s="13">
        <v>32264</v>
      </c>
      <c r="B10" s="19"/>
      <c r="C10" s="15">
        <v>10</v>
      </c>
      <c r="D10" s="14"/>
      <c r="E10" s="15">
        <f t="shared" si="1"/>
        <v>14.25</v>
      </c>
      <c r="F10" s="14"/>
      <c r="G10" s="15">
        <f t="shared" si="0"/>
        <v>10</v>
      </c>
      <c r="H10" s="14"/>
      <c r="I10" s="15">
        <f t="shared" si="2"/>
        <v>19.25</v>
      </c>
      <c r="J10" s="14"/>
      <c r="K10" s="13"/>
    </row>
    <row r="11" spans="1:11" ht="12.6" customHeight="1" x14ac:dyDescent="0.2">
      <c r="A11" s="13"/>
      <c r="B11" s="17" t="s">
        <v>95</v>
      </c>
      <c r="C11" s="15"/>
      <c r="D11" s="14">
        <v>3</v>
      </c>
      <c r="E11" s="15">
        <f t="shared" si="1"/>
        <v>11.25</v>
      </c>
      <c r="F11" s="14"/>
      <c r="G11" s="15">
        <f t="shared" si="0"/>
        <v>0</v>
      </c>
      <c r="H11" s="14"/>
      <c r="I11" s="15">
        <f t="shared" si="2"/>
        <v>19.25</v>
      </c>
      <c r="J11" s="14"/>
      <c r="K11" s="20" t="s">
        <v>1206</v>
      </c>
    </row>
    <row r="12" spans="1:11" ht="12.6" customHeight="1" x14ac:dyDescent="0.2">
      <c r="A12" s="13">
        <v>32295</v>
      </c>
      <c r="B12" s="19"/>
      <c r="C12" s="15">
        <v>1.25</v>
      </c>
      <c r="D12" s="14"/>
      <c r="E12" s="15">
        <f t="shared" si="1"/>
        <v>12.5</v>
      </c>
      <c r="F12" s="14"/>
      <c r="G12" s="15">
        <f t="shared" si="0"/>
        <v>1.25</v>
      </c>
      <c r="H12" s="14"/>
      <c r="I12" s="15">
        <f t="shared" si="2"/>
        <v>20.5</v>
      </c>
      <c r="J12" s="14"/>
      <c r="K12" s="13"/>
    </row>
    <row r="13" spans="1:11" ht="12.6" customHeight="1" x14ac:dyDescent="0.2">
      <c r="A13" s="13"/>
      <c r="B13" s="17" t="s">
        <v>95</v>
      </c>
      <c r="C13" s="15"/>
      <c r="D13" s="14">
        <v>3</v>
      </c>
      <c r="E13" s="15">
        <f t="shared" si="1"/>
        <v>9.5</v>
      </c>
      <c r="F13" s="14"/>
      <c r="G13" s="15">
        <f t="shared" si="0"/>
        <v>0</v>
      </c>
      <c r="H13" s="14"/>
      <c r="I13" s="15">
        <f t="shared" si="2"/>
        <v>20.5</v>
      </c>
      <c r="J13" s="14"/>
      <c r="K13" s="13" t="s">
        <v>1207</v>
      </c>
    </row>
    <row r="14" spans="1:11" ht="12.6" customHeight="1" x14ac:dyDescent="0.2">
      <c r="A14" s="13">
        <v>32417</v>
      </c>
      <c r="B14" s="17"/>
      <c r="C14" s="15">
        <v>5</v>
      </c>
      <c r="D14" s="14"/>
      <c r="E14" s="15">
        <f t="shared" si="1"/>
        <v>14.5</v>
      </c>
      <c r="F14" s="14"/>
      <c r="G14" s="15">
        <f t="shared" si="0"/>
        <v>5</v>
      </c>
      <c r="H14" s="14"/>
      <c r="I14" s="15">
        <f t="shared" si="2"/>
        <v>25.5</v>
      </c>
      <c r="J14" s="14"/>
      <c r="K14" s="13"/>
    </row>
    <row r="15" spans="1:11" ht="12.6" customHeight="1" x14ac:dyDescent="0.2">
      <c r="A15" s="13"/>
      <c r="B15" s="17" t="s">
        <v>67</v>
      </c>
      <c r="C15" s="15"/>
      <c r="D15" s="14"/>
      <c r="E15" s="15">
        <f t="shared" si="1"/>
        <v>14.5</v>
      </c>
      <c r="F15" s="14"/>
      <c r="G15" s="15">
        <f t="shared" si="0"/>
        <v>0</v>
      </c>
      <c r="H15" s="14">
        <v>3</v>
      </c>
      <c r="I15" s="15">
        <f t="shared" si="2"/>
        <v>22.5</v>
      </c>
      <c r="J15" s="14"/>
      <c r="K15" s="13" t="s">
        <v>1208</v>
      </c>
    </row>
    <row r="16" spans="1:11" ht="12.6" customHeight="1" x14ac:dyDescent="0.2">
      <c r="A16" s="13">
        <v>32509</v>
      </c>
      <c r="B16" s="19"/>
      <c r="C16" s="15">
        <v>3.75</v>
      </c>
      <c r="D16" s="14"/>
      <c r="E16" s="15">
        <f t="shared" si="1"/>
        <v>18.25</v>
      </c>
      <c r="F16" s="14"/>
      <c r="G16" s="15">
        <f t="shared" si="0"/>
        <v>3.75</v>
      </c>
      <c r="H16" s="14"/>
      <c r="I16" s="15">
        <f t="shared" si="2"/>
        <v>26.25</v>
      </c>
      <c r="J16" s="14"/>
      <c r="K16" s="13"/>
    </row>
    <row r="17" spans="1:11" ht="12.6" customHeight="1" x14ac:dyDescent="0.2">
      <c r="A17" s="13"/>
      <c r="B17" s="17" t="s">
        <v>56</v>
      </c>
      <c r="C17" s="15"/>
      <c r="D17" s="14">
        <v>4</v>
      </c>
      <c r="E17" s="15">
        <f t="shared" si="1"/>
        <v>14.25</v>
      </c>
      <c r="F17" s="14"/>
      <c r="G17" s="15">
        <f t="shared" si="0"/>
        <v>0</v>
      </c>
      <c r="H17" s="14"/>
      <c r="I17" s="15">
        <f t="shared" si="2"/>
        <v>26.25</v>
      </c>
      <c r="J17" s="14"/>
      <c r="K17" s="13" t="s">
        <v>1209</v>
      </c>
    </row>
    <row r="18" spans="1:11" ht="12.6" customHeight="1" x14ac:dyDescent="0.2">
      <c r="A18" s="13">
        <v>32599</v>
      </c>
      <c r="B18" s="17"/>
      <c r="C18" s="15">
        <v>3.75</v>
      </c>
      <c r="D18" s="14"/>
      <c r="E18" s="15">
        <f t="shared" si="1"/>
        <v>18</v>
      </c>
      <c r="F18" s="14"/>
      <c r="G18" s="15">
        <f t="shared" si="0"/>
        <v>3.75</v>
      </c>
      <c r="H18" s="14"/>
      <c r="I18" s="15">
        <f t="shared" si="2"/>
        <v>30</v>
      </c>
      <c r="J18" s="14"/>
      <c r="K18" s="13"/>
    </row>
    <row r="19" spans="1:11" ht="12.6" customHeight="1" x14ac:dyDescent="0.2">
      <c r="A19" s="13"/>
      <c r="B19" s="17" t="s">
        <v>95</v>
      </c>
      <c r="C19" s="15"/>
      <c r="D19" s="14">
        <v>3</v>
      </c>
      <c r="E19" s="15">
        <f t="shared" si="1"/>
        <v>15</v>
      </c>
      <c r="F19" s="14"/>
      <c r="G19" s="15">
        <f t="shared" si="0"/>
        <v>0</v>
      </c>
      <c r="H19" s="14"/>
      <c r="I19" s="15">
        <f t="shared" si="2"/>
        <v>30</v>
      </c>
      <c r="J19" s="14"/>
      <c r="K19" s="13" t="s">
        <v>1210</v>
      </c>
    </row>
    <row r="20" spans="1:11" ht="12.6" customHeight="1" x14ac:dyDescent="0.2">
      <c r="A20" s="13">
        <v>32690</v>
      </c>
      <c r="B20" s="17"/>
      <c r="C20" s="15">
        <v>3.75</v>
      </c>
      <c r="D20" s="21"/>
      <c r="E20" s="15">
        <f t="shared" si="1"/>
        <v>18.75</v>
      </c>
      <c r="F20" s="14"/>
      <c r="G20" s="15">
        <f t="shared" si="0"/>
        <v>3.75</v>
      </c>
      <c r="H20" s="14"/>
      <c r="I20" s="15">
        <f t="shared" si="2"/>
        <v>33.75</v>
      </c>
      <c r="J20" s="14"/>
      <c r="K20" s="13"/>
    </row>
    <row r="21" spans="1:11" ht="12.6" customHeight="1" x14ac:dyDescent="0.2">
      <c r="A21" s="13"/>
      <c r="B21" s="17" t="s">
        <v>56</v>
      </c>
      <c r="C21" s="15"/>
      <c r="D21" s="14">
        <v>4</v>
      </c>
      <c r="E21" s="15">
        <f t="shared" si="1"/>
        <v>14.75</v>
      </c>
      <c r="F21" s="14"/>
      <c r="G21" s="15">
        <f t="shared" si="0"/>
        <v>0</v>
      </c>
      <c r="H21" s="14"/>
      <c r="I21" s="15">
        <f t="shared" si="2"/>
        <v>33.75</v>
      </c>
      <c r="J21" s="14"/>
      <c r="K21" s="13" t="s">
        <v>1211</v>
      </c>
    </row>
    <row r="22" spans="1:11" ht="12.6" customHeight="1" x14ac:dyDescent="0.2">
      <c r="A22" s="13">
        <v>32874</v>
      </c>
      <c r="B22" s="17"/>
      <c r="C22" s="15">
        <v>7.5</v>
      </c>
      <c r="D22" s="14"/>
      <c r="E22" s="15">
        <f t="shared" si="1"/>
        <v>22.25</v>
      </c>
      <c r="F22" s="14"/>
      <c r="G22" s="15">
        <f t="shared" si="0"/>
        <v>7.5</v>
      </c>
      <c r="H22" s="14"/>
      <c r="I22" s="15">
        <f t="shared" si="2"/>
        <v>41.25</v>
      </c>
      <c r="J22" s="14"/>
      <c r="K22" s="13"/>
    </row>
    <row r="23" spans="1:11" ht="12.6" customHeight="1" x14ac:dyDescent="0.2">
      <c r="A23" s="13"/>
      <c r="B23" s="17" t="s">
        <v>60</v>
      </c>
      <c r="C23" s="15"/>
      <c r="D23" s="14">
        <v>5</v>
      </c>
      <c r="E23" s="15">
        <f t="shared" si="1"/>
        <v>17.25</v>
      </c>
      <c r="F23" s="14"/>
      <c r="G23" s="15">
        <f t="shared" si="0"/>
        <v>0</v>
      </c>
      <c r="H23" s="14"/>
      <c r="I23" s="15">
        <f t="shared" si="2"/>
        <v>41.25</v>
      </c>
      <c r="J23" s="14"/>
      <c r="K23" s="13" t="s">
        <v>1212</v>
      </c>
    </row>
    <row r="24" spans="1:11" ht="12.6" customHeight="1" x14ac:dyDescent="0.2">
      <c r="A24" s="13">
        <v>32994</v>
      </c>
      <c r="B24" s="19"/>
      <c r="C24" s="15">
        <v>5</v>
      </c>
      <c r="D24" s="14"/>
      <c r="E24" s="15">
        <f t="shared" si="1"/>
        <v>22.25</v>
      </c>
      <c r="F24" s="14"/>
      <c r="G24" s="15">
        <f t="shared" si="0"/>
        <v>5</v>
      </c>
      <c r="H24" s="14"/>
      <c r="I24" s="15">
        <f t="shared" si="2"/>
        <v>46.25</v>
      </c>
      <c r="J24" s="14"/>
      <c r="K24" s="13"/>
    </row>
    <row r="25" spans="1:11" ht="12.6" customHeight="1" x14ac:dyDescent="0.2">
      <c r="A25" s="13"/>
      <c r="B25" s="17" t="s">
        <v>67</v>
      </c>
      <c r="C25" s="15"/>
      <c r="D25" s="14"/>
      <c r="E25" s="15">
        <f t="shared" si="1"/>
        <v>22.25</v>
      </c>
      <c r="F25" s="14"/>
      <c r="G25" s="15">
        <f t="shared" si="0"/>
        <v>0</v>
      </c>
      <c r="H25" s="14">
        <v>3</v>
      </c>
      <c r="I25" s="15">
        <f t="shared" si="2"/>
        <v>43.25</v>
      </c>
      <c r="J25" s="14"/>
      <c r="K25" s="13" t="s">
        <v>1213</v>
      </c>
    </row>
    <row r="26" spans="1:11" ht="12.6" customHeight="1" x14ac:dyDescent="0.2">
      <c r="A26" s="13">
        <v>33055</v>
      </c>
      <c r="B26" s="19"/>
      <c r="C26" s="15">
        <v>2.5</v>
      </c>
      <c r="D26" s="14"/>
      <c r="E26" s="15">
        <f t="shared" si="1"/>
        <v>24.75</v>
      </c>
      <c r="F26" s="14"/>
      <c r="G26" s="15">
        <f t="shared" si="0"/>
        <v>2.5</v>
      </c>
      <c r="H26" s="14"/>
      <c r="I26" s="15">
        <f t="shared" si="2"/>
        <v>45.75</v>
      </c>
      <c r="J26" s="14"/>
      <c r="K26" s="13"/>
    </row>
    <row r="27" spans="1:11" ht="12.6" customHeight="1" x14ac:dyDescent="0.2">
      <c r="A27" s="13"/>
      <c r="B27" s="17" t="s">
        <v>60</v>
      </c>
      <c r="C27" s="15"/>
      <c r="D27" s="14">
        <v>5</v>
      </c>
      <c r="E27" s="15">
        <f t="shared" si="1"/>
        <v>19.75</v>
      </c>
      <c r="F27" s="14"/>
      <c r="G27" s="15">
        <f t="shared" si="0"/>
        <v>0</v>
      </c>
      <c r="H27" s="14"/>
      <c r="I27" s="15">
        <f t="shared" si="2"/>
        <v>45.75</v>
      </c>
      <c r="J27" s="14"/>
      <c r="K27" s="13" t="s">
        <v>1214</v>
      </c>
    </row>
    <row r="28" spans="1:11" ht="12.6" customHeight="1" x14ac:dyDescent="0.2">
      <c r="A28" s="13">
        <v>33117</v>
      </c>
      <c r="B28" s="19"/>
      <c r="C28" s="15">
        <v>2.5</v>
      </c>
      <c r="D28" s="14"/>
      <c r="E28" s="15">
        <f t="shared" si="1"/>
        <v>22.25</v>
      </c>
      <c r="F28" s="14"/>
      <c r="G28" s="15">
        <f t="shared" si="0"/>
        <v>2.5</v>
      </c>
      <c r="H28" s="14"/>
      <c r="I28" s="15">
        <f t="shared" si="2"/>
        <v>48.25</v>
      </c>
      <c r="J28" s="14"/>
      <c r="K28" s="13"/>
    </row>
    <row r="29" spans="1:11" ht="12.6" customHeight="1" x14ac:dyDescent="0.2">
      <c r="A29" s="13"/>
      <c r="B29" s="17" t="s">
        <v>95</v>
      </c>
      <c r="C29" s="15"/>
      <c r="D29" s="14">
        <v>3</v>
      </c>
      <c r="E29" s="15">
        <f t="shared" si="1"/>
        <v>19.25</v>
      </c>
      <c r="F29" s="14"/>
      <c r="G29" s="15">
        <f t="shared" si="0"/>
        <v>0</v>
      </c>
      <c r="H29" s="14"/>
      <c r="I29" s="15">
        <f t="shared" si="2"/>
        <v>48.25</v>
      </c>
      <c r="J29" s="14"/>
      <c r="K29" s="13" t="s">
        <v>1215</v>
      </c>
    </row>
    <row r="30" spans="1:11" ht="12.6" customHeight="1" x14ac:dyDescent="0.2">
      <c r="A30" s="13">
        <v>33178</v>
      </c>
      <c r="B30" s="19"/>
      <c r="C30" s="15">
        <v>2.5</v>
      </c>
      <c r="D30" s="14"/>
      <c r="E30" s="15">
        <f t="shared" si="1"/>
        <v>21.75</v>
      </c>
      <c r="F30" s="14"/>
      <c r="G30" s="15">
        <f t="shared" si="0"/>
        <v>2.5</v>
      </c>
      <c r="H30" s="14"/>
      <c r="I30" s="15">
        <f t="shared" si="2"/>
        <v>50.75</v>
      </c>
      <c r="J30" s="14"/>
      <c r="K30" s="16"/>
    </row>
    <row r="31" spans="1:11" ht="12.6" customHeight="1" x14ac:dyDescent="0.2">
      <c r="A31" s="13"/>
      <c r="B31" s="19" t="s">
        <v>76</v>
      </c>
      <c r="C31" s="15"/>
      <c r="D31" s="14">
        <v>2</v>
      </c>
      <c r="E31" s="15">
        <f t="shared" si="1"/>
        <v>19.75</v>
      </c>
      <c r="F31" s="22"/>
      <c r="G31" s="15">
        <f t="shared" si="0"/>
        <v>0</v>
      </c>
      <c r="H31" s="22"/>
      <c r="I31" s="15">
        <f t="shared" si="2"/>
        <v>50.75</v>
      </c>
      <c r="J31" s="22"/>
      <c r="K31" s="23" t="s">
        <v>1216</v>
      </c>
    </row>
    <row r="32" spans="1:11" ht="12.6" customHeight="1" x14ac:dyDescent="0.2">
      <c r="A32" s="13">
        <v>33359</v>
      </c>
      <c r="B32" s="17"/>
      <c r="C32" s="15">
        <v>7.5</v>
      </c>
      <c r="D32" s="14"/>
      <c r="E32" s="15">
        <f t="shared" si="1"/>
        <v>27.25</v>
      </c>
      <c r="F32" s="22"/>
      <c r="G32" s="15">
        <f t="shared" si="0"/>
        <v>7.5</v>
      </c>
      <c r="H32" s="22"/>
      <c r="I32" s="15">
        <f t="shared" si="2"/>
        <v>58.25</v>
      </c>
      <c r="J32" s="22"/>
      <c r="K32" s="23"/>
    </row>
    <row r="33" spans="1:11" ht="12.6" customHeight="1" x14ac:dyDescent="0.2">
      <c r="A33" s="13"/>
      <c r="B33" s="19" t="s">
        <v>76</v>
      </c>
      <c r="C33" s="15"/>
      <c r="D33" s="14">
        <v>2</v>
      </c>
      <c r="E33" s="15">
        <f t="shared" si="1"/>
        <v>25.25</v>
      </c>
      <c r="F33" s="22"/>
      <c r="G33" s="15">
        <f t="shared" si="0"/>
        <v>0</v>
      </c>
      <c r="H33" s="22"/>
      <c r="I33" s="15">
        <f t="shared" si="2"/>
        <v>58.25</v>
      </c>
      <c r="J33" s="22"/>
      <c r="K33" s="16" t="s">
        <v>1217</v>
      </c>
    </row>
    <row r="34" spans="1:11" ht="12.6" customHeight="1" x14ac:dyDescent="0.2">
      <c r="A34" s="24" t="s">
        <v>15</v>
      </c>
      <c r="B34" s="24"/>
      <c r="C34" s="25">
        <f>SUM(C7:C33)</f>
        <v>64.25</v>
      </c>
      <c r="D34" s="25">
        <f>SUM(D9:D33)</f>
        <v>39</v>
      </c>
      <c r="E34" s="25"/>
      <c r="F34" s="22"/>
      <c r="G34" s="25">
        <f>SUM(G7:G33)</f>
        <v>64.25</v>
      </c>
      <c r="H34" s="25">
        <f>SUM(H7:H33)</f>
        <v>6</v>
      </c>
      <c r="I34" s="15">
        <f t="shared" si="2"/>
        <v>116.5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GOZAR, RICHILIEU A.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JANUARY 19, 1987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>
        <v>33604</v>
      </c>
      <c r="B43" s="17"/>
      <c r="C43" s="15">
        <v>10</v>
      </c>
      <c r="D43" s="14"/>
      <c r="E43" s="15">
        <f>E33+C43-D43</f>
        <v>35.25</v>
      </c>
      <c r="F43" s="14"/>
      <c r="G43" s="15">
        <f>C43</f>
        <v>10</v>
      </c>
      <c r="H43" s="14"/>
      <c r="I43" s="15">
        <f>I33+G43-H43</f>
        <v>68.25</v>
      </c>
      <c r="J43" s="14"/>
      <c r="K43" s="13"/>
    </row>
    <row r="44" spans="1:11" ht="12.6" customHeight="1" x14ac:dyDescent="0.2">
      <c r="A44" s="13"/>
      <c r="B44" s="17" t="s">
        <v>87</v>
      </c>
      <c r="C44" s="15"/>
      <c r="D44" s="14">
        <v>3</v>
      </c>
      <c r="E44" s="15">
        <f>E43+C44-D44</f>
        <v>32.25</v>
      </c>
      <c r="F44" s="14"/>
      <c r="G44" s="15">
        <f t="shared" ref="G44:G68" si="3">C44</f>
        <v>0</v>
      </c>
      <c r="H44" s="14"/>
      <c r="I44" s="15">
        <f>I43+G44-H44</f>
        <v>68.25</v>
      </c>
      <c r="J44" s="14"/>
      <c r="K44" s="13" t="s">
        <v>68</v>
      </c>
    </row>
    <row r="45" spans="1:11" ht="12.6" customHeight="1" x14ac:dyDescent="0.2">
      <c r="A45" s="13">
        <v>33725</v>
      </c>
      <c r="B45" s="19"/>
      <c r="C45" s="15">
        <v>5</v>
      </c>
      <c r="D45" s="14"/>
      <c r="E45" s="15">
        <f t="shared" ref="E45:E68" si="4">E44+C45-D45</f>
        <v>37.25</v>
      </c>
      <c r="F45" s="14"/>
      <c r="G45" s="15">
        <f t="shared" si="3"/>
        <v>5</v>
      </c>
      <c r="H45" s="14"/>
      <c r="I45" s="15">
        <f t="shared" ref="I45:I68" si="5">I44+G45-H45</f>
        <v>73.25</v>
      </c>
      <c r="J45" s="14"/>
      <c r="K45" s="13"/>
    </row>
    <row r="46" spans="1:11" ht="12.6" customHeight="1" x14ac:dyDescent="0.2">
      <c r="A46" s="13"/>
      <c r="B46" s="17" t="s">
        <v>271</v>
      </c>
      <c r="C46" s="15"/>
      <c r="D46" s="14"/>
      <c r="E46" s="15">
        <f t="shared" si="4"/>
        <v>37.25</v>
      </c>
      <c r="F46" s="14"/>
      <c r="G46" s="15">
        <f t="shared" si="3"/>
        <v>0</v>
      </c>
      <c r="H46" s="14">
        <v>5</v>
      </c>
      <c r="I46" s="15">
        <f t="shared" si="5"/>
        <v>68.25</v>
      </c>
      <c r="J46" s="14"/>
      <c r="K46" s="13" t="s">
        <v>1218</v>
      </c>
    </row>
    <row r="47" spans="1:11" ht="12.6" customHeight="1" x14ac:dyDescent="0.2">
      <c r="A47" s="13">
        <v>33817</v>
      </c>
      <c r="B47" s="19"/>
      <c r="C47" s="15">
        <v>3.75</v>
      </c>
      <c r="D47" s="14"/>
      <c r="E47" s="15">
        <f t="shared" si="4"/>
        <v>41</v>
      </c>
      <c r="F47" s="14"/>
      <c r="G47" s="15">
        <f t="shared" si="3"/>
        <v>3.75</v>
      </c>
      <c r="H47" s="14"/>
      <c r="I47" s="15">
        <f t="shared" si="5"/>
        <v>72</v>
      </c>
      <c r="J47" s="14"/>
      <c r="K47" s="13"/>
    </row>
    <row r="48" spans="1:11" ht="12.6" customHeight="1" x14ac:dyDescent="0.2">
      <c r="A48" s="13"/>
      <c r="B48" s="17" t="s">
        <v>870</v>
      </c>
      <c r="C48" s="15"/>
      <c r="D48" s="14">
        <v>8</v>
      </c>
      <c r="E48" s="15">
        <f t="shared" si="4"/>
        <v>33</v>
      </c>
      <c r="F48" s="14"/>
      <c r="G48" s="15">
        <f t="shared" si="3"/>
        <v>0</v>
      </c>
      <c r="H48" s="14"/>
      <c r="I48" s="15">
        <f t="shared" si="5"/>
        <v>72</v>
      </c>
      <c r="J48" s="14"/>
      <c r="K48" s="13" t="s">
        <v>1219</v>
      </c>
    </row>
    <row r="49" spans="1:11" ht="12.6" customHeight="1" x14ac:dyDescent="0.2">
      <c r="A49" s="13">
        <v>33970</v>
      </c>
      <c r="B49" s="19"/>
      <c r="C49" s="15">
        <v>6.25</v>
      </c>
      <c r="D49" s="14"/>
      <c r="E49" s="15">
        <f t="shared" si="4"/>
        <v>39.25</v>
      </c>
      <c r="F49" s="14"/>
      <c r="G49" s="15">
        <f t="shared" si="3"/>
        <v>6.25</v>
      </c>
      <c r="H49" s="14"/>
      <c r="I49" s="15">
        <f t="shared" si="5"/>
        <v>78.25</v>
      </c>
      <c r="J49" s="14"/>
      <c r="K49" s="13"/>
    </row>
    <row r="50" spans="1:11" ht="12.6" customHeight="1" x14ac:dyDescent="0.2">
      <c r="A50" s="13"/>
      <c r="B50" s="19"/>
      <c r="C50" s="15"/>
      <c r="D50" s="14">
        <v>5.8000000000000003E-2</v>
      </c>
      <c r="E50" s="15">
        <f t="shared" si="4"/>
        <v>39.192</v>
      </c>
      <c r="F50" s="14"/>
      <c r="G50" s="15">
        <f t="shared" si="3"/>
        <v>0</v>
      </c>
      <c r="H50" s="14"/>
      <c r="I50" s="15">
        <f t="shared" si="5"/>
        <v>78.25</v>
      </c>
      <c r="J50" s="14"/>
      <c r="K50" s="13" t="s">
        <v>1220</v>
      </c>
    </row>
    <row r="51" spans="1:11" ht="12.6" customHeight="1" x14ac:dyDescent="0.2">
      <c r="A51" s="13">
        <v>34243</v>
      </c>
      <c r="B51" s="17"/>
      <c r="C51" s="15">
        <v>11.25</v>
      </c>
      <c r="D51" s="14"/>
      <c r="E51" s="15">
        <f t="shared" si="4"/>
        <v>50.442</v>
      </c>
      <c r="F51" s="14"/>
      <c r="G51" s="15">
        <f t="shared" si="3"/>
        <v>11.25</v>
      </c>
      <c r="H51" s="14"/>
      <c r="I51" s="15">
        <f t="shared" si="5"/>
        <v>89.5</v>
      </c>
      <c r="J51" s="14"/>
      <c r="K51" s="16"/>
    </row>
    <row r="52" spans="1:11" ht="12.6" customHeight="1" x14ac:dyDescent="0.2">
      <c r="A52" s="13"/>
      <c r="B52" s="17" t="s">
        <v>95</v>
      </c>
      <c r="C52" s="15"/>
      <c r="D52" s="14">
        <v>3</v>
      </c>
      <c r="E52" s="15">
        <f t="shared" si="4"/>
        <v>47.442</v>
      </c>
      <c r="F52" s="14"/>
      <c r="G52" s="15">
        <f t="shared" si="3"/>
        <v>0</v>
      </c>
      <c r="H52" s="14"/>
      <c r="I52" s="15">
        <f t="shared" si="5"/>
        <v>89.5</v>
      </c>
      <c r="J52" s="14"/>
      <c r="K52" s="13" t="s">
        <v>1221</v>
      </c>
    </row>
    <row r="53" spans="1:11" ht="12.6" customHeight="1" x14ac:dyDescent="0.2">
      <c r="A53" s="13">
        <v>34274</v>
      </c>
      <c r="B53" s="19"/>
      <c r="C53" s="15">
        <v>1.25</v>
      </c>
      <c r="D53" s="14"/>
      <c r="E53" s="15">
        <f t="shared" si="4"/>
        <v>48.692</v>
      </c>
      <c r="F53" s="14"/>
      <c r="G53" s="15">
        <f t="shared" si="3"/>
        <v>1.25</v>
      </c>
      <c r="H53" s="14"/>
      <c r="I53" s="15">
        <f t="shared" si="5"/>
        <v>90.75</v>
      </c>
      <c r="J53" s="14"/>
      <c r="K53" s="13"/>
    </row>
    <row r="54" spans="1:11" ht="12.6" customHeight="1" x14ac:dyDescent="0.2">
      <c r="A54" s="13"/>
      <c r="B54" s="19" t="s">
        <v>56</v>
      </c>
      <c r="C54" s="15"/>
      <c r="D54" s="14">
        <v>4</v>
      </c>
      <c r="E54" s="15">
        <f t="shared" si="4"/>
        <v>44.692</v>
      </c>
      <c r="F54" s="14"/>
      <c r="G54" s="15">
        <f t="shared" si="3"/>
        <v>0</v>
      </c>
      <c r="H54" s="14"/>
      <c r="I54" s="15">
        <f t="shared" si="5"/>
        <v>90.75</v>
      </c>
      <c r="J54" s="14"/>
      <c r="K54" s="13" t="s">
        <v>1222</v>
      </c>
    </row>
    <row r="55" spans="1:11" ht="12.6" customHeight="1" x14ac:dyDescent="0.2">
      <c r="A55" s="13"/>
      <c r="B55" s="19" t="s">
        <v>56</v>
      </c>
      <c r="C55" s="15"/>
      <c r="D55" s="14">
        <v>4</v>
      </c>
      <c r="E55" s="15">
        <f t="shared" si="4"/>
        <v>40.692</v>
      </c>
      <c r="F55" s="14"/>
      <c r="G55" s="15">
        <f t="shared" si="3"/>
        <v>0</v>
      </c>
      <c r="H55" s="14"/>
      <c r="I55" s="15">
        <f t="shared" si="5"/>
        <v>90.75</v>
      </c>
      <c r="J55" s="14"/>
      <c r="K55" s="13" t="s">
        <v>1223</v>
      </c>
    </row>
    <row r="56" spans="1:11" ht="12.6" customHeight="1" x14ac:dyDescent="0.2">
      <c r="A56" s="13">
        <v>34366</v>
      </c>
      <c r="B56" s="19"/>
      <c r="C56" s="15">
        <v>3.75</v>
      </c>
      <c r="D56" s="14"/>
      <c r="E56" s="15">
        <f t="shared" si="4"/>
        <v>44.442</v>
      </c>
      <c r="F56" s="14"/>
      <c r="G56" s="15">
        <f t="shared" si="3"/>
        <v>3.75</v>
      </c>
      <c r="H56" s="14"/>
      <c r="I56" s="15">
        <f t="shared" si="5"/>
        <v>94.5</v>
      </c>
      <c r="J56" s="14"/>
      <c r="K56" s="16"/>
    </row>
    <row r="57" spans="1:11" ht="12.6" customHeight="1" x14ac:dyDescent="0.2">
      <c r="A57" s="13"/>
      <c r="B57" s="17" t="s">
        <v>67</v>
      </c>
      <c r="C57" s="15"/>
      <c r="D57" s="14"/>
      <c r="E57" s="15">
        <f t="shared" si="4"/>
        <v>44.442</v>
      </c>
      <c r="F57" s="14"/>
      <c r="G57" s="15">
        <f t="shared" si="3"/>
        <v>0</v>
      </c>
      <c r="H57" s="14">
        <v>3</v>
      </c>
      <c r="I57" s="15">
        <f t="shared" si="5"/>
        <v>91.5</v>
      </c>
      <c r="J57" s="14"/>
      <c r="K57" s="13" t="s">
        <v>1224</v>
      </c>
    </row>
    <row r="58" spans="1:11" ht="12.6" customHeight="1" x14ac:dyDescent="0.2">
      <c r="A58" s="13">
        <v>34425</v>
      </c>
      <c r="B58" s="17"/>
      <c r="C58" s="15">
        <v>2.5</v>
      </c>
      <c r="D58" s="14"/>
      <c r="E58" s="15">
        <f t="shared" si="4"/>
        <v>46.942</v>
      </c>
      <c r="F58" s="14"/>
      <c r="G58" s="15">
        <f t="shared" si="3"/>
        <v>2.5</v>
      </c>
      <c r="H58" s="14"/>
      <c r="I58" s="15">
        <f t="shared" si="5"/>
        <v>94</v>
      </c>
      <c r="J58" s="14"/>
      <c r="K58" s="13"/>
    </row>
    <row r="59" spans="1:11" ht="12.6" customHeight="1" x14ac:dyDescent="0.2">
      <c r="A59" s="13"/>
      <c r="B59" s="19"/>
      <c r="C59" s="15"/>
      <c r="D59" s="14"/>
      <c r="E59" s="15">
        <f t="shared" si="4"/>
        <v>46.942</v>
      </c>
      <c r="F59" s="14"/>
      <c r="G59" s="15">
        <f t="shared" si="3"/>
        <v>0</v>
      </c>
      <c r="H59" s="14"/>
      <c r="I59" s="15">
        <f t="shared" si="5"/>
        <v>94</v>
      </c>
      <c r="J59" s="14"/>
      <c r="K59" s="13"/>
    </row>
    <row r="60" spans="1:11" ht="12.6" customHeight="1" x14ac:dyDescent="0.2">
      <c r="A60" s="13"/>
      <c r="B60" s="19"/>
      <c r="C60" s="15"/>
      <c r="D60" s="14"/>
      <c r="E60" s="15">
        <f t="shared" si="4"/>
        <v>46.942</v>
      </c>
      <c r="F60" s="14"/>
      <c r="G60" s="15">
        <f t="shared" si="3"/>
        <v>0</v>
      </c>
      <c r="H60" s="14"/>
      <c r="I60" s="15">
        <f t="shared" si="5"/>
        <v>94</v>
      </c>
      <c r="J60" s="14"/>
      <c r="K60" s="13"/>
    </row>
    <row r="61" spans="1:11" ht="12.6" customHeight="1" x14ac:dyDescent="0.2">
      <c r="A61" s="13"/>
      <c r="B61" s="19"/>
      <c r="C61" s="15"/>
      <c r="D61" s="14"/>
      <c r="E61" s="15">
        <f t="shared" si="4"/>
        <v>46.942</v>
      </c>
      <c r="F61" s="14"/>
      <c r="G61" s="15">
        <f t="shared" si="3"/>
        <v>0</v>
      </c>
      <c r="H61" s="14"/>
      <c r="I61" s="15">
        <f t="shared" si="5"/>
        <v>94</v>
      </c>
      <c r="J61" s="14"/>
      <c r="K61" s="13"/>
    </row>
    <row r="62" spans="1:11" ht="12.6" customHeight="1" x14ac:dyDescent="0.2">
      <c r="A62" s="13"/>
      <c r="B62" s="17"/>
      <c r="C62" s="15"/>
      <c r="D62" s="14"/>
      <c r="E62" s="15">
        <f t="shared" si="4"/>
        <v>46.942</v>
      </c>
      <c r="F62" s="14"/>
      <c r="G62" s="15">
        <f t="shared" si="3"/>
        <v>0</v>
      </c>
      <c r="H62" s="14"/>
      <c r="I62" s="15">
        <f t="shared" si="5"/>
        <v>94</v>
      </c>
      <c r="J62" s="14"/>
      <c r="K62" s="16"/>
    </row>
    <row r="63" spans="1:11" ht="12.6" customHeight="1" x14ac:dyDescent="0.2">
      <c r="A63" s="13"/>
      <c r="B63" s="19"/>
      <c r="C63" s="15"/>
      <c r="D63" s="14"/>
      <c r="E63" s="15">
        <f t="shared" si="4"/>
        <v>46.942</v>
      </c>
      <c r="F63" s="14"/>
      <c r="G63" s="15">
        <f t="shared" si="3"/>
        <v>0</v>
      </c>
      <c r="H63" s="14"/>
      <c r="I63" s="15">
        <f t="shared" si="5"/>
        <v>94</v>
      </c>
      <c r="J63" s="14"/>
      <c r="K63" s="13"/>
    </row>
    <row r="64" spans="1:11" ht="12.6" customHeight="1" x14ac:dyDescent="0.2">
      <c r="A64" s="29"/>
      <c r="B64" s="17"/>
      <c r="C64" s="15"/>
      <c r="D64" s="14"/>
      <c r="E64" s="15">
        <f t="shared" si="4"/>
        <v>46.942</v>
      </c>
      <c r="F64" s="14"/>
      <c r="G64" s="15">
        <f>C64</f>
        <v>0</v>
      </c>
      <c r="H64" s="14"/>
      <c r="I64" s="15">
        <f t="shared" si="5"/>
        <v>94</v>
      </c>
      <c r="J64" s="14"/>
      <c r="K64" s="29"/>
    </row>
    <row r="65" spans="1:11" ht="12.6" customHeight="1" x14ac:dyDescent="0.2">
      <c r="A65" s="13"/>
      <c r="B65" s="19"/>
      <c r="C65" s="15"/>
      <c r="D65" s="21"/>
      <c r="E65" s="15">
        <f t="shared" si="4"/>
        <v>46.942</v>
      </c>
      <c r="F65" s="14"/>
      <c r="G65" s="15">
        <f t="shared" si="3"/>
        <v>0</v>
      </c>
      <c r="H65" s="14"/>
      <c r="I65" s="15">
        <f t="shared" si="5"/>
        <v>94</v>
      </c>
      <c r="J65" s="14"/>
      <c r="K65" s="13"/>
    </row>
    <row r="66" spans="1:11" ht="12.6" customHeight="1" x14ac:dyDescent="0.2">
      <c r="A66" s="13"/>
      <c r="B66" s="19"/>
      <c r="C66" s="15"/>
      <c r="D66" s="14"/>
      <c r="E66" s="15">
        <f t="shared" si="4"/>
        <v>46.942</v>
      </c>
      <c r="F66" s="14"/>
      <c r="G66" s="15">
        <f t="shared" si="3"/>
        <v>0</v>
      </c>
      <c r="H66" s="14"/>
      <c r="I66" s="15">
        <f t="shared" si="5"/>
        <v>94</v>
      </c>
      <c r="J66" s="14"/>
      <c r="K66" s="13"/>
    </row>
    <row r="67" spans="1:11" ht="12.6" customHeight="1" x14ac:dyDescent="0.2">
      <c r="A67" s="30"/>
      <c r="B67" s="19"/>
      <c r="C67" s="15"/>
      <c r="D67" s="14"/>
      <c r="E67" s="15">
        <f t="shared" si="4"/>
        <v>46.942</v>
      </c>
      <c r="F67" s="14"/>
      <c r="G67" s="15">
        <f t="shared" si="3"/>
        <v>0</v>
      </c>
      <c r="H67" s="31"/>
      <c r="I67" s="15">
        <f t="shared" si="5"/>
        <v>94</v>
      </c>
      <c r="J67" s="31"/>
      <c r="K67" s="30"/>
    </row>
    <row r="68" spans="1:11" ht="12.6" customHeight="1" x14ac:dyDescent="0.2">
      <c r="A68" s="13"/>
      <c r="B68" s="19"/>
      <c r="C68" s="15"/>
      <c r="D68" s="14"/>
      <c r="E68" s="15">
        <f t="shared" si="4"/>
        <v>46.942</v>
      </c>
      <c r="F68" s="14"/>
      <c r="G68" s="15">
        <f t="shared" si="3"/>
        <v>0</v>
      </c>
      <c r="H68" s="14"/>
      <c r="I68" s="15">
        <f t="shared" si="5"/>
        <v>94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43.75</v>
      </c>
      <c r="D69" s="15">
        <f>SUM(D43:D68)</f>
        <v>22.058</v>
      </c>
      <c r="E69" s="15" t="s">
        <v>17</v>
      </c>
      <c r="F69" s="32"/>
      <c r="G69" s="15">
        <f>SUM(G43:G68)</f>
        <v>43.75</v>
      </c>
      <c r="H69" s="15">
        <f>SUM(H43:H68)</f>
        <v>8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GOZAR, RICHILIEU A.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JANUARY 19, 1987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/>
      <c r="C82" s="15"/>
      <c r="D82" s="14"/>
      <c r="E82" s="15">
        <f>E68+C82-D82</f>
        <v>46.942</v>
      </c>
      <c r="F82" s="14"/>
      <c r="G82" s="15">
        <f>C82</f>
        <v>0</v>
      </c>
      <c r="H82" s="14"/>
      <c r="I82" s="15">
        <f>I68+G82-H82</f>
        <v>94</v>
      </c>
      <c r="J82" s="14"/>
      <c r="K82" s="13"/>
    </row>
    <row r="83" spans="1:11" ht="12.6" customHeight="1" x14ac:dyDescent="0.2">
      <c r="A83" s="13"/>
      <c r="B83" s="17"/>
      <c r="C83" s="15"/>
      <c r="D83" s="14"/>
      <c r="E83" s="15">
        <f>E82+C83-D83</f>
        <v>46.942</v>
      </c>
      <c r="F83" s="14"/>
      <c r="G83" s="15">
        <f t="shared" ref="G83:G107" si="6">C83</f>
        <v>0</v>
      </c>
      <c r="H83" s="14"/>
      <c r="I83" s="15">
        <f>I82+G83-H83</f>
        <v>94</v>
      </c>
      <c r="J83" s="22"/>
      <c r="K83" s="23"/>
    </row>
    <row r="84" spans="1:11" ht="12.6" customHeight="1" x14ac:dyDescent="0.2">
      <c r="A84" s="13"/>
      <c r="B84" s="19"/>
      <c r="C84" s="15"/>
      <c r="D84" s="14"/>
      <c r="E84" s="15">
        <f t="shared" ref="E84:E107" si="7">E83+C84-D84</f>
        <v>46.942</v>
      </c>
      <c r="F84" s="14"/>
      <c r="G84" s="15">
        <f t="shared" si="6"/>
        <v>0</v>
      </c>
      <c r="H84" s="14"/>
      <c r="I84" s="15">
        <f t="shared" ref="I84:I107" si="8">I83+G84-H84</f>
        <v>94</v>
      </c>
      <c r="J84" s="14"/>
      <c r="K84" s="16"/>
    </row>
    <row r="85" spans="1:11" ht="12.6" customHeight="1" x14ac:dyDescent="0.2">
      <c r="A85" s="13"/>
      <c r="B85" s="19"/>
      <c r="C85" s="15"/>
      <c r="D85" s="14"/>
      <c r="E85" s="15">
        <f t="shared" si="7"/>
        <v>46.942</v>
      </c>
      <c r="F85" s="14"/>
      <c r="G85" s="15">
        <f t="shared" si="6"/>
        <v>0</v>
      </c>
      <c r="H85" s="14"/>
      <c r="I85" s="15">
        <f t="shared" si="8"/>
        <v>94</v>
      </c>
      <c r="J85" s="14"/>
      <c r="K85" s="13"/>
    </row>
    <row r="86" spans="1:11" ht="12.6" customHeight="1" x14ac:dyDescent="0.2">
      <c r="A86" s="29"/>
      <c r="B86" s="19"/>
      <c r="C86" s="15"/>
      <c r="D86" s="14"/>
      <c r="E86" s="15">
        <f t="shared" si="7"/>
        <v>46.942</v>
      </c>
      <c r="F86" s="14"/>
      <c r="G86" s="15">
        <f t="shared" si="6"/>
        <v>0</v>
      </c>
      <c r="H86" s="14"/>
      <c r="I86" s="15">
        <f t="shared" si="8"/>
        <v>94</v>
      </c>
      <c r="J86" s="14"/>
      <c r="K86" s="13"/>
    </row>
    <row r="87" spans="1:11" ht="12.6" customHeight="1" x14ac:dyDescent="0.2">
      <c r="A87" s="13"/>
      <c r="B87" s="19"/>
      <c r="C87" s="15"/>
      <c r="D87" s="14"/>
      <c r="E87" s="15">
        <f t="shared" si="7"/>
        <v>46.942</v>
      </c>
      <c r="F87" s="14"/>
      <c r="G87" s="15">
        <f t="shared" si="6"/>
        <v>0</v>
      </c>
      <c r="H87" s="14"/>
      <c r="I87" s="15">
        <f t="shared" si="8"/>
        <v>94</v>
      </c>
      <c r="J87" s="14"/>
      <c r="K87" s="13"/>
    </row>
    <row r="88" spans="1:11" ht="12.6" customHeight="1" x14ac:dyDescent="0.2">
      <c r="A88" s="13"/>
      <c r="B88" s="17"/>
      <c r="C88" s="15"/>
      <c r="D88" s="14"/>
      <c r="E88" s="15">
        <f t="shared" si="7"/>
        <v>46.942</v>
      </c>
      <c r="F88" s="14"/>
      <c r="G88" s="15">
        <f t="shared" si="6"/>
        <v>0</v>
      </c>
      <c r="H88" s="14"/>
      <c r="I88" s="15">
        <f t="shared" si="8"/>
        <v>94</v>
      </c>
      <c r="J88" s="14"/>
      <c r="K88" s="13"/>
    </row>
    <row r="89" spans="1:11" ht="12.6" customHeight="1" x14ac:dyDescent="0.2">
      <c r="A89" s="13"/>
      <c r="B89" s="19"/>
      <c r="C89" s="15"/>
      <c r="D89" s="14"/>
      <c r="E89" s="15">
        <f t="shared" si="7"/>
        <v>46.942</v>
      </c>
      <c r="F89" s="14"/>
      <c r="G89" s="15">
        <f t="shared" si="6"/>
        <v>0</v>
      </c>
      <c r="H89" s="14"/>
      <c r="I89" s="15">
        <f t="shared" si="8"/>
        <v>94</v>
      </c>
      <c r="J89" s="14"/>
      <c r="K89" s="16"/>
    </row>
    <row r="90" spans="1:11" ht="12.6" customHeight="1" x14ac:dyDescent="0.2">
      <c r="A90" s="13"/>
      <c r="B90" s="17"/>
      <c r="C90" s="15"/>
      <c r="D90" s="14"/>
      <c r="E90" s="15">
        <f t="shared" si="7"/>
        <v>46.942</v>
      </c>
      <c r="F90" s="14"/>
      <c r="G90" s="15">
        <f t="shared" si="6"/>
        <v>0</v>
      </c>
      <c r="H90" s="14"/>
      <c r="I90" s="15">
        <f t="shared" si="8"/>
        <v>94</v>
      </c>
      <c r="J90" s="14"/>
      <c r="K90" s="16"/>
    </row>
    <row r="91" spans="1:11" ht="12.6" customHeight="1" x14ac:dyDescent="0.2">
      <c r="A91" s="13"/>
      <c r="B91" s="17"/>
      <c r="C91" s="15"/>
      <c r="D91" s="14"/>
      <c r="E91" s="15">
        <f t="shared" si="7"/>
        <v>46.942</v>
      </c>
      <c r="F91" s="14"/>
      <c r="G91" s="15">
        <f t="shared" si="6"/>
        <v>0</v>
      </c>
      <c r="H91" s="14"/>
      <c r="I91" s="15">
        <f t="shared" si="8"/>
        <v>94</v>
      </c>
      <c r="J91" s="14"/>
      <c r="K91" s="16"/>
    </row>
    <row r="92" spans="1:11" ht="12.6" customHeight="1" x14ac:dyDescent="0.2">
      <c r="A92" s="13"/>
      <c r="B92" s="19"/>
      <c r="C92" s="15"/>
      <c r="D92" s="14"/>
      <c r="E92" s="15">
        <f t="shared" si="7"/>
        <v>46.942</v>
      </c>
      <c r="F92" s="14"/>
      <c r="G92" s="15">
        <f t="shared" si="6"/>
        <v>0</v>
      </c>
      <c r="H92" s="14"/>
      <c r="I92" s="15">
        <f t="shared" si="8"/>
        <v>94</v>
      </c>
      <c r="J92" s="14"/>
      <c r="K92" s="13"/>
    </row>
    <row r="93" spans="1:11" ht="12.6" customHeight="1" x14ac:dyDescent="0.2">
      <c r="A93" s="13"/>
      <c r="B93" s="17"/>
      <c r="C93" s="15"/>
      <c r="D93" s="14"/>
      <c r="E93" s="15">
        <f t="shared" si="7"/>
        <v>46.942</v>
      </c>
      <c r="F93" s="14"/>
      <c r="G93" s="15">
        <f t="shared" si="6"/>
        <v>0</v>
      </c>
      <c r="H93" s="14"/>
      <c r="I93" s="15">
        <f t="shared" si="8"/>
        <v>94</v>
      </c>
      <c r="J93" s="14"/>
      <c r="K93" s="13"/>
    </row>
    <row r="94" spans="1:11" ht="12.6" customHeight="1" x14ac:dyDescent="0.2">
      <c r="A94" s="13"/>
      <c r="B94" s="19"/>
      <c r="C94" s="15"/>
      <c r="D94" s="14"/>
      <c r="E94" s="15">
        <f t="shared" si="7"/>
        <v>46.942</v>
      </c>
      <c r="F94" s="14"/>
      <c r="G94" s="15">
        <f t="shared" si="6"/>
        <v>0</v>
      </c>
      <c r="H94" s="14"/>
      <c r="I94" s="15">
        <f t="shared" si="8"/>
        <v>94</v>
      </c>
      <c r="J94" s="14"/>
      <c r="K94" s="13"/>
    </row>
    <row r="95" spans="1:11" ht="12.6" customHeight="1" x14ac:dyDescent="0.2">
      <c r="A95" s="13"/>
      <c r="B95" s="19"/>
      <c r="C95" s="15"/>
      <c r="D95" s="14"/>
      <c r="E95" s="15">
        <f t="shared" si="7"/>
        <v>46.942</v>
      </c>
      <c r="F95" s="14"/>
      <c r="G95" s="15">
        <f t="shared" si="6"/>
        <v>0</v>
      </c>
      <c r="H95" s="14"/>
      <c r="I95" s="15">
        <f t="shared" si="8"/>
        <v>94</v>
      </c>
      <c r="J95" s="14"/>
      <c r="K95" s="13"/>
    </row>
    <row r="96" spans="1:11" ht="12.6" customHeight="1" x14ac:dyDescent="0.2">
      <c r="A96" s="13"/>
      <c r="B96" s="19"/>
      <c r="C96" s="15"/>
      <c r="D96" s="14"/>
      <c r="E96" s="15">
        <f t="shared" si="7"/>
        <v>46.942</v>
      </c>
      <c r="F96" s="14"/>
      <c r="G96" s="15">
        <f t="shared" si="6"/>
        <v>0</v>
      </c>
      <c r="H96" s="14"/>
      <c r="I96" s="15">
        <f t="shared" si="8"/>
        <v>94</v>
      </c>
      <c r="J96" s="14"/>
      <c r="K96" s="33"/>
    </row>
    <row r="97" spans="1:11" ht="12.6" customHeight="1" x14ac:dyDescent="0.2">
      <c r="A97" s="13"/>
      <c r="B97" s="19"/>
      <c r="C97" s="15"/>
      <c r="D97" s="14"/>
      <c r="E97" s="15">
        <f t="shared" si="7"/>
        <v>46.942</v>
      </c>
      <c r="F97" s="14"/>
      <c r="G97" s="15">
        <f t="shared" si="6"/>
        <v>0</v>
      </c>
      <c r="H97" s="14"/>
      <c r="I97" s="15">
        <f t="shared" si="8"/>
        <v>94</v>
      </c>
      <c r="J97" s="14"/>
      <c r="K97" s="13"/>
    </row>
    <row r="98" spans="1:11" ht="12.6" customHeight="1" x14ac:dyDescent="0.2">
      <c r="A98" s="13"/>
      <c r="B98" s="19"/>
      <c r="C98" s="15"/>
      <c r="D98" s="14"/>
      <c r="E98" s="15">
        <f t="shared" si="7"/>
        <v>46.942</v>
      </c>
      <c r="F98" s="14"/>
      <c r="G98" s="15">
        <f t="shared" si="6"/>
        <v>0</v>
      </c>
      <c r="H98" s="14"/>
      <c r="I98" s="15">
        <f t="shared" si="8"/>
        <v>94</v>
      </c>
      <c r="J98" s="14"/>
      <c r="K98" s="16"/>
    </row>
    <row r="99" spans="1:11" ht="12.6" customHeight="1" x14ac:dyDescent="0.2">
      <c r="A99" s="13"/>
      <c r="B99" s="19"/>
      <c r="C99" s="15"/>
      <c r="D99" s="14"/>
      <c r="E99" s="15">
        <f t="shared" si="7"/>
        <v>46.942</v>
      </c>
      <c r="F99" s="14"/>
      <c r="G99" s="15">
        <f t="shared" si="6"/>
        <v>0</v>
      </c>
      <c r="H99" s="14"/>
      <c r="I99" s="15">
        <f t="shared" si="8"/>
        <v>94</v>
      </c>
      <c r="J99" s="14"/>
      <c r="K99" s="13"/>
    </row>
    <row r="100" spans="1:11" ht="12.6" customHeight="1" x14ac:dyDescent="0.2">
      <c r="A100" s="13"/>
      <c r="B100" s="19"/>
      <c r="C100" s="15"/>
      <c r="D100" s="14"/>
      <c r="E100" s="15">
        <f t="shared" si="7"/>
        <v>46.942</v>
      </c>
      <c r="F100" s="14"/>
      <c r="G100" s="15">
        <f t="shared" si="6"/>
        <v>0</v>
      </c>
      <c r="H100" s="14"/>
      <c r="I100" s="15">
        <f t="shared" si="8"/>
        <v>94</v>
      </c>
      <c r="J100" s="14"/>
      <c r="K100" s="13"/>
    </row>
    <row r="101" spans="1:11" ht="12.6" customHeight="1" x14ac:dyDescent="0.2">
      <c r="A101" s="13"/>
      <c r="B101" s="19"/>
      <c r="C101" s="15"/>
      <c r="D101" s="14"/>
      <c r="E101" s="15">
        <f t="shared" si="7"/>
        <v>46.942</v>
      </c>
      <c r="F101" s="14"/>
      <c r="G101" s="15">
        <f t="shared" si="6"/>
        <v>0</v>
      </c>
      <c r="H101" s="14"/>
      <c r="I101" s="15">
        <f t="shared" si="8"/>
        <v>94</v>
      </c>
      <c r="J101" s="14"/>
      <c r="K101" s="13"/>
    </row>
    <row r="102" spans="1:11" ht="12.6" customHeight="1" x14ac:dyDescent="0.2">
      <c r="A102" s="13"/>
      <c r="B102" s="19"/>
      <c r="C102" s="15"/>
      <c r="D102" s="14"/>
      <c r="E102" s="15">
        <f t="shared" si="7"/>
        <v>46.942</v>
      </c>
      <c r="F102" s="14"/>
      <c r="G102" s="15">
        <f t="shared" si="6"/>
        <v>0</v>
      </c>
      <c r="H102" s="14"/>
      <c r="I102" s="15">
        <f t="shared" si="8"/>
        <v>94</v>
      </c>
      <c r="J102" s="14"/>
      <c r="K102" s="13"/>
    </row>
    <row r="103" spans="1:11" ht="12.6" customHeight="1" x14ac:dyDescent="0.2">
      <c r="A103" s="13"/>
      <c r="B103" s="19"/>
      <c r="C103" s="15"/>
      <c r="D103" s="14"/>
      <c r="E103" s="15">
        <f t="shared" si="7"/>
        <v>46.942</v>
      </c>
      <c r="F103" s="14"/>
      <c r="G103" s="15">
        <f t="shared" si="6"/>
        <v>0</v>
      </c>
      <c r="H103" s="14"/>
      <c r="I103" s="15">
        <f t="shared" si="8"/>
        <v>94</v>
      </c>
      <c r="J103" s="14"/>
      <c r="K103" s="19"/>
    </row>
    <row r="104" spans="1:11" ht="12.6" customHeight="1" x14ac:dyDescent="0.2">
      <c r="A104" s="13"/>
      <c r="B104" s="19"/>
      <c r="C104" s="15"/>
      <c r="D104" s="14"/>
      <c r="E104" s="15">
        <f t="shared" si="7"/>
        <v>46.942</v>
      </c>
      <c r="F104" s="14"/>
      <c r="G104" s="15">
        <f t="shared" si="6"/>
        <v>0</v>
      </c>
      <c r="H104" s="14"/>
      <c r="I104" s="15">
        <f t="shared" si="8"/>
        <v>94</v>
      </c>
      <c r="J104" s="14"/>
      <c r="K104" s="13"/>
    </row>
    <row r="105" spans="1:11" ht="12.6" customHeight="1" x14ac:dyDescent="0.2">
      <c r="A105" s="13"/>
      <c r="B105" s="19"/>
      <c r="C105" s="15"/>
      <c r="D105" s="14"/>
      <c r="E105" s="15">
        <f t="shared" si="7"/>
        <v>46.942</v>
      </c>
      <c r="F105" s="14"/>
      <c r="G105" s="15">
        <f t="shared" si="6"/>
        <v>0</v>
      </c>
      <c r="H105" s="14"/>
      <c r="I105" s="15">
        <f t="shared" si="8"/>
        <v>94</v>
      </c>
      <c r="J105" s="14"/>
      <c r="K105" s="13"/>
    </row>
    <row r="106" spans="1:11" ht="12.6" customHeight="1" x14ac:dyDescent="0.2">
      <c r="A106" s="13"/>
      <c r="B106" s="19"/>
      <c r="C106" s="15"/>
      <c r="D106" s="14"/>
      <c r="E106" s="15">
        <f t="shared" si="7"/>
        <v>46.942</v>
      </c>
      <c r="F106" s="14"/>
      <c r="G106" s="15">
        <f t="shared" si="6"/>
        <v>0</v>
      </c>
      <c r="H106" s="14"/>
      <c r="I106" s="15">
        <f t="shared" si="8"/>
        <v>94</v>
      </c>
      <c r="J106" s="14"/>
      <c r="K106" s="13"/>
    </row>
    <row r="107" spans="1:11" ht="12.6" customHeight="1" x14ac:dyDescent="0.2">
      <c r="A107" s="13"/>
      <c r="B107" s="19"/>
      <c r="C107" s="15"/>
      <c r="D107" s="14"/>
      <c r="E107" s="15">
        <f t="shared" si="7"/>
        <v>46.942</v>
      </c>
      <c r="F107" s="14"/>
      <c r="G107" s="15">
        <f t="shared" si="6"/>
        <v>0</v>
      </c>
      <c r="H107" s="14"/>
      <c r="I107" s="15">
        <f t="shared" si="8"/>
        <v>94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0</v>
      </c>
      <c r="D108" s="15">
        <f>SUM(D82:D107)</f>
        <v>0</v>
      </c>
      <c r="E108" s="15"/>
      <c r="F108" s="14"/>
      <c r="G108" s="15">
        <f>SUM(G82:G107)</f>
        <v>0</v>
      </c>
      <c r="H108" s="15">
        <f>SUM(H82:H107)</f>
        <v>0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GOZAR, RICHILIEU A.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JANUARY 19, 1987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/>
      <c r="C117" s="15"/>
      <c r="D117" s="14"/>
      <c r="E117" s="15">
        <f>E107+C117-D117</f>
        <v>46.942</v>
      </c>
      <c r="F117" s="14"/>
      <c r="G117" s="15">
        <f>C117</f>
        <v>0</v>
      </c>
      <c r="H117" s="14"/>
      <c r="I117" s="15">
        <f>I107+G117-H117</f>
        <v>94</v>
      </c>
      <c r="J117" s="14"/>
      <c r="K117" s="13"/>
    </row>
    <row r="118" spans="1:11" ht="12.6" customHeight="1" x14ac:dyDescent="0.2">
      <c r="A118" s="13"/>
      <c r="B118" s="17"/>
      <c r="C118" s="15"/>
      <c r="D118" s="14"/>
      <c r="E118" s="15">
        <f>E117+C118-D118</f>
        <v>46.942</v>
      </c>
      <c r="F118" s="14"/>
      <c r="G118" s="15">
        <f t="shared" ref="G118:G142" si="9">C118</f>
        <v>0</v>
      </c>
      <c r="H118" s="14"/>
      <c r="I118" s="15">
        <f>I117+G118-H118</f>
        <v>94</v>
      </c>
      <c r="J118" s="22"/>
      <c r="K118" s="23"/>
    </row>
    <row r="119" spans="1:11" ht="12.6" customHeight="1" x14ac:dyDescent="0.2">
      <c r="A119" s="13"/>
      <c r="B119" s="19"/>
      <c r="C119" s="15"/>
      <c r="D119" s="14"/>
      <c r="E119" s="15">
        <f t="shared" ref="E119:E142" si="10">E118+C119-D119</f>
        <v>46.942</v>
      </c>
      <c r="F119" s="14"/>
      <c r="G119" s="15">
        <f t="shared" si="9"/>
        <v>0</v>
      </c>
      <c r="H119" s="14"/>
      <c r="I119" s="15">
        <f t="shared" ref="I119:I142" si="11">I118+G119-H119</f>
        <v>94</v>
      </c>
      <c r="J119" s="14"/>
      <c r="K119" s="16"/>
    </row>
    <row r="120" spans="1:11" ht="12.6" customHeight="1" x14ac:dyDescent="0.2">
      <c r="A120" s="13"/>
      <c r="B120" s="19"/>
      <c r="C120" s="15"/>
      <c r="D120" s="14"/>
      <c r="E120" s="15">
        <f t="shared" si="10"/>
        <v>46.942</v>
      </c>
      <c r="F120" s="14"/>
      <c r="G120" s="15">
        <f t="shared" si="9"/>
        <v>0</v>
      </c>
      <c r="H120" s="14"/>
      <c r="I120" s="15">
        <f t="shared" si="11"/>
        <v>94</v>
      </c>
      <c r="J120" s="14"/>
      <c r="K120" s="13"/>
    </row>
    <row r="121" spans="1:11" ht="12.6" customHeight="1" x14ac:dyDescent="0.2">
      <c r="A121" s="29"/>
      <c r="B121" s="19"/>
      <c r="C121" s="15"/>
      <c r="D121" s="14"/>
      <c r="E121" s="15">
        <f t="shared" si="10"/>
        <v>46.942</v>
      </c>
      <c r="F121" s="14"/>
      <c r="G121" s="15">
        <f t="shared" si="9"/>
        <v>0</v>
      </c>
      <c r="H121" s="14"/>
      <c r="I121" s="15">
        <f t="shared" si="11"/>
        <v>94</v>
      </c>
      <c r="J121" s="14"/>
      <c r="K121" s="13"/>
    </row>
    <row r="122" spans="1:11" ht="12.6" customHeight="1" x14ac:dyDescent="0.2">
      <c r="A122" s="13"/>
      <c r="B122" s="19"/>
      <c r="C122" s="15"/>
      <c r="D122" s="14"/>
      <c r="E122" s="15">
        <f t="shared" si="10"/>
        <v>46.942</v>
      </c>
      <c r="F122" s="14"/>
      <c r="G122" s="15">
        <f t="shared" si="9"/>
        <v>0</v>
      </c>
      <c r="H122" s="14"/>
      <c r="I122" s="15">
        <f t="shared" si="11"/>
        <v>94</v>
      </c>
      <c r="J122" s="14"/>
      <c r="K122" s="13"/>
    </row>
    <row r="123" spans="1:11" ht="12.6" customHeight="1" x14ac:dyDescent="0.2">
      <c r="A123" s="13"/>
      <c r="B123" s="17"/>
      <c r="C123" s="15"/>
      <c r="D123" s="14"/>
      <c r="E123" s="15">
        <f t="shared" si="10"/>
        <v>46.942</v>
      </c>
      <c r="F123" s="14"/>
      <c r="G123" s="15">
        <f t="shared" si="9"/>
        <v>0</v>
      </c>
      <c r="H123" s="14"/>
      <c r="I123" s="15">
        <f t="shared" si="11"/>
        <v>94</v>
      </c>
      <c r="J123" s="14"/>
      <c r="K123" s="13"/>
    </row>
    <row r="124" spans="1:11" ht="12.6" customHeight="1" x14ac:dyDescent="0.2">
      <c r="A124" s="13"/>
      <c r="B124" s="19"/>
      <c r="C124" s="15"/>
      <c r="D124" s="14"/>
      <c r="E124" s="15">
        <f t="shared" si="10"/>
        <v>46.942</v>
      </c>
      <c r="F124" s="14"/>
      <c r="G124" s="15">
        <f t="shared" si="9"/>
        <v>0</v>
      </c>
      <c r="H124" s="14"/>
      <c r="I124" s="15">
        <f t="shared" si="11"/>
        <v>94</v>
      </c>
      <c r="J124" s="14"/>
      <c r="K124" s="16"/>
    </row>
    <row r="125" spans="1:11" ht="12.6" customHeight="1" x14ac:dyDescent="0.2">
      <c r="A125" s="13"/>
      <c r="B125" s="17"/>
      <c r="C125" s="15"/>
      <c r="D125" s="14"/>
      <c r="E125" s="15">
        <f t="shared" si="10"/>
        <v>46.942</v>
      </c>
      <c r="F125" s="14"/>
      <c r="G125" s="15">
        <f t="shared" si="9"/>
        <v>0</v>
      </c>
      <c r="H125" s="14"/>
      <c r="I125" s="15">
        <f t="shared" si="11"/>
        <v>94</v>
      </c>
      <c r="J125" s="14"/>
      <c r="K125" s="16"/>
    </row>
    <row r="126" spans="1:11" ht="12.6" customHeight="1" x14ac:dyDescent="0.2">
      <c r="A126" s="13"/>
      <c r="B126" s="17"/>
      <c r="C126" s="15"/>
      <c r="D126" s="14"/>
      <c r="E126" s="15">
        <f t="shared" si="10"/>
        <v>46.942</v>
      </c>
      <c r="F126" s="14"/>
      <c r="G126" s="15">
        <f t="shared" si="9"/>
        <v>0</v>
      </c>
      <c r="H126" s="14"/>
      <c r="I126" s="15">
        <f t="shared" si="11"/>
        <v>94</v>
      </c>
      <c r="J126" s="14"/>
      <c r="K126" s="16"/>
    </row>
    <row r="127" spans="1:11" ht="12.6" customHeight="1" x14ac:dyDescent="0.2">
      <c r="A127" s="13"/>
      <c r="B127" s="19"/>
      <c r="C127" s="15"/>
      <c r="D127" s="14"/>
      <c r="E127" s="15">
        <f t="shared" si="10"/>
        <v>46.942</v>
      </c>
      <c r="F127" s="14"/>
      <c r="G127" s="15">
        <f t="shared" si="9"/>
        <v>0</v>
      </c>
      <c r="H127" s="14"/>
      <c r="I127" s="15">
        <f t="shared" si="11"/>
        <v>94</v>
      </c>
      <c r="J127" s="14"/>
      <c r="K127" s="13"/>
    </row>
    <row r="128" spans="1:11" ht="12.6" customHeight="1" x14ac:dyDescent="0.2">
      <c r="A128" s="13"/>
      <c r="B128" s="17"/>
      <c r="C128" s="15"/>
      <c r="D128" s="14"/>
      <c r="E128" s="15">
        <f t="shared" si="10"/>
        <v>46.942</v>
      </c>
      <c r="F128" s="14"/>
      <c r="G128" s="15">
        <f t="shared" si="9"/>
        <v>0</v>
      </c>
      <c r="H128" s="14"/>
      <c r="I128" s="15">
        <f t="shared" si="11"/>
        <v>94</v>
      </c>
      <c r="J128" s="14"/>
      <c r="K128" s="13"/>
    </row>
    <row r="129" spans="1:11" ht="12.6" customHeight="1" x14ac:dyDescent="0.2">
      <c r="A129" s="13"/>
      <c r="B129" s="19"/>
      <c r="C129" s="15"/>
      <c r="D129" s="14"/>
      <c r="E129" s="15">
        <f t="shared" si="10"/>
        <v>46.942</v>
      </c>
      <c r="F129" s="14"/>
      <c r="G129" s="15">
        <f t="shared" si="9"/>
        <v>0</v>
      </c>
      <c r="H129" s="14"/>
      <c r="I129" s="15">
        <f t="shared" si="11"/>
        <v>94</v>
      </c>
      <c r="J129" s="14"/>
      <c r="K129" s="13"/>
    </row>
    <row r="130" spans="1:11" ht="12.6" customHeight="1" x14ac:dyDescent="0.2">
      <c r="A130" s="13"/>
      <c r="B130" s="19"/>
      <c r="C130" s="15"/>
      <c r="D130" s="14"/>
      <c r="E130" s="15">
        <f t="shared" si="10"/>
        <v>46.942</v>
      </c>
      <c r="F130" s="14"/>
      <c r="G130" s="15">
        <f t="shared" si="9"/>
        <v>0</v>
      </c>
      <c r="H130" s="14"/>
      <c r="I130" s="15">
        <f t="shared" si="11"/>
        <v>94</v>
      </c>
      <c r="J130" s="14"/>
      <c r="K130" s="13"/>
    </row>
    <row r="131" spans="1:11" ht="12.6" customHeight="1" x14ac:dyDescent="0.2">
      <c r="A131" s="13"/>
      <c r="B131" s="19"/>
      <c r="C131" s="15"/>
      <c r="D131" s="14"/>
      <c r="E131" s="15">
        <f t="shared" si="10"/>
        <v>46.942</v>
      </c>
      <c r="F131" s="14"/>
      <c r="G131" s="15">
        <f t="shared" si="9"/>
        <v>0</v>
      </c>
      <c r="H131" s="14"/>
      <c r="I131" s="15">
        <f t="shared" si="11"/>
        <v>94</v>
      </c>
      <c r="J131" s="14"/>
      <c r="K131" s="33"/>
    </row>
    <row r="132" spans="1:11" ht="12.6" customHeight="1" x14ac:dyDescent="0.2">
      <c r="A132" s="13"/>
      <c r="B132" s="19"/>
      <c r="C132" s="15"/>
      <c r="D132" s="14"/>
      <c r="E132" s="15">
        <f t="shared" si="10"/>
        <v>46.942</v>
      </c>
      <c r="F132" s="14"/>
      <c r="G132" s="15">
        <f t="shared" si="9"/>
        <v>0</v>
      </c>
      <c r="H132" s="14"/>
      <c r="I132" s="15">
        <f t="shared" si="11"/>
        <v>94</v>
      </c>
      <c r="J132" s="14"/>
      <c r="K132" s="13"/>
    </row>
    <row r="133" spans="1:11" ht="12.6" customHeight="1" x14ac:dyDescent="0.2">
      <c r="A133" s="13"/>
      <c r="B133" s="19"/>
      <c r="C133" s="15"/>
      <c r="D133" s="14"/>
      <c r="E133" s="15">
        <f t="shared" si="10"/>
        <v>46.942</v>
      </c>
      <c r="F133" s="14"/>
      <c r="G133" s="15">
        <f t="shared" si="9"/>
        <v>0</v>
      </c>
      <c r="H133" s="14"/>
      <c r="I133" s="15">
        <f t="shared" si="11"/>
        <v>94</v>
      </c>
      <c r="J133" s="14"/>
      <c r="K133" s="16"/>
    </row>
    <row r="134" spans="1:11" ht="12.6" customHeight="1" x14ac:dyDescent="0.2">
      <c r="A134" s="13"/>
      <c r="B134" s="19"/>
      <c r="C134" s="15"/>
      <c r="D134" s="14"/>
      <c r="E134" s="15">
        <f t="shared" si="10"/>
        <v>46.942</v>
      </c>
      <c r="F134" s="14"/>
      <c r="G134" s="15">
        <f t="shared" si="9"/>
        <v>0</v>
      </c>
      <c r="H134" s="14"/>
      <c r="I134" s="15">
        <f t="shared" si="11"/>
        <v>94</v>
      </c>
      <c r="J134" s="14"/>
      <c r="K134" s="13"/>
    </row>
    <row r="135" spans="1:11" ht="12.6" customHeight="1" x14ac:dyDescent="0.2">
      <c r="A135" s="13"/>
      <c r="B135" s="19"/>
      <c r="C135" s="15"/>
      <c r="D135" s="14"/>
      <c r="E135" s="15">
        <f t="shared" si="10"/>
        <v>46.942</v>
      </c>
      <c r="F135" s="14"/>
      <c r="G135" s="15">
        <f t="shared" si="9"/>
        <v>0</v>
      </c>
      <c r="H135" s="14"/>
      <c r="I135" s="15">
        <f t="shared" si="11"/>
        <v>94</v>
      </c>
      <c r="J135" s="14"/>
      <c r="K135" s="13"/>
    </row>
    <row r="136" spans="1:11" ht="12.6" customHeight="1" x14ac:dyDescent="0.2">
      <c r="A136" s="13"/>
      <c r="B136" s="19"/>
      <c r="C136" s="15"/>
      <c r="D136" s="14"/>
      <c r="E136" s="15">
        <f t="shared" si="10"/>
        <v>46.942</v>
      </c>
      <c r="F136" s="14"/>
      <c r="G136" s="15">
        <f t="shared" si="9"/>
        <v>0</v>
      </c>
      <c r="H136" s="14"/>
      <c r="I136" s="15">
        <f t="shared" si="11"/>
        <v>94</v>
      </c>
      <c r="J136" s="14"/>
      <c r="K136" s="13"/>
    </row>
    <row r="137" spans="1:11" ht="12.6" customHeight="1" x14ac:dyDescent="0.2">
      <c r="A137" s="13"/>
      <c r="B137" s="19"/>
      <c r="C137" s="15"/>
      <c r="D137" s="14"/>
      <c r="E137" s="15">
        <f t="shared" si="10"/>
        <v>46.942</v>
      </c>
      <c r="F137" s="14"/>
      <c r="G137" s="15">
        <f t="shared" si="9"/>
        <v>0</v>
      </c>
      <c r="H137" s="14"/>
      <c r="I137" s="15">
        <f t="shared" si="11"/>
        <v>94</v>
      </c>
      <c r="J137" s="14"/>
      <c r="K137" s="13"/>
    </row>
    <row r="138" spans="1:11" ht="12.6" customHeight="1" x14ac:dyDescent="0.2">
      <c r="A138" s="13"/>
      <c r="B138" s="19"/>
      <c r="C138" s="15"/>
      <c r="D138" s="14"/>
      <c r="E138" s="15">
        <f t="shared" si="10"/>
        <v>46.942</v>
      </c>
      <c r="F138" s="14"/>
      <c r="G138" s="15">
        <f t="shared" si="9"/>
        <v>0</v>
      </c>
      <c r="H138" s="14"/>
      <c r="I138" s="15">
        <f t="shared" si="11"/>
        <v>94</v>
      </c>
      <c r="J138" s="14"/>
      <c r="K138" s="19"/>
    </row>
    <row r="139" spans="1:11" ht="12.6" customHeight="1" x14ac:dyDescent="0.2">
      <c r="A139" s="13"/>
      <c r="B139" s="19"/>
      <c r="C139" s="15"/>
      <c r="D139" s="14"/>
      <c r="E139" s="15">
        <f t="shared" si="10"/>
        <v>46.942</v>
      </c>
      <c r="F139" s="14"/>
      <c r="G139" s="15">
        <f t="shared" si="9"/>
        <v>0</v>
      </c>
      <c r="H139" s="14"/>
      <c r="I139" s="15">
        <f t="shared" si="11"/>
        <v>94</v>
      </c>
      <c r="J139" s="14"/>
      <c r="K139" s="13"/>
    </row>
    <row r="140" spans="1:11" ht="12.6" customHeight="1" x14ac:dyDescent="0.2">
      <c r="A140" s="13"/>
      <c r="B140" s="19"/>
      <c r="C140" s="15"/>
      <c r="D140" s="14"/>
      <c r="E140" s="15">
        <f t="shared" si="10"/>
        <v>46.942</v>
      </c>
      <c r="F140" s="14"/>
      <c r="G140" s="15">
        <f t="shared" si="9"/>
        <v>0</v>
      </c>
      <c r="H140" s="14"/>
      <c r="I140" s="15">
        <f t="shared" si="11"/>
        <v>94</v>
      </c>
      <c r="J140" s="14"/>
      <c r="K140" s="13"/>
    </row>
    <row r="141" spans="1:11" ht="12.6" customHeight="1" x14ac:dyDescent="0.2">
      <c r="A141" s="13"/>
      <c r="B141" s="19"/>
      <c r="C141" s="15"/>
      <c r="D141" s="14"/>
      <c r="E141" s="15">
        <f t="shared" si="10"/>
        <v>46.942</v>
      </c>
      <c r="F141" s="14"/>
      <c r="G141" s="15">
        <f t="shared" si="9"/>
        <v>0</v>
      </c>
      <c r="H141" s="14"/>
      <c r="I141" s="15">
        <f t="shared" si="11"/>
        <v>94</v>
      </c>
      <c r="J141" s="14"/>
      <c r="K141" s="13"/>
    </row>
    <row r="142" spans="1:11" ht="12.6" customHeight="1" x14ac:dyDescent="0.2">
      <c r="A142" s="13"/>
      <c r="B142" s="19"/>
      <c r="C142" s="15"/>
      <c r="D142" s="14"/>
      <c r="E142" s="15">
        <f t="shared" si="10"/>
        <v>46.942</v>
      </c>
      <c r="F142" s="14"/>
      <c r="G142" s="15">
        <f t="shared" si="9"/>
        <v>0</v>
      </c>
      <c r="H142" s="14"/>
      <c r="I142" s="15">
        <f t="shared" si="11"/>
        <v>94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0</v>
      </c>
      <c r="D143" s="15">
        <f>SUM(D117:D142)</f>
        <v>0</v>
      </c>
      <c r="E143" s="15"/>
      <c r="F143" s="14"/>
      <c r="G143" s="15">
        <f>SUM(G117:G142)</f>
        <v>0</v>
      </c>
      <c r="H143" s="15">
        <f>SUM(H117:H142)</f>
        <v>0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GOZAR, RICHILIEU A.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JANUARY 19, 1987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/>
      <c r="C156" s="15"/>
      <c r="D156" s="14"/>
      <c r="E156" s="15">
        <f>E142+C156-D156</f>
        <v>46.942</v>
      </c>
      <c r="F156" s="14"/>
      <c r="G156" s="15">
        <f>C156</f>
        <v>0</v>
      </c>
      <c r="H156" s="14"/>
      <c r="I156" s="15">
        <f>I142+G156-H156</f>
        <v>94</v>
      </c>
      <c r="J156" s="14"/>
      <c r="K156" s="13"/>
    </row>
    <row r="157" spans="1:11" ht="12.6" customHeight="1" x14ac:dyDescent="0.2">
      <c r="A157" s="13"/>
      <c r="B157" s="19"/>
      <c r="C157" s="15"/>
      <c r="D157" s="14"/>
      <c r="E157" s="15">
        <f>E156+C157-D157</f>
        <v>46.942</v>
      </c>
      <c r="F157" s="14"/>
      <c r="G157" s="15">
        <f t="shared" ref="G157:G181" si="12">C157</f>
        <v>0</v>
      </c>
      <c r="H157" s="14"/>
      <c r="I157" s="15">
        <f>I156+G157-H157</f>
        <v>94</v>
      </c>
      <c r="J157" s="14"/>
      <c r="K157" s="13"/>
    </row>
    <row r="158" spans="1:11" ht="12.6" customHeight="1" x14ac:dyDescent="0.2">
      <c r="A158" s="13"/>
      <c r="B158" s="19"/>
      <c r="C158" s="15"/>
      <c r="D158" s="14"/>
      <c r="E158" s="15">
        <f t="shared" ref="E158:E181" si="13">E157+C158-D158</f>
        <v>46.942</v>
      </c>
      <c r="F158" s="22"/>
      <c r="G158" s="15">
        <f t="shared" si="12"/>
        <v>0</v>
      </c>
      <c r="H158" s="34"/>
      <c r="I158" s="15">
        <f t="shared" ref="I158:I181" si="14">I157+G158-H158</f>
        <v>94</v>
      </c>
      <c r="J158" s="14"/>
      <c r="K158" s="13"/>
    </row>
    <row r="159" spans="1:11" ht="12.6" customHeight="1" x14ac:dyDescent="0.2">
      <c r="A159" s="13"/>
      <c r="B159" s="19"/>
      <c r="C159" s="15"/>
      <c r="D159" s="14"/>
      <c r="E159" s="15">
        <f t="shared" si="13"/>
        <v>46.942</v>
      </c>
      <c r="F159" s="14"/>
      <c r="G159" s="15">
        <f t="shared" si="12"/>
        <v>0</v>
      </c>
      <c r="H159" s="34"/>
      <c r="I159" s="15">
        <f t="shared" si="14"/>
        <v>94</v>
      </c>
      <c r="J159" s="14"/>
      <c r="K159" s="13"/>
    </row>
    <row r="160" spans="1:11" ht="12.6" customHeight="1" x14ac:dyDescent="0.2">
      <c r="A160" s="13"/>
      <c r="B160" s="19"/>
      <c r="C160" s="15"/>
      <c r="D160" s="14"/>
      <c r="E160" s="15">
        <f t="shared" si="13"/>
        <v>46.942</v>
      </c>
      <c r="F160" s="14"/>
      <c r="G160" s="15">
        <f t="shared" si="12"/>
        <v>0</v>
      </c>
      <c r="H160" s="34"/>
      <c r="I160" s="15">
        <f t="shared" si="14"/>
        <v>94</v>
      </c>
      <c r="J160" s="14"/>
      <c r="K160" s="16"/>
    </row>
    <row r="161" spans="1:11" ht="12.6" customHeight="1" x14ac:dyDescent="0.2">
      <c r="A161" s="13"/>
      <c r="B161" s="19"/>
      <c r="C161" s="15"/>
      <c r="D161" s="14"/>
      <c r="E161" s="15">
        <f t="shared" si="13"/>
        <v>46.942</v>
      </c>
      <c r="F161" s="14"/>
      <c r="G161" s="15">
        <f t="shared" si="12"/>
        <v>0</v>
      </c>
      <c r="H161" s="34"/>
      <c r="I161" s="15">
        <f t="shared" si="14"/>
        <v>94</v>
      </c>
      <c r="J161" s="14"/>
      <c r="K161" s="13"/>
    </row>
    <row r="162" spans="1:11" ht="12.6" customHeight="1" x14ac:dyDescent="0.2">
      <c r="A162" s="13"/>
      <c r="B162" s="19"/>
      <c r="C162" s="15"/>
      <c r="D162" s="14"/>
      <c r="E162" s="15">
        <f t="shared" si="13"/>
        <v>46.942</v>
      </c>
      <c r="F162" s="14"/>
      <c r="G162" s="15">
        <f t="shared" si="12"/>
        <v>0</v>
      </c>
      <c r="H162" s="34"/>
      <c r="I162" s="15">
        <f t="shared" si="14"/>
        <v>94</v>
      </c>
      <c r="J162" s="14"/>
      <c r="K162" s="16"/>
    </row>
    <row r="163" spans="1:11" ht="12.6" customHeight="1" x14ac:dyDescent="0.2">
      <c r="A163" s="13"/>
      <c r="B163" s="19"/>
      <c r="C163" s="15"/>
      <c r="D163" s="22"/>
      <c r="E163" s="15">
        <f t="shared" si="13"/>
        <v>46.942</v>
      </c>
      <c r="F163" s="22"/>
      <c r="G163" s="15">
        <f t="shared" si="12"/>
        <v>0</v>
      </c>
      <c r="H163" s="14"/>
      <c r="I163" s="15">
        <f t="shared" si="14"/>
        <v>94</v>
      </c>
      <c r="J163" s="14"/>
      <c r="K163" s="13"/>
    </row>
    <row r="164" spans="1:11" ht="12.6" customHeight="1" x14ac:dyDescent="0.2">
      <c r="A164" s="13"/>
      <c r="B164" s="19"/>
      <c r="C164" s="15"/>
      <c r="D164" s="22"/>
      <c r="E164" s="15">
        <f t="shared" si="13"/>
        <v>46.942</v>
      </c>
      <c r="F164" s="14"/>
      <c r="G164" s="15">
        <f t="shared" si="12"/>
        <v>0</v>
      </c>
      <c r="H164" s="34"/>
      <c r="I164" s="15">
        <f t="shared" si="14"/>
        <v>94</v>
      </c>
      <c r="J164" s="14"/>
      <c r="K164" s="13"/>
    </row>
    <row r="165" spans="1:11" ht="12.6" customHeight="1" x14ac:dyDescent="0.2">
      <c r="A165" s="13"/>
      <c r="B165" s="19"/>
      <c r="C165" s="15"/>
      <c r="D165" s="14"/>
      <c r="E165" s="15">
        <f t="shared" si="13"/>
        <v>46.942</v>
      </c>
      <c r="F165" s="14"/>
      <c r="G165" s="15">
        <f t="shared" si="12"/>
        <v>0</v>
      </c>
      <c r="H165" s="34"/>
      <c r="I165" s="15">
        <f t="shared" si="14"/>
        <v>94</v>
      </c>
      <c r="J165" s="14"/>
      <c r="K165" s="13"/>
    </row>
    <row r="166" spans="1:11" ht="12.6" customHeight="1" x14ac:dyDescent="0.2">
      <c r="A166" s="13"/>
      <c r="B166" s="19"/>
      <c r="C166" s="15"/>
      <c r="D166" s="14"/>
      <c r="E166" s="15">
        <f t="shared" si="13"/>
        <v>46.942</v>
      </c>
      <c r="F166" s="22"/>
      <c r="G166" s="15">
        <f t="shared" si="12"/>
        <v>0</v>
      </c>
      <c r="H166" s="34"/>
      <c r="I166" s="15">
        <f t="shared" si="14"/>
        <v>94</v>
      </c>
      <c r="J166" s="14"/>
      <c r="K166" s="13"/>
    </row>
    <row r="167" spans="1:11" ht="12.6" customHeight="1" x14ac:dyDescent="0.2">
      <c r="A167" s="13"/>
      <c r="B167" s="19"/>
      <c r="C167" s="15"/>
      <c r="D167" s="14"/>
      <c r="E167" s="15">
        <f t="shared" si="13"/>
        <v>46.942</v>
      </c>
      <c r="F167" s="22"/>
      <c r="G167" s="15">
        <f t="shared" si="12"/>
        <v>0</v>
      </c>
      <c r="H167" s="35"/>
      <c r="I167" s="15">
        <f t="shared" si="14"/>
        <v>94</v>
      </c>
      <c r="J167" s="14"/>
      <c r="K167" s="16"/>
    </row>
    <row r="168" spans="1:11" ht="12.6" customHeight="1" x14ac:dyDescent="0.2">
      <c r="A168" s="13"/>
      <c r="B168" s="19"/>
      <c r="C168" s="15"/>
      <c r="D168" s="14"/>
      <c r="E168" s="15">
        <f t="shared" si="13"/>
        <v>46.942</v>
      </c>
      <c r="F168" s="14"/>
      <c r="G168" s="15">
        <f t="shared" si="12"/>
        <v>0</v>
      </c>
      <c r="H168" s="32"/>
      <c r="I168" s="15">
        <f t="shared" si="14"/>
        <v>94</v>
      </c>
      <c r="J168" s="14"/>
      <c r="K168" s="13"/>
    </row>
    <row r="169" spans="1:11" ht="12.6" customHeight="1" x14ac:dyDescent="0.2">
      <c r="A169" s="13"/>
      <c r="B169" s="19"/>
      <c r="C169" s="15"/>
      <c r="D169" s="14"/>
      <c r="E169" s="15">
        <f t="shared" si="13"/>
        <v>46.942</v>
      </c>
      <c r="F169" s="22"/>
      <c r="G169" s="15">
        <f t="shared" si="12"/>
        <v>0</v>
      </c>
      <c r="H169" s="34"/>
      <c r="I169" s="15">
        <f t="shared" si="14"/>
        <v>94</v>
      </c>
      <c r="J169" s="14"/>
      <c r="K169" s="13"/>
    </row>
    <row r="170" spans="1:11" ht="12.6" customHeight="1" x14ac:dyDescent="0.2">
      <c r="A170" s="13"/>
      <c r="B170" s="19"/>
      <c r="C170" s="15"/>
      <c r="D170" s="14"/>
      <c r="E170" s="15">
        <f t="shared" si="13"/>
        <v>46.942</v>
      </c>
      <c r="F170" s="14"/>
      <c r="G170" s="15">
        <f t="shared" si="12"/>
        <v>0</v>
      </c>
      <c r="H170" s="14"/>
      <c r="I170" s="15">
        <f t="shared" si="14"/>
        <v>94</v>
      </c>
      <c r="J170" s="14"/>
      <c r="K170" s="13"/>
    </row>
    <row r="171" spans="1:11" ht="12.6" customHeight="1" x14ac:dyDescent="0.2">
      <c r="A171" s="13"/>
      <c r="B171" s="19"/>
      <c r="C171" s="15"/>
      <c r="D171" s="14"/>
      <c r="E171" s="15">
        <f t="shared" si="13"/>
        <v>46.942</v>
      </c>
      <c r="F171" s="14"/>
      <c r="G171" s="15">
        <f t="shared" si="12"/>
        <v>0</v>
      </c>
      <c r="H171" s="34"/>
      <c r="I171" s="15">
        <f t="shared" si="14"/>
        <v>94</v>
      </c>
      <c r="J171" s="14"/>
      <c r="K171" s="16"/>
    </row>
    <row r="172" spans="1:11" ht="12.6" customHeight="1" x14ac:dyDescent="0.2">
      <c r="A172" s="13"/>
      <c r="B172" s="19"/>
      <c r="C172" s="15"/>
      <c r="D172" s="14"/>
      <c r="E172" s="15">
        <f t="shared" si="13"/>
        <v>46.942</v>
      </c>
      <c r="F172" s="14"/>
      <c r="G172" s="15">
        <f t="shared" si="12"/>
        <v>0</v>
      </c>
      <c r="H172" s="34"/>
      <c r="I172" s="15">
        <f t="shared" si="14"/>
        <v>94</v>
      </c>
      <c r="J172" s="14"/>
      <c r="K172" s="13"/>
    </row>
    <row r="173" spans="1:11" ht="12.6" customHeight="1" x14ac:dyDescent="0.2">
      <c r="A173" s="13"/>
      <c r="B173" s="19"/>
      <c r="C173" s="15"/>
      <c r="D173" s="14"/>
      <c r="E173" s="15">
        <f t="shared" si="13"/>
        <v>46.942</v>
      </c>
      <c r="F173" s="14"/>
      <c r="G173" s="15">
        <f t="shared" si="12"/>
        <v>0</v>
      </c>
      <c r="H173" s="35"/>
      <c r="I173" s="15">
        <f t="shared" si="14"/>
        <v>94</v>
      </c>
      <c r="J173" s="14"/>
      <c r="K173" s="13"/>
    </row>
    <row r="174" spans="1:11" ht="12.6" customHeight="1" x14ac:dyDescent="0.2">
      <c r="A174" s="13"/>
      <c r="B174" s="19"/>
      <c r="C174" s="15"/>
      <c r="D174" s="14"/>
      <c r="E174" s="15">
        <f t="shared" si="13"/>
        <v>46.942</v>
      </c>
      <c r="F174" s="22"/>
      <c r="G174" s="15">
        <f t="shared" si="12"/>
        <v>0</v>
      </c>
      <c r="H174" s="14"/>
      <c r="I174" s="15">
        <f t="shared" si="14"/>
        <v>94</v>
      </c>
      <c r="J174" s="14"/>
      <c r="K174" s="13"/>
    </row>
    <row r="175" spans="1:11" ht="12.6" customHeight="1" x14ac:dyDescent="0.2">
      <c r="A175" s="13"/>
      <c r="B175" s="19"/>
      <c r="C175" s="15"/>
      <c r="D175" s="14"/>
      <c r="E175" s="15">
        <f t="shared" si="13"/>
        <v>46.942</v>
      </c>
      <c r="F175" s="22"/>
      <c r="G175" s="15">
        <f t="shared" si="12"/>
        <v>0</v>
      </c>
      <c r="H175" s="34"/>
      <c r="I175" s="15">
        <f t="shared" si="14"/>
        <v>94</v>
      </c>
      <c r="J175" s="14"/>
      <c r="K175" s="13"/>
    </row>
    <row r="176" spans="1:11" ht="12.6" customHeight="1" x14ac:dyDescent="0.2">
      <c r="A176" s="13"/>
      <c r="B176" s="19"/>
      <c r="C176" s="15"/>
      <c r="D176" s="14"/>
      <c r="E176" s="15">
        <f t="shared" si="13"/>
        <v>46.942</v>
      </c>
      <c r="F176" s="14"/>
      <c r="G176" s="15">
        <f t="shared" si="12"/>
        <v>0</v>
      </c>
      <c r="H176" s="32"/>
      <c r="I176" s="15">
        <f t="shared" si="14"/>
        <v>94</v>
      </c>
      <c r="J176" s="14"/>
      <c r="K176" s="16"/>
    </row>
    <row r="177" spans="1:11" ht="12.6" customHeight="1" x14ac:dyDescent="0.2">
      <c r="A177" s="13"/>
      <c r="B177" s="19"/>
      <c r="C177" s="15"/>
      <c r="D177" s="14"/>
      <c r="E177" s="15">
        <f t="shared" si="13"/>
        <v>46.942</v>
      </c>
      <c r="F177" s="14"/>
      <c r="G177" s="15">
        <f t="shared" si="12"/>
        <v>0</v>
      </c>
      <c r="H177" s="34"/>
      <c r="I177" s="15">
        <f t="shared" si="14"/>
        <v>94</v>
      </c>
      <c r="J177" s="14"/>
      <c r="K177" s="16"/>
    </row>
    <row r="178" spans="1:11" ht="12.6" customHeight="1" x14ac:dyDescent="0.2">
      <c r="A178" s="13"/>
      <c r="B178" s="19"/>
      <c r="C178" s="15"/>
      <c r="D178" s="14"/>
      <c r="E178" s="15">
        <f t="shared" si="13"/>
        <v>46.942</v>
      </c>
      <c r="F178" s="14"/>
      <c r="G178" s="15">
        <f t="shared" si="12"/>
        <v>0</v>
      </c>
      <c r="H178" s="34"/>
      <c r="I178" s="15">
        <f t="shared" si="14"/>
        <v>94</v>
      </c>
      <c r="J178" s="14"/>
      <c r="K178" s="13"/>
    </row>
    <row r="179" spans="1:11" ht="12.6" customHeight="1" x14ac:dyDescent="0.2">
      <c r="A179" s="13"/>
      <c r="B179" s="19"/>
      <c r="C179" s="15"/>
      <c r="D179" s="14"/>
      <c r="E179" s="15">
        <f t="shared" si="13"/>
        <v>46.942</v>
      </c>
      <c r="F179" s="14"/>
      <c r="G179" s="15">
        <f t="shared" si="12"/>
        <v>0</v>
      </c>
      <c r="H179" s="34"/>
      <c r="I179" s="15">
        <f t="shared" si="14"/>
        <v>94</v>
      </c>
      <c r="J179" s="14"/>
      <c r="K179" s="16"/>
    </row>
    <row r="180" spans="1:11" ht="12.6" customHeight="1" x14ac:dyDescent="0.2">
      <c r="A180" s="13"/>
      <c r="B180" s="19"/>
      <c r="C180" s="15"/>
      <c r="D180" s="14"/>
      <c r="E180" s="15">
        <f t="shared" si="13"/>
        <v>46.942</v>
      </c>
      <c r="F180" s="14"/>
      <c r="G180" s="15">
        <f t="shared" si="12"/>
        <v>0</v>
      </c>
      <c r="H180" s="34"/>
      <c r="I180" s="15">
        <f t="shared" si="14"/>
        <v>94</v>
      </c>
      <c r="J180" s="14"/>
      <c r="K180" s="13"/>
    </row>
    <row r="181" spans="1:11" ht="12.6" customHeight="1" x14ac:dyDescent="0.2">
      <c r="A181" s="13"/>
      <c r="B181" s="19"/>
      <c r="C181" s="15"/>
      <c r="D181" s="14"/>
      <c r="E181" s="15">
        <f t="shared" si="13"/>
        <v>46.942</v>
      </c>
      <c r="F181" s="14"/>
      <c r="G181" s="15">
        <f t="shared" si="12"/>
        <v>0</v>
      </c>
      <c r="H181" s="34"/>
      <c r="I181" s="15">
        <f t="shared" si="14"/>
        <v>94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0</v>
      </c>
      <c r="D182" s="15">
        <f>SUM(D156:D181)</f>
        <v>0</v>
      </c>
      <c r="E182" s="36"/>
      <c r="F182" s="37"/>
      <c r="G182" s="15">
        <f>SUM(G156:G181)</f>
        <v>0</v>
      </c>
      <c r="H182" s="15">
        <f>SUM(H156:H181)</f>
        <v>0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GOZAR, RICHILIEU A.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JANUARY 19, 1987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/>
      <c r="C191" s="15"/>
      <c r="D191" s="14"/>
      <c r="E191" s="15">
        <f>E181+C191-D191</f>
        <v>46.942</v>
      </c>
      <c r="F191" s="14"/>
      <c r="G191" s="15">
        <f>C191</f>
        <v>0</v>
      </c>
      <c r="H191" s="34"/>
      <c r="I191" s="15">
        <f>I181+G191-H191</f>
        <v>94</v>
      </c>
      <c r="J191" s="14"/>
      <c r="K191" s="13"/>
    </row>
    <row r="192" spans="1:11" ht="12.6" customHeight="1" x14ac:dyDescent="0.2">
      <c r="A192" s="13"/>
      <c r="B192" s="19"/>
      <c r="C192" s="15"/>
      <c r="D192" s="14"/>
      <c r="E192" s="15">
        <f>E191+C192-D192</f>
        <v>46.942</v>
      </c>
      <c r="F192" s="14"/>
      <c r="G192" s="15">
        <f t="shared" ref="G192:G216" si="15">C192</f>
        <v>0</v>
      </c>
      <c r="H192" s="34"/>
      <c r="I192" s="15">
        <f>I191+G192-H192</f>
        <v>94</v>
      </c>
      <c r="J192" s="14"/>
      <c r="K192" s="13"/>
    </row>
    <row r="193" spans="1:11" ht="12.6" customHeight="1" x14ac:dyDescent="0.2">
      <c r="A193" s="13"/>
      <c r="B193" s="19"/>
      <c r="C193" s="15"/>
      <c r="D193" s="14"/>
      <c r="E193" s="15">
        <f t="shared" ref="E193:E216" si="16">E192+C193-D193</f>
        <v>46.942</v>
      </c>
      <c r="F193" s="22"/>
      <c r="G193" s="15">
        <f t="shared" si="15"/>
        <v>0</v>
      </c>
      <c r="H193" s="34"/>
      <c r="I193" s="15">
        <f t="shared" ref="I193:I216" si="17">I192+G193-H193</f>
        <v>94</v>
      </c>
      <c r="J193" s="14"/>
      <c r="K193" s="38"/>
    </row>
    <row r="194" spans="1:11" ht="12.6" customHeight="1" x14ac:dyDescent="0.2">
      <c r="A194" s="13"/>
      <c r="B194" s="19"/>
      <c r="C194" s="15"/>
      <c r="D194" s="14"/>
      <c r="E194" s="15">
        <f t="shared" si="16"/>
        <v>46.942</v>
      </c>
      <c r="F194" s="14"/>
      <c r="G194" s="15">
        <f t="shared" si="15"/>
        <v>0</v>
      </c>
      <c r="H194" s="34"/>
      <c r="I194" s="15">
        <f t="shared" si="17"/>
        <v>94</v>
      </c>
      <c r="J194" s="14"/>
      <c r="K194" s="13"/>
    </row>
    <row r="195" spans="1:11" ht="12.6" customHeight="1" x14ac:dyDescent="0.2">
      <c r="A195" s="13"/>
      <c r="B195" s="19"/>
      <c r="C195" s="15"/>
      <c r="D195" s="14"/>
      <c r="E195" s="15">
        <f t="shared" si="16"/>
        <v>46.942</v>
      </c>
      <c r="F195" s="14"/>
      <c r="G195" s="15">
        <f t="shared" si="15"/>
        <v>0</v>
      </c>
      <c r="H195" s="34"/>
      <c r="I195" s="15">
        <f t="shared" si="17"/>
        <v>94</v>
      </c>
      <c r="J195" s="14"/>
      <c r="K195" s="13"/>
    </row>
    <row r="196" spans="1:11" ht="12.6" customHeight="1" x14ac:dyDescent="0.2">
      <c r="A196" s="13"/>
      <c r="B196" s="19"/>
      <c r="C196" s="15"/>
      <c r="D196" s="14"/>
      <c r="E196" s="15">
        <f t="shared" si="16"/>
        <v>46.942</v>
      </c>
      <c r="F196" s="14"/>
      <c r="G196" s="15">
        <f t="shared" si="15"/>
        <v>0</v>
      </c>
      <c r="H196" s="34"/>
      <c r="I196" s="15">
        <f t="shared" si="17"/>
        <v>94</v>
      </c>
      <c r="J196" s="14"/>
      <c r="K196" s="13"/>
    </row>
    <row r="197" spans="1:11" ht="12.6" customHeight="1" x14ac:dyDescent="0.2">
      <c r="A197" s="13"/>
      <c r="B197" s="19"/>
      <c r="C197" s="15"/>
      <c r="D197" s="14"/>
      <c r="E197" s="15">
        <f t="shared" si="16"/>
        <v>46.942</v>
      </c>
      <c r="F197" s="14"/>
      <c r="G197" s="15">
        <f t="shared" si="15"/>
        <v>0</v>
      </c>
      <c r="H197" s="34"/>
      <c r="I197" s="15">
        <f t="shared" si="17"/>
        <v>94</v>
      </c>
      <c r="J197" s="14"/>
      <c r="K197" s="13"/>
    </row>
    <row r="198" spans="1:11" ht="12.6" customHeight="1" x14ac:dyDescent="0.2">
      <c r="A198" s="13"/>
      <c r="B198" s="19"/>
      <c r="C198" s="15"/>
      <c r="D198" s="22"/>
      <c r="E198" s="15">
        <f t="shared" si="16"/>
        <v>46.942</v>
      </c>
      <c r="F198" s="22"/>
      <c r="G198" s="15">
        <f t="shared" si="15"/>
        <v>0</v>
      </c>
      <c r="H198" s="34"/>
      <c r="I198" s="15">
        <f t="shared" si="17"/>
        <v>94</v>
      </c>
      <c r="J198" s="14"/>
      <c r="K198" s="16"/>
    </row>
    <row r="199" spans="1:11" ht="12.6" customHeight="1" x14ac:dyDescent="0.2">
      <c r="A199" s="13"/>
      <c r="B199" s="19"/>
      <c r="C199" s="15"/>
      <c r="D199" s="22"/>
      <c r="E199" s="15">
        <f t="shared" si="16"/>
        <v>46.942</v>
      </c>
      <c r="F199" s="14"/>
      <c r="G199" s="15">
        <f t="shared" si="15"/>
        <v>0</v>
      </c>
      <c r="H199" s="34"/>
      <c r="I199" s="15">
        <f t="shared" si="17"/>
        <v>94</v>
      </c>
      <c r="J199" s="14"/>
      <c r="K199" s="16"/>
    </row>
    <row r="200" spans="1:11" ht="12.6" customHeight="1" x14ac:dyDescent="0.2">
      <c r="A200" s="13"/>
      <c r="B200" s="19"/>
      <c r="C200" s="15"/>
      <c r="D200" s="14"/>
      <c r="E200" s="15">
        <f t="shared" si="16"/>
        <v>46.942</v>
      </c>
      <c r="F200" s="14"/>
      <c r="G200" s="15">
        <f t="shared" si="15"/>
        <v>0</v>
      </c>
      <c r="H200" s="34"/>
      <c r="I200" s="15">
        <f t="shared" si="17"/>
        <v>94</v>
      </c>
      <c r="J200" s="14"/>
      <c r="K200" s="13"/>
    </row>
    <row r="201" spans="1:11" ht="12.6" customHeight="1" x14ac:dyDescent="0.2">
      <c r="A201" s="13"/>
      <c r="B201" s="19"/>
      <c r="C201" s="15"/>
      <c r="D201" s="22"/>
      <c r="E201" s="15">
        <f t="shared" si="16"/>
        <v>46.942</v>
      </c>
      <c r="F201" s="22"/>
      <c r="G201" s="15">
        <f t="shared" si="15"/>
        <v>0</v>
      </c>
      <c r="H201" s="34"/>
      <c r="I201" s="15">
        <f t="shared" si="17"/>
        <v>94</v>
      </c>
      <c r="J201" s="14"/>
      <c r="K201" s="13"/>
    </row>
    <row r="202" spans="1:11" ht="12.6" customHeight="1" x14ac:dyDescent="0.2">
      <c r="A202" s="13"/>
      <c r="B202" s="19"/>
      <c r="C202" s="15"/>
      <c r="D202" s="14"/>
      <c r="E202" s="15">
        <f t="shared" si="16"/>
        <v>46.942</v>
      </c>
      <c r="F202" s="22"/>
      <c r="G202" s="15">
        <f t="shared" si="15"/>
        <v>0</v>
      </c>
      <c r="H202" s="34"/>
      <c r="I202" s="15">
        <f t="shared" si="17"/>
        <v>94</v>
      </c>
      <c r="J202" s="14"/>
      <c r="K202" s="13"/>
    </row>
    <row r="203" spans="1:11" ht="12.6" customHeight="1" x14ac:dyDescent="0.2">
      <c r="A203" s="13"/>
      <c r="B203" s="19"/>
      <c r="C203" s="15"/>
      <c r="D203" s="14"/>
      <c r="E203" s="15">
        <f t="shared" si="16"/>
        <v>46.942</v>
      </c>
      <c r="F203" s="14"/>
      <c r="G203" s="15">
        <f t="shared" si="15"/>
        <v>0</v>
      </c>
      <c r="H203" s="34"/>
      <c r="I203" s="15">
        <f t="shared" si="17"/>
        <v>94</v>
      </c>
      <c r="J203" s="14"/>
      <c r="K203" s="16"/>
    </row>
    <row r="204" spans="1:11" ht="12.6" customHeight="1" x14ac:dyDescent="0.2">
      <c r="A204" s="13"/>
      <c r="B204" s="19"/>
      <c r="C204" s="15"/>
      <c r="D204" s="14"/>
      <c r="E204" s="15">
        <f t="shared" si="16"/>
        <v>46.942</v>
      </c>
      <c r="F204" s="22"/>
      <c r="G204" s="15">
        <f t="shared" si="15"/>
        <v>0</v>
      </c>
      <c r="H204" s="34"/>
      <c r="I204" s="15">
        <f t="shared" si="17"/>
        <v>94</v>
      </c>
      <c r="J204" s="14"/>
      <c r="K204" s="13"/>
    </row>
    <row r="205" spans="1:11" ht="12.6" customHeight="1" x14ac:dyDescent="0.2">
      <c r="A205" s="13"/>
      <c r="B205" s="19"/>
      <c r="C205" s="15"/>
      <c r="D205" s="14"/>
      <c r="E205" s="15">
        <f t="shared" si="16"/>
        <v>46.942</v>
      </c>
      <c r="F205" s="14"/>
      <c r="G205" s="15">
        <f t="shared" si="15"/>
        <v>0</v>
      </c>
      <c r="H205" s="34"/>
      <c r="I205" s="15">
        <f t="shared" si="17"/>
        <v>94</v>
      </c>
      <c r="J205" s="14"/>
      <c r="K205" s="16"/>
    </row>
    <row r="206" spans="1:11" ht="12.6" customHeight="1" x14ac:dyDescent="0.2">
      <c r="A206" s="13"/>
      <c r="B206" s="19"/>
      <c r="C206" s="15"/>
      <c r="D206" s="22"/>
      <c r="E206" s="15">
        <f t="shared" si="16"/>
        <v>46.942</v>
      </c>
      <c r="F206" s="14"/>
      <c r="G206" s="15">
        <f t="shared" si="15"/>
        <v>0</v>
      </c>
      <c r="H206" s="34"/>
      <c r="I206" s="15">
        <f t="shared" si="17"/>
        <v>94</v>
      </c>
      <c r="J206" s="14"/>
      <c r="K206" s="16"/>
    </row>
    <row r="207" spans="1:11" ht="12.6" customHeight="1" x14ac:dyDescent="0.2">
      <c r="A207" s="13"/>
      <c r="B207" s="19"/>
      <c r="C207" s="15"/>
      <c r="D207" s="22"/>
      <c r="E207" s="15">
        <f t="shared" si="16"/>
        <v>46.942</v>
      </c>
      <c r="F207" s="14"/>
      <c r="G207" s="15">
        <f t="shared" si="15"/>
        <v>0</v>
      </c>
      <c r="H207" s="34"/>
      <c r="I207" s="15">
        <f t="shared" si="17"/>
        <v>94</v>
      </c>
      <c r="J207" s="14"/>
      <c r="K207" s="13"/>
    </row>
    <row r="208" spans="1:11" ht="12.6" customHeight="1" x14ac:dyDescent="0.2">
      <c r="A208" s="13"/>
      <c r="B208" s="19"/>
      <c r="C208" s="15"/>
      <c r="D208" s="14"/>
      <c r="E208" s="15">
        <f t="shared" si="16"/>
        <v>46.942</v>
      </c>
      <c r="F208" s="14"/>
      <c r="G208" s="15">
        <f t="shared" si="15"/>
        <v>0</v>
      </c>
      <c r="H208" s="34"/>
      <c r="I208" s="15">
        <f t="shared" si="17"/>
        <v>94</v>
      </c>
      <c r="J208" s="14"/>
      <c r="K208" s="13"/>
    </row>
    <row r="209" spans="1:11" ht="12.6" customHeight="1" x14ac:dyDescent="0.2">
      <c r="A209" s="13"/>
      <c r="B209" s="19"/>
      <c r="C209" s="15"/>
      <c r="D209" s="14"/>
      <c r="E209" s="15">
        <f t="shared" si="16"/>
        <v>46.942</v>
      </c>
      <c r="F209" s="22"/>
      <c r="G209" s="15">
        <f t="shared" si="15"/>
        <v>0</v>
      </c>
      <c r="H209" s="34"/>
      <c r="I209" s="15">
        <f t="shared" si="17"/>
        <v>94</v>
      </c>
      <c r="J209" s="14"/>
      <c r="K209" s="16"/>
    </row>
    <row r="210" spans="1:11" ht="12.6" customHeight="1" x14ac:dyDescent="0.2">
      <c r="A210" s="13"/>
      <c r="B210" s="19"/>
      <c r="C210" s="15"/>
      <c r="D210" s="14"/>
      <c r="E210" s="15">
        <f t="shared" si="16"/>
        <v>46.942</v>
      </c>
      <c r="F210" s="22"/>
      <c r="G210" s="15">
        <f t="shared" si="15"/>
        <v>0</v>
      </c>
      <c r="H210" s="34"/>
      <c r="I210" s="15">
        <f t="shared" si="17"/>
        <v>94</v>
      </c>
      <c r="J210" s="14"/>
      <c r="K210" s="13"/>
    </row>
    <row r="211" spans="1:11" ht="12.6" customHeight="1" x14ac:dyDescent="0.2">
      <c r="A211" s="13"/>
      <c r="B211" s="19"/>
      <c r="C211" s="15"/>
      <c r="D211" s="14"/>
      <c r="E211" s="15">
        <f t="shared" si="16"/>
        <v>46.942</v>
      </c>
      <c r="F211" s="14"/>
      <c r="G211" s="15">
        <f t="shared" si="15"/>
        <v>0</v>
      </c>
      <c r="H211" s="34"/>
      <c r="I211" s="15">
        <f t="shared" si="17"/>
        <v>94</v>
      </c>
      <c r="J211" s="14"/>
      <c r="K211" s="16"/>
    </row>
    <row r="212" spans="1:11" ht="12.6" customHeight="1" x14ac:dyDescent="0.2">
      <c r="A212" s="13"/>
      <c r="B212" s="19"/>
      <c r="C212" s="15"/>
      <c r="D212" s="14"/>
      <c r="E212" s="15">
        <f t="shared" si="16"/>
        <v>46.942</v>
      </c>
      <c r="F212" s="14"/>
      <c r="G212" s="15">
        <f t="shared" si="15"/>
        <v>0</v>
      </c>
      <c r="H212" s="34"/>
      <c r="I212" s="15">
        <f t="shared" si="17"/>
        <v>94</v>
      </c>
      <c r="J212" s="14"/>
      <c r="K212" s="13"/>
    </row>
    <row r="213" spans="1:11" ht="12.6" customHeight="1" x14ac:dyDescent="0.2">
      <c r="A213" s="13"/>
      <c r="B213" s="19"/>
      <c r="C213" s="15"/>
      <c r="D213" s="14"/>
      <c r="E213" s="15">
        <f t="shared" si="16"/>
        <v>46.942</v>
      </c>
      <c r="F213" s="14"/>
      <c r="G213" s="15">
        <f t="shared" si="15"/>
        <v>0</v>
      </c>
      <c r="H213" s="34"/>
      <c r="I213" s="15">
        <f t="shared" si="17"/>
        <v>94</v>
      </c>
      <c r="J213" s="14"/>
      <c r="K213" s="13"/>
    </row>
    <row r="214" spans="1:11" ht="12.6" customHeight="1" x14ac:dyDescent="0.2">
      <c r="A214" s="13"/>
      <c r="B214" s="19"/>
      <c r="C214" s="15"/>
      <c r="D214" s="14"/>
      <c r="E214" s="15">
        <f t="shared" si="16"/>
        <v>46.942</v>
      </c>
      <c r="F214" s="14"/>
      <c r="G214" s="15">
        <f t="shared" si="15"/>
        <v>0</v>
      </c>
      <c r="H214" s="14"/>
      <c r="I214" s="15">
        <f t="shared" si="17"/>
        <v>94</v>
      </c>
      <c r="J214" s="14"/>
      <c r="K214" s="16"/>
    </row>
    <row r="215" spans="1:11" ht="12.6" customHeight="1" x14ac:dyDescent="0.2">
      <c r="A215" s="13"/>
      <c r="B215" s="19"/>
      <c r="C215" s="15"/>
      <c r="D215" s="14"/>
      <c r="E215" s="15">
        <f t="shared" si="16"/>
        <v>46.942</v>
      </c>
      <c r="F215" s="14"/>
      <c r="G215" s="15">
        <f t="shared" si="15"/>
        <v>0</v>
      </c>
      <c r="H215" s="14"/>
      <c r="I215" s="15">
        <f t="shared" si="17"/>
        <v>94</v>
      </c>
      <c r="J215" s="14"/>
      <c r="K215" s="13"/>
    </row>
    <row r="216" spans="1:11" ht="12.6" customHeight="1" x14ac:dyDescent="0.2">
      <c r="A216" s="13"/>
      <c r="B216" s="19"/>
      <c r="C216" s="15"/>
      <c r="D216" s="14"/>
      <c r="E216" s="15">
        <f t="shared" si="16"/>
        <v>46.942</v>
      </c>
      <c r="F216" s="14"/>
      <c r="G216" s="15">
        <f t="shared" si="15"/>
        <v>0</v>
      </c>
      <c r="H216" s="14"/>
      <c r="I216" s="15">
        <f t="shared" si="17"/>
        <v>94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0</v>
      </c>
      <c r="D217" s="15">
        <f>SUM(D191:D216)</f>
        <v>0</v>
      </c>
      <c r="E217" s="36"/>
      <c r="F217" s="39"/>
      <c r="G217" s="15">
        <f>SUM(G191:G216)</f>
        <v>0</v>
      </c>
      <c r="H217" s="15">
        <f>SUM(H191:H216)</f>
        <v>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GOZAR, RICHILIEU A.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JANUARY 19, 1987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/>
      <c r="C230" s="15"/>
      <c r="D230" s="14"/>
      <c r="E230" s="15">
        <f>E216+C230-D230</f>
        <v>46.942</v>
      </c>
      <c r="F230" s="14"/>
      <c r="G230" s="15">
        <f>C230</f>
        <v>0</v>
      </c>
      <c r="H230" s="14"/>
      <c r="I230" s="15">
        <f>I216+G230-H230</f>
        <v>94</v>
      </c>
      <c r="J230" s="14"/>
      <c r="K230" s="16"/>
    </row>
    <row r="231" spans="1:11" ht="12.6" customHeight="1" x14ac:dyDescent="0.2">
      <c r="A231" s="13"/>
      <c r="B231" s="19"/>
      <c r="C231" s="15"/>
      <c r="D231" s="14"/>
      <c r="E231" s="15">
        <f>E230+C231-D231</f>
        <v>46.942</v>
      </c>
      <c r="F231" s="14"/>
      <c r="G231" s="15">
        <f t="shared" ref="G231:G255" si="18">C231</f>
        <v>0</v>
      </c>
      <c r="H231" s="14"/>
      <c r="I231" s="15">
        <f>I230+G231-H231</f>
        <v>94</v>
      </c>
      <c r="J231" s="14"/>
      <c r="K231" s="13"/>
    </row>
    <row r="232" spans="1:11" ht="12.6" customHeight="1" x14ac:dyDescent="0.2">
      <c r="A232" s="13"/>
      <c r="B232" s="19"/>
      <c r="C232" s="15"/>
      <c r="D232" s="14"/>
      <c r="E232" s="15">
        <f t="shared" ref="E232:E255" si="19">E231+C232-D232</f>
        <v>46.942</v>
      </c>
      <c r="F232" s="14"/>
      <c r="G232" s="15">
        <f t="shared" si="18"/>
        <v>0</v>
      </c>
      <c r="H232" s="14"/>
      <c r="I232" s="15">
        <f t="shared" ref="I232:I255" si="20">I231+G232-H232</f>
        <v>94</v>
      </c>
      <c r="J232" s="14"/>
      <c r="K232" s="13"/>
    </row>
    <row r="233" spans="1:11" ht="12.6" customHeight="1" x14ac:dyDescent="0.2">
      <c r="A233" s="13"/>
      <c r="B233" s="19"/>
      <c r="C233" s="15"/>
      <c r="D233" s="14"/>
      <c r="E233" s="15">
        <f t="shared" si="19"/>
        <v>46.942</v>
      </c>
      <c r="F233" s="14"/>
      <c r="G233" s="15">
        <f t="shared" si="18"/>
        <v>0</v>
      </c>
      <c r="H233" s="14"/>
      <c r="I233" s="15">
        <f t="shared" si="20"/>
        <v>94</v>
      </c>
      <c r="J233" s="14"/>
      <c r="K233" s="16"/>
    </row>
    <row r="234" spans="1:11" ht="12.6" customHeight="1" x14ac:dyDescent="0.2">
      <c r="A234" s="13"/>
      <c r="B234" s="19"/>
      <c r="C234" s="15"/>
      <c r="D234" s="14"/>
      <c r="E234" s="15">
        <f t="shared" si="19"/>
        <v>46.942</v>
      </c>
      <c r="F234" s="14"/>
      <c r="G234" s="15">
        <f t="shared" si="18"/>
        <v>0</v>
      </c>
      <c r="H234" s="14"/>
      <c r="I234" s="15">
        <f t="shared" si="20"/>
        <v>94</v>
      </c>
      <c r="J234" s="14"/>
      <c r="K234" s="13"/>
    </row>
    <row r="235" spans="1:11" ht="12.6" customHeight="1" x14ac:dyDescent="0.2">
      <c r="A235" s="13"/>
      <c r="B235" s="19"/>
      <c r="C235" s="15"/>
      <c r="D235" s="14"/>
      <c r="E235" s="15">
        <f t="shared" si="19"/>
        <v>46.942</v>
      </c>
      <c r="F235" s="14"/>
      <c r="G235" s="15">
        <f t="shared" si="18"/>
        <v>0</v>
      </c>
      <c r="H235" s="14"/>
      <c r="I235" s="15">
        <f t="shared" si="20"/>
        <v>94</v>
      </c>
      <c r="J235" s="14"/>
      <c r="K235" s="16"/>
    </row>
    <row r="236" spans="1:11" ht="12.6" customHeight="1" x14ac:dyDescent="0.2">
      <c r="A236" s="13"/>
      <c r="B236" s="19"/>
      <c r="C236" s="15"/>
      <c r="D236" s="14"/>
      <c r="E236" s="15">
        <f t="shared" si="19"/>
        <v>46.942</v>
      </c>
      <c r="F236" s="14"/>
      <c r="G236" s="15">
        <f t="shared" si="18"/>
        <v>0</v>
      </c>
      <c r="H236" s="14"/>
      <c r="I236" s="15">
        <f t="shared" si="20"/>
        <v>94</v>
      </c>
      <c r="J236" s="14"/>
      <c r="K236" s="13"/>
    </row>
    <row r="237" spans="1:11" ht="12.6" customHeight="1" x14ac:dyDescent="0.2">
      <c r="A237" s="13"/>
      <c r="B237" s="19"/>
      <c r="C237" s="15"/>
      <c r="D237" s="14"/>
      <c r="E237" s="15">
        <f t="shared" si="19"/>
        <v>46.942</v>
      </c>
      <c r="F237" s="14"/>
      <c r="G237" s="15">
        <f t="shared" si="18"/>
        <v>0</v>
      </c>
      <c r="H237" s="14"/>
      <c r="I237" s="15">
        <f t="shared" si="20"/>
        <v>94</v>
      </c>
      <c r="J237" s="14"/>
      <c r="K237" s="13"/>
    </row>
    <row r="238" spans="1:11" ht="12.6" customHeight="1" x14ac:dyDescent="0.2">
      <c r="A238" s="13"/>
      <c r="B238" s="19"/>
      <c r="C238" s="15"/>
      <c r="D238" s="14"/>
      <c r="E238" s="15">
        <f t="shared" si="19"/>
        <v>46.942</v>
      </c>
      <c r="F238" s="14"/>
      <c r="G238" s="15">
        <f t="shared" si="18"/>
        <v>0</v>
      </c>
      <c r="H238" s="14"/>
      <c r="I238" s="15">
        <f t="shared" si="20"/>
        <v>94</v>
      </c>
      <c r="J238" s="14"/>
      <c r="K238" s="16"/>
    </row>
    <row r="239" spans="1:11" ht="12.6" customHeight="1" x14ac:dyDescent="0.2">
      <c r="A239" s="13"/>
      <c r="B239" s="19"/>
      <c r="C239" s="15"/>
      <c r="D239" s="14"/>
      <c r="E239" s="15">
        <f t="shared" si="19"/>
        <v>46.942</v>
      </c>
      <c r="F239" s="14"/>
      <c r="G239" s="15">
        <f t="shared" si="18"/>
        <v>0</v>
      </c>
      <c r="H239" s="14"/>
      <c r="I239" s="15">
        <f t="shared" si="20"/>
        <v>94</v>
      </c>
      <c r="J239" s="14"/>
      <c r="K239" s="13"/>
    </row>
    <row r="240" spans="1:11" ht="12.6" customHeight="1" x14ac:dyDescent="0.2">
      <c r="A240" s="13"/>
      <c r="B240" s="19"/>
      <c r="C240" s="15"/>
      <c r="D240" s="14"/>
      <c r="E240" s="15">
        <f t="shared" si="19"/>
        <v>46.942</v>
      </c>
      <c r="F240" s="14"/>
      <c r="G240" s="15">
        <f t="shared" si="18"/>
        <v>0</v>
      </c>
      <c r="H240" s="14"/>
      <c r="I240" s="15">
        <f t="shared" si="20"/>
        <v>94</v>
      </c>
      <c r="J240" s="14"/>
      <c r="K240" s="16"/>
    </row>
    <row r="241" spans="1:11" ht="12.6" customHeight="1" x14ac:dyDescent="0.2">
      <c r="A241" s="13"/>
      <c r="B241" s="19"/>
      <c r="C241" s="15"/>
      <c r="D241" s="14"/>
      <c r="E241" s="15">
        <f t="shared" si="19"/>
        <v>46.942</v>
      </c>
      <c r="F241" s="14"/>
      <c r="G241" s="15">
        <f t="shared" si="18"/>
        <v>0</v>
      </c>
      <c r="H241" s="14"/>
      <c r="I241" s="15">
        <f t="shared" si="20"/>
        <v>94</v>
      </c>
      <c r="J241" s="14"/>
      <c r="K241" s="13"/>
    </row>
    <row r="242" spans="1:11" ht="12.6" customHeight="1" x14ac:dyDescent="0.2">
      <c r="A242" s="13"/>
      <c r="B242" s="19"/>
      <c r="C242" s="15"/>
      <c r="D242" s="14"/>
      <c r="E242" s="15">
        <f t="shared" si="19"/>
        <v>46.942</v>
      </c>
      <c r="F242" s="14"/>
      <c r="G242" s="15">
        <f t="shared" si="18"/>
        <v>0</v>
      </c>
      <c r="H242" s="14"/>
      <c r="I242" s="15">
        <f t="shared" si="20"/>
        <v>94</v>
      </c>
      <c r="J242" s="14"/>
      <c r="K242" s="13"/>
    </row>
    <row r="243" spans="1:11" ht="12.6" customHeight="1" x14ac:dyDescent="0.2">
      <c r="A243" s="13"/>
      <c r="B243" s="19"/>
      <c r="C243" s="15"/>
      <c r="D243" s="14"/>
      <c r="E243" s="15">
        <f t="shared" si="19"/>
        <v>46.942</v>
      </c>
      <c r="F243" s="14"/>
      <c r="G243" s="15">
        <f t="shared" si="18"/>
        <v>0</v>
      </c>
      <c r="H243" s="14"/>
      <c r="I243" s="15">
        <f t="shared" si="20"/>
        <v>94</v>
      </c>
      <c r="J243" s="14"/>
      <c r="K243" s="13"/>
    </row>
    <row r="244" spans="1:11" ht="12.6" customHeight="1" x14ac:dyDescent="0.2">
      <c r="A244" s="13"/>
      <c r="B244" s="19"/>
      <c r="C244" s="15"/>
      <c r="D244" s="14"/>
      <c r="E244" s="15">
        <f t="shared" si="19"/>
        <v>46.942</v>
      </c>
      <c r="F244" s="14"/>
      <c r="G244" s="15">
        <f t="shared" si="18"/>
        <v>0</v>
      </c>
      <c r="H244" s="14"/>
      <c r="I244" s="15">
        <f t="shared" si="20"/>
        <v>94</v>
      </c>
      <c r="J244" s="14"/>
      <c r="K244" s="13"/>
    </row>
    <row r="245" spans="1:11" ht="12.6" customHeight="1" x14ac:dyDescent="0.2">
      <c r="A245" s="13"/>
      <c r="B245" s="19"/>
      <c r="C245" s="15"/>
      <c r="D245" s="14"/>
      <c r="E245" s="15">
        <f t="shared" si="19"/>
        <v>46.942</v>
      </c>
      <c r="F245" s="14"/>
      <c r="G245" s="15">
        <f t="shared" si="18"/>
        <v>0</v>
      </c>
      <c r="H245" s="14"/>
      <c r="I245" s="15">
        <f t="shared" si="20"/>
        <v>94</v>
      </c>
      <c r="J245" s="14"/>
      <c r="K245" s="13"/>
    </row>
    <row r="246" spans="1:11" ht="12.6" customHeight="1" x14ac:dyDescent="0.2">
      <c r="A246" s="16"/>
      <c r="B246" s="19"/>
      <c r="C246" s="15"/>
      <c r="D246" s="14"/>
      <c r="E246" s="15">
        <f t="shared" si="19"/>
        <v>46.942</v>
      </c>
      <c r="F246" s="14"/>
      <c r="G246" s="15">
        <f t="shared" si="18"/>
        <v>0</v>
      </c>
      <c r="H246" s="14"/>
      <c r="I246" s="15">
        <f t="shared" si="20"/>
        <v>94</v>
      </c>
      <c r="J246" s="14"/>
      <c r="K246" s="13"/>
    </row>
    <row r="247" spans="1:11" ht="12.6" customHeight="1" x14ac:dyDescent="0.2">
      <c r="A247" s="13"/>
      <c r="B247" s="19"/>
      <c r="C247" s="15"/>
      <c r="D247" s="15"/>
      <c r="E247" s="15">
        <f t="shared" si="19"/>
        <v>46.942</v>
      </c>
      <c r="F247" s="14"/>
      <c r="G247" s="15">
        <f t="shared" si="18"/>
        <v>0</v>
      </c>
      <c r="H247" s="14"/>
      <c r="I247" s="15">
        <f t="shared" si="20"/>
        <v>94</v>
      </c>
      <c r="J247" s="14"/>
      <c r="K247" s="13"/>
    </row>
    <row r="248" spans="1:11" ht="12.6" customHeight="1" x14ac:dyDescent="0.2">
      <c r="A248" s="13"/>
      <c r="B248" s="19"/>
      <c r="C248" s="15"/>
      <c r="D248" s="14"/>
      <c r="E248" s="15">
        <f t="shared" si="19"/>
        <v>46.942</v>
      </c>
      <c r="F248" s="14"/>
      <c r="G248" s="15">
        <f t="shared" si="18"/>
        <v>0</v>
      </c>
      <c r="H248" s="14"/>
      <c r="I248" s="15">
        <f t="shared" si="20"/>
        <v>94</v>
      </c>
      <c r="J248" s="14"/>
      <c r="K248" s="13"/>
    </row>
    <row r="249" spans="1:11" ht="12.6" customHeight="1" x14ac:dyDescent="0.2">
      <c r="A249" s="16"/>
      <c r="B249" s="19"/>
      <c r="C249" s="15"/>
      <c r="D249" s="15"/>
      <c r="E249" s="15">
        <f t="shared" si="19"/>
        <v>46.942</v>
      </c>
      <c r="F249" s="14"/>
      <c r="G249" s="15">
        <f t="shared" si="18"/>
        <v>0</v>
      </c>
      <c r="H249" s="14"/>
      <c r="I249" s="15">
        <f t="shared" si="20"/>
        <v>94</v>
      </c>
      <c r="J249" s="14"/>
      <c r="K249" s="13"/>
    </row>
    <row r="250" spans="1:11" ht="12.6" customHeight="1" x14ac:dyDescent="0.2">
      <c r="A250" s="13"/>
      <c r="B250" s="19"/>
      <c r="C250" s="15"/>
      <c r="D250" s="14"/>
      <c r="E250" s="15">
        <f t="shared" si="19"/>
        <v>46.942</v>
      </c>
      <c r="F250" s="14"/>
      <c r="G250" s="15">
        <f t="shared" si="18"/>
        <v>0</v>
      </c>
      <c r="H250" s="14"/>
      <c r="I250" s="15">
        <f t="shared" si="20"/>
        <v>94</v>
      </c>
      <c r="J250" s="14"/>
      <c r="K250" s="16"/>
    </row>
    <row r="251" spans="1:11" ht="12.6" customHeight="1" x14ac:dyDescent="0.2">
      <c r="A251" s="13"/>
      <c r="B251" s="19"/>
      <c r="C251" s="15"/>
      <c r="D251" s="14"/>
      <c r="E251" s="15">
        <f t="shared" si="19"/>
        <v>46.942</v>
      </c>
      <c r="F251" s="14"/>
      <c r="G251" s="15">
        <f t="shared" si="18"/>
        <v>0</v>
      </c>
      <c r="H251" s="14"/>
      <c r="I251" s="15">
        <f t="shared" si="20"/>
        <v>94</v>
      </c>
      <c r="J251" s="14"/>
      <c r="K251" s="13"/>
    </row>
    <row r="252" spans="1:11" ht="12.6" customHeight="1" x14ac:dyDescent="0.2">
      <c r="A252" s="13"/>
      <c r="B252" s="19"/>
      <c r="C252" s="15"/>
      <c r="D252" s="14"/>
      <c r="E252" s="15">
        <f t="shared" si="19"/>
        <v>46.942</v>
      </c>
      <c r="F252" s="14"/>
      <c r="G252" s="15">
        <f t="shared" si="18"/>
        <v>0</v>
      </c>
      <c r="H252" s="14"/>
      <c r="I252" s="15">
        <f t="shared" si="20"/>
        <v>94</v>
      </c>
      <c r="J252" s="14"/>
      <c r="K252" s="13"/>
    </row>
    <row r="253" spans="1:11" ht="12.6" customHeight="1" x14ac:dyDescent="0.2">
      <c r="A253" s="13"/>
      <c r="B253" s="19"/>
      <c r="C253" s="15"/>
      <c r="D253" s="14"/>
      <c r="E253" s="15">
        <f t="shared" si="19"/>
        <v>46.942</v>
      </c>
      <c r="F253" s="14"/>
      <c r="G253" s="15">
        <f t="shared" si="18"/>
        <v>0</v>
      </c>
      <c r="H253" s="14"/>
      <c r="I253" s="15">
        <f t="shared" si="20"/>
        <v>94</v>
      </c>
      <c r="J253" s="14"/>
      <c r="K253" s="13"/>
    </row>
    <row r="254" spans="1:11" ht="12.6" customHeight="1" x14ac:dyDescent="0.2">
      <c r="A254" s="13"/>
      <c r="B254" s="19"/>
      <c r="C254" s="15"/>
      <c r="D254" s="14"/>
      <c r="E254" s="15">
        <f t="shared" si="19"/>
        <v>46.942</v>
      </c>
      <c r="F254" s="14"/>
      <c r="G254" s="15">
        <f t="shared" si="18"/>
        <v>0</v>
      </c>
      <c r="H254" s="14"/>
      <c r="I254" s="15">
        <f t="shared" si="20"/>
        <v>94</v>
      </c>
      <c r="J254" s="14"/>
      <c r="K254" s="16"/>
    </row>
    <row r="255" spans="1:11" ht="12.6" customHeight="1" x14ac:dyDescent="0.2">
      <c r="A255" s="13"/>
      <c r="B255" s="19"/>
      <c r="C255" s="15"/>
      <c r="D255" s="14"/>
      <c r="E255" s="15">
        <f t="shared" si="19"/>
        <v>46.942</v>
      </c>
      <c r="F255" s="14"/>
      <c r="G255" s="15">
        <f t="shared" si="18"/>
        <v>0</v>
      </c>
      <c r="H255" s="14"/>
      <c r="I255" s="15">
        <f t="shared" si="20"/>
        <v>94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0</v>
      </c>
      <c r="D256" s="36">
        <f>SUM(D230:D255)</f>
        <v>0</v>
      </c>
      <c r="E256" s="36"/>
      <c r="F256" s="37"/>
      <c r="G256" s="36">
        <f>SUM(G230:G255)</f>
        <v>0</v>
      </c>
      <c r="H256" s="36">
        <f>SUM(H230:H255)</f>
        <v>0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GOZAR, RICHILIEU A.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JANUARY 19, 1987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/>
      <c r="C265" s="15"/>
      <c r="D265" s="14"/>
      <c r="E265" s="15">
        <f>E255+C265-D265</f>
        <v>46.942</v>
      </c>
      <c r="F265" s="14"/>
      <c r="G265" s="15">
        <f>C265</f>
        <v>0</v>
      </c>
      <c r="H265" s="14"/>
      <c r="I265" s="15">
        <f>I255+G265-H265</f>
        <v>94</v>
      </c>
      <c r="J265" s="14"/>
      <c r="K265" s="16"/>
    </row>
    <row r="266" spans="1:11" ht="12.6" customHeight="1" x14ac:dyDescent="0.2">
      <c r="A266" s="13"/>
      <c r="B266" s="19"/>
      <c r="C266" s="15"/>
      <c r="D266" s="14"/>
      <c r="E266" s="15">
        <f>E265+C266-D266</f>
        <v>46.942</v>
      </c>
      <c r="F266" s="14"/>
      <c r="G266" s="15">
        <f t="shared" ref="G266:G290" si="21">C266</f>
        <v>0</v>
      </c>
      <c r="H266" s="14"/>
      <c r="I266" s="15">
        <f>I265+G266-H266</f>
        <v>94</v>
      </c>
      <c r="J266" s="14"/>
      <c r="K266" s="13"/>
    </row>
    <row r="267" spans="1:11" ht="12.6" customHeight="1" x14ac:dyDescent="0.2">
      <c r="A267" s="13"/>
      <c r="B267" s="19"/>
      <c r="C267" s="15"/>
      <c r="D267" s="14"/>
      <c r="E267" s="15">
        <f t="shared" ref="E267:E290" si="22">E266+C267-D267</f>
        <v>46.942</v>
      </c>
      <c r="F267" s="14"/>
      <c r="G267" s="15">
        <f t="shared" si="21"/>
        <v>0</v>
      </c>
      <c r="H267" s="14"/>
      <c r="I267" s="15">
        <f t="shared" ref="I267:I290" si="23">I266+G267-H267</f>
        <v>94</v>
      </c>
      <c r="J267" s="14"/>
      <c r="K267" s="13"/>
    </row>
    <row r="268" spans="1:11" ht="12.6" customHeight="1" x14ac:dyDescent="0.2">
      <c r="A268" s="13"/>
      <c r="B268" s="19"/>
      <c r="C268" s="15"/>
      <c r="D268" s="14"/>
      <c r="E268" s="15">
        <f t="shared" si="22"/>
        <v>46.942</v>
      </c>
      <c r="F268" s="14"/>
      <c r="G268" s="15">
        <f t="shared" si="21"/>
        <v>0</v>
      </c>
      <c r="H268" s="14"/>
      <c r="I268" s="15">
        <f t="shared" si="23"/>
        <v>94</v>
      </c>
      <c r="J268" s="14"/>
      <c r="K268" s="16"/>
    </row>
    <row r="269" spans="1:11" ht="12.6" customHeight="1" x14ac:dyDescent="0.2">
      <c r="A269" s="13"/>
      <c r="B269" s="19"/>
      <c r="C269" s="15"/>
      <c r="D269" s="14"/>
      <c r="E269" s="15">
        <f t="shared" si="22"/>
        <v>46.942</v>
      </c>
      <c r="F269" s="14"/>
      <c r="G269" s="15">
        <f t="shared" si="21"/>
        <v>0</v>
      </c>
      <c r="H269" s="14"/>
      <c r="I269" s="15">
        <f t="shared" si="23"/>
        <v>94</v>
      </c>
      <c r="J269" s="14"/>
      <c r="K269" s="13"/>
    </row>
    <row r="270" spans="1:11" ht="12.6" customHeight="1" x14ac:dyDescent="0.2">
      <c r="A270" s="13"/>
      <c r="B270" s="19"/>
      <c r="C270" s="15"/>
      <c r="D270" s="14"/>
      <c r="E270" s="15">
        <f t="shared" si="22"/>
        <v>46.942</v>
      </c>
      <c r="F270" s="14"/>
      <c r="G270" s="15">
        <f t="shared" si="21"/>
        <v>0</v>
      </c>
      <c r="H270" s="14"/>
      <c r="I270" s="15">
        <f t="shared" si="23"/>
        <v>94</v>
      </c>
      <c r="J270" s="14"/>
      <c r="K270" s="16"/>
    </row>
    <row r="271" spans="1:11" ht="12.6" customHeight="1" x14ac:dyDescent="0.2">
      <c r="A271" s="13"/>
      <c r="B271" s="19"/>
      <c r="C271" s="15"/>
      <c r="D271" s="14"/>
      <c r="E271" s="15">
        <f t="shared" si="22"/>
        <v>46.942</v>
      </c>
      <c r="F271" s="14"/>
      <c r="G271" s="15">
        <f t="shared" si="21"/>
        <v>0</v>
      </c>
      <c r="H271" s="14"/>
      <c r="I271" s="15">
        <f t="shared" si="23"/>
        <v>94</v>
      </c>
      <c r="J271" s="14"/>
      <c r="K271" s="13"/>
    </row>
    <row r="272" spans="1:11" ht="12.6" customHeight="1" x14ac:dyDescent="0.2">
      <c r="A272" s="13"/>
      <c r="B272" s="19"/>
      <c r="C272" s="15"/>
      <c r="D272" s="14"/>
      <c r="E272" s="15">
        <f t="shared" si="22"/>
        <v>46.942</v>
      </c>
      <c r="F272" s="14"/>
      <c r="G272" s="15">
        <f t="shared" si="21"/>
        <v>0</v>
      </c>
      <c r="H272" s="14"/>
      <c r="I272" s="15">
        <f t="shared" si="23"/>
        <v>94</v>
      </c>
      <c r="J272" s="14"/>
      <c r="K272" s="13"/>
    </row>
    <row r="273" spans="1:11" ht="12.6" customHeight="1" x14ac:dyDescent="0.2">
      <c r="A273" s="13"/>
      <c r="B273" s="19"/>
      <c r="C273" s="15"/>
      <c r="D273" s="14"/>
      <c r="E273" s="15">
        <f t="shared" si="22"/>
        <v>46.942</v>
      </c>
      <c r="F273" s="14"/>
      <c r="G273" s="15">
        <f t="shared" si="21"/>
        <v>0</v>
      </c>
      <c r="H273" s="14"/>
      <c r="I273" s="15">
        <f t="shared" si="23"/>
        <v>94</v>
      </c>
      <c r="J273" s="14"/>
      <c r="K273" s="16"/>
    </row>
    <row r="274" spans="1:11" ht="12.6" customHeight="1" x14ac:dyDescent="0.2">
      <c r="A274" s="13"/>
      <c r="B274" s="19"/>
      <c r="C274" s="15"/>
      <c r="D274" s="14"/>
      <c r="E274" s="15">
        <f t="shared" si="22"/>
        <v>46.942</v>
      </c>
      <c r="F274" s="14"/>
      <c r="G274" s="15">
        <f t="shared" si="21"/>
        <v>0</v>
      </c>
      <c r="H274" s="14"/>
      <c r="I274" s="15">
        <f t="shared" si="23"/>
        <v>94</v>
      </c>
      <c r="J274" s="14"/>
      <c r="K274" s="16"/>
    </row>
    <row r="275" spans="1:11" ht="12.6" customHeight="1" x14ac:dyDescent="0.2">
      <c r="A275" s="13"/>
      <c r="B275" s="19"/>
      <c r="C275" s="15"/>
      <c r="D275" s="14"/>
      <c r="E275" s="15">
        <f t="shared" si="22"/>
        <v>46.942</v>
      </c>
      <c r="F275" s="14"/>
      <c r="G275" s="15">
        <f t="shared" si="21"/>
        <v>0</v>
      </c>
      <c r="H275" s="14"/>
      <c r="I275" s="15">
        <f t="shared" si="23"/>
        <v>94</v>
      </c>
      <c r="J275" s="14"/>
      <c r="K275" s="13"/>
    </row>
    <row r="276" spans="1:11" ht="12.6" customHeight="1" x14ac:dyDescent="0.2">
      <c r="A276" s="13"/>
      <c r="B276" s="19"/>
      <c r="C276" s="15"/>
      <c r="D276" s="14"/>
      <c r="E276" s="15">
        <f t="shared" si="22"/>
        <v>46.942</v>
      </c>
      <c r="F276" s="14"/>
      <c r="G276" s="15">
        <f t="shared" si="21"/>
        <v>0</v>
      </c>
      <c r="H276" s="14"/>
      <c r="I276" s="15">
        <f t="shared" si="23"/>
        <v>94</v>
      </c>
      <c r="J276" s="14"/>
      <c r="K276" s="13"/>
    </row>
    <row r="277" spans="1:11" ht="12.6" customHeight="1" x14ac:dyDescent="0.2">
      <c r="A277" s="13"/>
      <c r="B277" s="19"/>
      <c r="C277" s="15"/>
      <c r="D277" s="14"/>
      <c r="E277" s="15">
        <f t="shared" si="22"/>
        <v>46.942</v>
      </c>
      <c r="F277" s="14"/>
      <c r="G277" s="15">
        <f t="shared" si="21"/>
        <v>0</v>
      </c>
      <c r="H277" s="14"/>
      <c r="I277" s="15">
        <f t="shared" si="23"/>
        <v>94</v>
      </c>
      <c r="J277" s="14"/>
      <c r="K277" s="13"/>
    </row>
    <row r="278" spans="1:11" ht="12.6" customHeight="1" x14ac:dyDescent="0.2">
      <c r="A278" s="13"/>
      <c r="B278" s="19"/>
      <c r="C278" s="15"/>
      <c r="D278" s="14"/>
      <c r="E278" s="15">
        <f t="shared" si="22"/>
        <v>46.942</v>
      </c>
      <c r="F278" s="14"/>
      <c r="G278" s="15">
        <f t="shared" si="21"/>
        <v>0</v>
      </c>
      <c r="H278" s="14"/>
      <c r="I278" s="15">
        <f t="shared" si="23"/>
        <v>94</v>
      </c>
      <c r="J278" s="14"/>
      <c r="K278" s="13"/>
    </row>
    <row r="279" spans="1:11" ht="12.6" customHeight="1" x14ac:dyDescent="0.2">
      <c r="A279" s="13"/>
      <c r="B279" s="19"/>
      <c r="C279" s="15"/>
      <c r="D279" s="14"/>
      <c r="E279" s="15">
        <f t="shared" si="22"/>
        <v>46.942</v>
      </c>
      <c r="F279" s="14"/>
      <c r="G279" s="15">
        <f t="shared" si="21"/>
        <v>0</v>
      </c>
      <c r="H279" s="14"/>
      <c r="I279" s="15">
        <f t="shared" si="23"/>
        <v>94</v>
      </c>
      <c r="J279" s="14"/>
      <c r="K279" s="13"/>
    </row>
    <row r="280" spans="1:11" ht="12.6" customHeight="1" x14ac:dyDescent="0.2">
      <c r="A280" s="13"/>
      <c r="B280" s="19"/>
      <c r="C280" s="15"/>
      <c r="D280" s="14"/>
      <c r="E280" s="15">
        <f t="shared" si="22"/>
        <v>46.942</v>
      </c>
      <c r="F280" s="14"/>
      <c r="G280" s="15">
        <f t="shared" si="21"/>
        <v>0</v>
      </c>
      <c r="H280" s="14"/>
      <c r="I280" s="15">
        <f t="shared" si="23"/>
        <v>94</v>
      </c>
      <c r="J280" s="14"/>
      <c r="K280" s="13"/>
    </row>
    <row r="281" spans="1:11" ht="12.6" customHeight="1" x14ac:dyDescent="0.2">
      <c r="A281" s="13"/>
      <c r="B281" s="19"/>
      <c r="C281" s="15"/>
      <c r="D281" s="14"/>
      <c r="E281" s="15">
        <f t="shared" si="22"/>
        <v>46.942</v>
      </c>
      <c r="F281" s="14"/>
      <c r="G281" s="15">
        <f t="shared" si="21"/>
        <v>0</v>
      </c>
      <c r="H281" s="14"/>
      <c r="I281" s="15">
        <f t="shared" si="23"/>
        <v>94</v>
      </c>
      <c r="J281" s="14"/>
      <c r="K281" s="13"/>
    </row>
    <row r="282" spans="1:11" ht="12.6" customHeight="1" x14ac:dyDescent="0.2">
      <c r="A282" s="13"/>
      <c r="B282" s="19"/>
      <c r="C282" s="15"/>
      <c r="D282" s="15"/>
      <c r="E282" s="15">
        <f t="shared" si="22"/>
        <v>46.942</v>
      </c>
      <c r="F282" s="14"/>
      <c r="G282" s="15">
        <f t="shared" si="21"/>
        <v>0</v>
      </c>
      <c r="H282" s="14"/>
      <c r="I282" s="15">
        <f t="shared" si="23"/>
        <v>94</v>
      </c>
      <c r="J282" s="14"/>
      <c r="K282" s="13"/>
    </row>
    <row r="283" spans="1:11" ht="12.6" customHeight="1" x14ac:dyDescent="0.2">
      <c r="A283" s="13"/>
      <c r="B283" s="19"/>
      <c r="C283" s="15"/>
      <c r="D283" s="14"/>
      <c r="E283" s="15">
        <f t="shared" si="22"/>
        <v>46.942</v>
      </c>
      <c r="F283" s="14"/>
      <c r="G283" s="15">
        <f t="shared" si="21"/>
        <v>0</v>
      </c>
      <c r="H283" s="14"/>
      <c r="I283" s="15">
        <f t="shared" si="23"/>
        <v>94</v>
      </c>
      <c r="J283" s="14"/>
      <c r="K283" s="16"/>
    </row>
    <row r="284" spans="1:11" ht="12.6" customHeight="1" x14ac:dyDescent="0.2">
      <c r="A284" s="13"/>
      <c r="B284" s="19"/>
      <c r="C284" s="15"/>
      <c r="D284" s="15"/>
      <c r="E284" s="15">
        <f t="shared" si="22"/>
        <v>46.942</v>
      </c>
      <c r="F284" s="14"/>
      <c r="G284" s="15">
        <f t="shared" si="21"/>
        <v>0</v>
      </c>
      <c r="H284" s="14"/>
      <c r="I284" s="15">
        <f t="shared" si="23"/>
        <v>94</v>
      </c>
      <c r="J284" s="14"/>
      <c r="K284" s="13"/>
    </row>
    <row r="285" spans="1:11" ht="12.6" customHeight="1" x14ac:dyDescent="0.2">
      <c r="A285" s="13"/>
      <c r="B285" s="19"/>
      <c r="C285" s="15"/>
      <c r="D285" s="14"/>
      <c r="E285" s="15">
        <f t="shared" si="22"/>
        <v>46.942</v>
      </c>
      <c r="F285" s="14"/>
      <c r="G285" s="15">
        <f t="shared" si="21"/>
        <v>0</v>
      </c>
      <c r="H285" s="14"/>
      <c r="I285" s="15">
        <f t="shared" si="23"/>
        <v>94</v>
      </c>
      <c r="J285" s="14"/>
      <c r="K285" s="16"/>
    </row>
    <row r="286" spans="1:11" ht="12.6" customHeight="1" x14ac:dyDescent="0.2">
      <c r="A286" s="13"/>
      <c r="B286" s="19"/>
      <c r="C286" s="15"/>
      <c r="D286" s="14"/>
      <c r="E286" s="15">
        <f t="shared" si="22"/>
        <v>46.942</v>
      </c>
      <c r="F286" s="14"/>
      <c r="G286" s="15">
        <f t="shared" si="21"/>
        <v>0</v>
      </c>
      <c r="H286" s="14"/>
      <c r="I286" s="15">
        <f t="shared" si="23"/>
        <v>94</v>
      </c>
      <c r="J286" s="14"/>
      <c r="K286" s="13"/>
    </row>
    <row r="287" spans="1:11" ht="12.6" customHeight="1" x14ac:dyDescent="0.2">
      <c r="A287" s="13"/>
      <c r="B287" s="19"/>
      <c r="C287" s="15"/>
      <c r="D287" s="14"/>
      <c r="E287" s="15">
        <f t="shared" si="22"/>
        <v>46.942</v>
      </c>
      <c r="F287" s="14"/>
      <c r="G287" s="15">
        <f t="shared" si="21"/>
        <v>0</v>
      </c>
      <c r="H287" s="14"/>
      <c r="I287" s="15">
        <f t="shared" si="23"/>
        <v>94</v>
      </c>
      <c r="J287" s="14"/>
      <c r="K287" s="13"/>
    </row>
    <row r="288" spans="1:11" ht="12.6" customHeight="1" x14ac:dyDescent="0.2">
      <c r="A288" s="13"/>
      <c r="B288" s="19"/>
      <c r="C288" s="15"/>
      <c r="D288" s="14"/>
      <c r="E288" s="15">
        <f t="shared" si="22"/>
        <v>46.942</v>
      </c>
      <c r="F288" s="14"/>
      <c r="G288" s="15">
        <f t="shared" si="21"/>
        <v>0</v>
      </c>
      <c r="H288" s="14"/>
      <c r="I288" s="15">
        <f t="shared" si="23"/>
        <v>94</v>
      </c>
      <c r="J288" s="14"/>
      <c r="K288" s="13"/>
    </row>
    <row r="289" spans="1:11" ht="12.6" customHeight="1" x14ac:dyDescent="0.2">
      <c r="A289" s="13"/>
      <c r="B289" s="19"/>
      <c r="C289" s="15"/>
      <c r="D289" s="14"/>
      <c r="E289" s="15">
        <f t="shared" si="22"/>
        <v>46.942</v>
      </c>
      <c r="F289" s="14"/>
      <c r="G289" s="15">
        <f t="shared" si="21"/>
        <v>0</v>
      </c>
      <c r="H289" s="14"/>
      <c r="I289" s="15">
        <f t="shared" si="23"/>
        <v>94</v>
      </c>
      <c r="J289" s="14"/>
      <c r="K289" s="13"/>
    </row>
    <row r="290" spans="1:11" ht="12.6" customHeight="1" x14ac:dyDescent="0.2">
      <c r="A290" s="13"/>
      <c r="B290" s="19"/>
      <c r="C290" s="15"/>
      <c r="D290" s="14"/>
      <c r="E290" s="15">
        <f t="shared" si="22"/>
        <v>46.942</v>
      </c>
      <c r="F290" s="14"/>
      <c r="G290" s="15">
        <f t="shared" si="21"/>
        <v>0</v>
      </c>
      <c r="H290" s="14"/>
      <c r="I290" s="15">
        <f t="shared" si="23"/>
        <v>94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0</v>
      </c>
      <c r="D291" s="36">
        <f>SUM(D265:D290)</f>
        <v>0</v>
      </c>
      <c r="E291" s="36"/>
      <c r="F291" s="37"/>
      <c r="G291" s="36">
        <f>SUM(G265:G290)</f>
        <v>0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GOZAR, RICHILIEU A.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JANUARY 19, 1987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/>
      <c r="C304" s="15"/>
      <c r="D304" s="14"/>
      <c r="E304" s="15">
        <f>E290+C304-D304</f>
        <v>46.942</v>
      </c>
      <c r="F304" s="14"/>
      <c r="G304" s="15">
        <f>C304</f>
        <v>0</v>
      </c>
      <c r="H304" s="14"/>
      <c r="I304" s="15">
        <f>I290+G304-H304</f>
        <v>94</v>
      </c>
      <c r="J304" s="14"/>
      <c r="K304" s="16"/>
    </row>
    <row r="305" spans="1:11" ht="12.6" customHeight="1" x14ac:dyDescent="0.2">
      <c r="A305" s="13"/>
      <c r="B305" s="19"/>
      <c r="C305" s="15"/>
      <c r="D305" s="14"/>
      <c r="E305" s="15">
        <f>E304+C305-D305</f>
        <v>46.942</v>
      </c>
      <c r="F305" s="14"/>
      <c r="G305" s="15">
        <f t="shared" ref="G305:G329" si="24">C305</f>
        <v>0</v>
      </c>
      <c r="H305" s="14"/>
      <c r="I305" s="15">
        <f>I304+G305-H305</f>
        <v>94</v>
      </c>
      <c r="J305" s="14"/>
      <c r="K305" s="13"/>
    </row>
    <row r="306" spans="1:11" ht="12.6" customHeight="1" x14ac:dyDescent="0.2">
      <c r="A306" s="13"/>
      <c r="B306" s="19"/>
      <c r="C306" s="15"/>
      <c r="D306" s="14"/>
      <c r="E306" s="15">
        <f t="shared" ref="E306:E329" si="25">E305+C306-D306</f>
        <v>46.942</v>
      </c>
      <c r="F306" s="14"/>
      <c r="G306" s="15">
        <f t="shared" si="24"/>
        <v>0</v>
      </c>
      <c r="H306" s="14"/>
      <c r="I306" s="15">
        <f t="shared" ref="I306:I329" si="26">I305+G306-H306</f>
        <v>94</v>
      </c>
      <c r="J306" s="14"/>
      <c r="K306" s="13"/>
    </row>
    <row r="307" spans="1:11" ht="12.6" customHeight="1" x14ac:dyDescent="0.2">
      <c r="A307" s="13"/>
      <c r="B307" s="19"/>
      <c r="C307" s="15"/>
      <c r="D307" s="14"/>
      <c r="E307" s="15">
        <f t="shared" si="25"/>
        <v>46.942</v>
      </c>
      <c r="F307" s="14"/>
      <c r="G307" s="15">
        <f t="shared" si="24"/>
        <v>0</v>
      </c>
      <c r="H307" s="14"/>
      <c r="I307" s="15">
        <f t="shared" si="26"/>
        <v>94</v>
      </c>
      <c r="J307" s="14"/>
      <c r="K307" s="16"/>
    </row>
    <row r="308" spans="1:11" ht="12.6" customHeight="1" x14ac:dyDescent="0.2">
      <c r="A308" s="13"/>
      <c r="B308" s="19"/>
      <c r="C308" s="15"/>
      <c r="D308" s="14"/>
      <c r="E308" s="15">
        <f t="shared" si="25"/>
        <v>46.942</v>
      </c>
      <c r="F308" s="14"/>
      <c r="G308" s="15">
        <f t="shared" si="24"/>
        <v>0</v>
      </c>
      <c r="H308" s="14"/>
      <c r="I308" s="15">
        <f t="shared" si="26"/>
        <v>94</v>
      </c>
      <c r="J308" s="14"/>
      <c r="K308" s="13"/>
    </row>
    <row r="309" spans="1:11" ht="12.6" customHeight="1" x14ac:dyDescent="0.2">
      <c r="A309" s="13"/>
      <c r="B309" s="19"/>
      <c r="C309" s="15"/>
      <c r="D309" s="14"/>
      <c r="E309" s="15">
        <f t="shared" si="25"/>
        <v>46.942</v>
      </c>
      <c r="F309" s="14"/>
      <c r="G309" s="15">
        <f t="shared" si="24"/>
        <v>0</v>
      </c>
      <c r="H309" s="14"/>
      <c r="I309" s="15">
        <f t="shared" si="26"/>
        <v>94</v>
      </c>
      <c r="J309" s="14"/>
      <c r="K309" s="13"/>
    </row>
    <row r="310" spans="1:11" ht="12.6" customHeight="1" x14ac:dyDescent="0.2">
      <c r="A310" s="13"/>
      <c r="B310" s="19"/>
      <c r="C310" s="15"/>
      <c r="D310" s="14"/>
      <c r="E310" s="15">
        <f t="shared" si="25"/>
        <v>46.942</v>
      </c>
      <c r="F310" s="14"/>
      <c r="G310" s="15">
        <f t="shared" si="24"/>
        <v>0</v>
      </c>
      <c r="H310" s="14"/>
      <c r="I310" s="15">
        <f t="shared" si="26"/>
        <v>94</v>
      </c>
      <c r="J310" s="14"/>
      <c r="K310" s="13"/>
    </row>
    <row r="311" spans="1:11" ht="12.6" customHeight="1" x14ac:dyDescent="0.2">
      <c r="A311" s="13"/>
      <c r="B311" s="19"/>
      <c r="C311" s="15"/>
      <c r="D311" s="14"/>
      <c r="E311" s="15">
        <f t="shared" si="25"/>
        <v>46.942</v>
      </c>
      <c r="F311" s="14"/>
      <c r="G311" s="15">
        <f t="shared" si="24"/>
        <v>0</v>
      </c>
      <c r="H311" s="14"/>
      <c r="I311" s="15">
        <f t="shared" si="26"/>
        <v>94</v>
      </c>
      <c r="J311" s="14"/>
      <c r="K311" s="13"/>
    </row>
    <row r="312" spans="1:11" ht="12.6" customHeight="1" x14ac:dyDescent="0.2">
      <c r="A312" s="13"/>
      <c r="B312" s="19"/>
      <c r="C312" s="15"/>
      <c r="D312" s="14"/>
      <c r="E312" s="15">
        <f t="shared" si="25"/>
        <v>46.942</v>
      </c>
      <c r="F312" s="14"/>
      <c r="G312" s="15">
        <f t="shared" si="24"/>
        <v>0</v>
      </c>
      <c r="H312" s="14"/>
      <c r="I312" s="15">
        <f t="shared" si="26"/>
        <v>94</v>
      </c>
      <c r="J312" s="14"/>
      <c r="K312" s="16"/>
    </row>
    <row r="313" spans="1:11" ht="12.6" customHeight="1" x14ac:dyDescent="0.2">
      <c r="A313" s="13"/>
      <c r="B313" s="19"/>
      <c r="C313" s="15"/>
      <c r="D313" s="14"/>
      <c r="E313" s="15">
        <f t="shared" si="25"/>
        <v>46.942</v>
      </c>
      <c r="F313" s="14"/>
      <c r="G313" s="15">
        <f t="shared" si="24"/>
        <v>0</v>
      </c>
      <c r="H313" s="14"/>
      <c r="I313" s="15">
        <f t="shared" si="26"/>
        <v>94</v>
      </c>
      <c r="J313" s="14"/>
      <c r="K313" s="16"/>
    </row>
    <row r="314" spans="1:11" ht="12.6" customHeight="1" x14ac:dyDescent="0.2">
      <c r="A314" s="13"/>
      <c r="B314" s="19"/>
      <c r="C314" s="15"/>
      <c r="D314" s="14"/>
      <c r="E314" s="15">
        <f t="shared" si="25"/>
        <v>46.942</v>
      </c>
      <c r="F314" s="14"/>
      <c r="G314" s="15">
        <f t="shared" si="24"/>
        <v>0</v>
      </c>
      <c r="H314" s="14"/>
      <c r="I314" s="15">
        <f t="shared" si="26"/>
        <v>94</v>
      </c>
      <c r="J314" s="14"/>
      <c r="K314" s="16"/>
    </row>
    <row r="315" spans="1:11" ht="12.6" customHeight="1" x14ac:dyDescent="0.2">
      <c r="A315" s="13"/>
      <c r="B315" s="19"/>
      <c r="C315" s="15"/>
      <c r="D315" s="14"/>
      <c r="E315" s="15">
        <f t="shared" si="25"/>
        <v>46.942</v>
      </c>
      <c r="F315" s="14"/>
      <c r="G315" s="15">
        <f t="shared" si="24"/>
        <v>0</v>
      </c>
      <c r="H315" s="14"/>
      <c r="I315" s="15">
        <f t="shared" si="26"/>
        <v>94</v>
      </c>
      <c r="J315" s="14"/>
      <c r="K315" s="13"/>
    </row>
    <row r="316" spans="1:11" ht="12.6" customHeight="1" x14ac:dyDescent="0.2">
      <c r="A316" s="13"/>
      <c r="B316" s="19"/>
      <c r="C316" s="15"/>
      <c r="D316" s="14"/>
      <c r="E316" s="15">
        <f t="shared" si="25"/>
        <v>46.942</v>
      </c>
      <c r="F316" s="14"/>
      <c r="G316" s="15">
        <f t="shared" si="24"/>
        <v>0</v>
      </c>
      <c r="H316" s="14"/>
      <c r="I316" s="15">
        <f t="shared" si="26"/>
        <v>94</v>
      </c>
      <c r="J316" s="14"/>
      <c r="K316" s="13"/>
    </row>
    <row r="317" spans="1:11" ht="12.6" customHeight="1" x14ac:dyDescent="0.2">
      <c r="A317" s="13"/>
      <c r="B317" s="19"/>
      <c r="C317" s="15"/>
      <c r="D317" s="14"/>
      <c r="E317" s="15">
        <f t="shared" si="25"/>
        <v>46.942</v>
      </c>
      <c r="F317" s="14"/>
      <c r="G317" s="15">
        <f t="shared" si="24"/>
        <v>0</v>
      </c>
      <c r="H317" s="14"/>
      <c r="I317" s="15">
        <f t="shared" si="26"/>
        <v>94</v>
      </c>
      <c r="J317" s="14"/>
      <c r="K317" s="13"/>
    </row>
    <row r="318" spans="1:11" ht="12.6" customHeight="1" x14ac:dyDescent="0.2">
      <c r="A318" s="13"/>
      <c r="B318" s="19"/>
      <c r="C318" s="15"/>
      <c r="D318" s="14"/>
      <c r="E318" s="15">
        <f t="shared" si="25"/>
        <v>46.942</v>
      </c>
      <c r="F318" s="14"/>
      <c r="G318" s="15">
        <f t="shared" si="24"/>
        <v>0</v>
      </c>
      <c r="H318" s="14"/>
      <c r="I318" s="15">
        <f t="shared" si="26"/>
        <v>94</v>
      </c>
      <c r="J318" s="14"/>
      <c r="K318" s="13"/>
    </row>
    <row r="319" spans="1:11" ht="12.6" customHeight="1" x14ac:dyDescent="0.2">
      <c r="A319" s="13"/>
      <c r="B319" s="19"/>
      <c r="C319" s="15"/>
      <c r="D319" s="14"/>
      <c r="E319" s="15">
        <f t="shared" si="25"/>
        <v>46.942</v>
      </c>
      <c r="F319" s="14"/>
      <c r="G319" s="15">
        <f t="shared" si="24"/>
        <v>0</v>
      </c>
      <c r="H319" s="14"/>
      <c r="I319" s="15">
        <f t="shared" si="26"/>
        <v>94</v>
      </c>
      <c r="J319" s="14"/>
      <c r="K319" s="13"/>
    </row>
    <row r="320" spans="1:11" ht="12.6" customHeight="1" x14ac:dyDescent="0.2">
      <c r="A320" s="13"/>
      <c r="B320" s="19"/>
      <c r="C320" s="15"/>
      <c r="D320" s="14"/>
      <c r="E320" s="15">
        <f t="shared" si="25"/>
        <v>46.942</v>
      </c>
      <c r="F320" s="14"/>
      <c r="G320" s="15">
        <f t="shared" si="24"/>
        <v>0</v>
      </c>
      <c r="H320" s="14"/>
      <c r="I320" s="15">
        <f t="shared" si="26"/>
        <v>94</v>
      </c>
      <c r="J320" s="14"/>
      <c r="K320" s="13"/>
    </row>
    <row r="321" spans="1:11" ht="12.6" customHeight="1" x14ac:dyDescent="0.2">
      <c r="A321" s="13"/>
      <c r="B321" s="19"/>
      <c r="C321" s="15"/>
      <c r="D321" s="15"/>
      <c r="E321" s="15">
        <f t="shared" si="25"/>
        <v>46.942</v>
      </c>
      <c r="F321" s="14"/>
      <c r="G321" s="15">
        <f t="shared" si="24"/>
        <v>0</v>
      </c>
      <c r="H321" s="14"/>
      <c r="I321" s="15">
        <f t="shared" si="26"/>
        <v>94</v>
      </c>
      <c r="J321" s="14"/>
      <c r="K321" s="13"/>
    </row>
    <row r="322" spans="1:11" ht="12.6" customHeight="1" x14ac:dyDescent="0.2">
      <c r="A322" s="13"/>
      <c r="B322" s="19"/>
      <c r="C322" s="15"/>
      <c r="D322" s="14"/>
      <c r="E322" s="15">
        <f t="shared" si="25"/>
        <v>46.942</v>
      </c>
      <c r="F322" s="14"/>
      <c r="G322" s="15">
        <f t="shared" si="24"/>
        <v>0</v>
      </c>
      <c r="H322" s="14"/>
      <c r="I322" s="15">
        <f t="shared" si="26"/>
        <v>94</v>
      </c>
      <c r="J322" s="14"/>
      <c r="K322" s="16"/>
    </row>
    <row r="323" spans="1:11" ht="12.6" customHeight="1" x14ac:dyDescent="0.2">
      <c r="A323" s="16"/>
      <c r="B323" s="19"/>
      <c r="C323" s="15"/>
      <c r="D323" s="15"/>
      <c r="E323" s="15">
        <f t="shared" si="25"/>
        <v>46.942</v>
      </c>
      <c r="F323" s="14"/>
      <c r="G323" s="15">
        <f t="shared" si="24"/>
        <v>0</v>
      </c>
      <c r="H323" s="14"/>
      <c r="I323" s="15">
        <f t="shared" si="26"/>
        <v>94</v>
      </c>
      <c r="J323" s="14"/>
      <c r="K323" s="13"/>
    </row>
    <row r="324" spans="1:11" ht="12.6" customHeight="1" x14ac:dyDescent="0.2">
      <c r="A324" s="13"/>
      <c r="B324" s="19"/>
      <c r="C324" s="15"/>
      <c r="D324" s="14"/>
      <c r="E324" s="15">
        <f t="shared" si="25"/>
        <v>46.942</v>
      </c>
      <c r="F324" s="14"/>
      <c r="G324" s="15">
        <f t="shared" si="24"/>
        <v>0</v>
      </c>
      <c r="H324" s="14"/>
      <c r="I324" s="15">
        <f t="shared" si="26"/>
        <v>94</v>
      </c>
      <c r="J324" s="14"/>
      <c r="K324" s="16"/>
    </row>
    <row r="325" spans="1:11" ht="12.6" customHeight="1" x14ac:dyDescent="0.2">
      <c r="A325" s="13"/>
      <c r="B325" s="19"/>
      <c r="C325" s="15"/>
      <c r="D325" s="14"/>
      <c r="E325" s="15">
        <f t="shared" si="25"/>
        <v>46.942</v>
      </c>
      <c r="F325" s="14"/>
      <c r="G325" s="15">
        <f t="shared" si="24"/>
        <v>0</v>
      </c>
      <c r="H325" s="14"/>
      <c r="I325" s="15">
        <f t="shared" si="26"/>
        <v>94</v>
      </c>
      <c r="J325" s="14"/>
      <c r="K325" s="13"/>
    </row>
    <row r="326" spans="1:11" ht="12.6" customHeight="1" x14ac:dyDescent="0.2">
      <c r="A326" s="13"/>
      <c r="B326" s="19"/>
      <c r="C326" s="15"/>
      <c r="D326" s="14"/>
      <c r="E326" s="15">
        <f t="shared" si="25"/>
        <v>46.942</v>
      </c>
      <c r="F326" s="14"/>
      <c r="G326" s="15">
        <f t="shared" si="24"/>
        <v>0</v>
      </c>
      <c r="H326" s="14"/>
      <c r="I326" s="15">
        <f t="shared" si="26"/>
        <v>94</v>
      </c>
      <c r="J326" s="14"/>
      <c r="K326" s="13"/>
    </row>
    <row r="327" spans="1:11" ht="12.6" customHeight="1" x14ac:dyDescent="0.2">
      <c r="A327" s="13"/>
      <c r="B327" s="19"/>
      <c r="C327" s="15"/>
      <c r="D327" s="14"/>
      <c r="E327" s="15">
        <f t="shared" si="25"/>
        <v>46.942</v>
      </c>
      <c r="F327" s="14"/>
      <c r="G327" s="15">
        <f t="shared" si="24"/>
        <v>0</v>
      </c>
      <c r="H327" s="14"/>
      <c r="I327" s="15">
        <f t="shared" si="26"/>
        <v>94</v>
      </c>
      <c r="J327" s="14"/>
      <c r="K327" s="13"/>
    </row>
    <row r="328" spans="1:11" ht="12.6" customHeight="1" x14ac:dyDescent="0.2">
      <c r="A328" s="13"/>
      <c r="B328" s="19"/>
      <c r="C328" s="15"/>
      <c r="D328" s="14"/>
      <c r="E328" s="15">
        <f t="shared" si="25"/>
        <v>46.942</v>
      </c>
      <c r="F328" s="14"/>
      <c r="G328" s="15">
        <f t="shared" si="24"/>
        <v>0</v>
      </c>
      <c r="H328" s="14"/>
      <c r="I328" s="15">
        <f t="shared" si="26"/>
        <v>94</v>
      </c>
      <c r="J328" s="14"/>
      <c r="K328" s="13"/>
    </row>
    <row r="329" spans="1:11" ht="12.6" customHeight="1" x14ac:dyDescent="0.2">
      <c r="A329" s="13"/>
      <c r="B329" s="19"/>
      <c r="C329" s="15"/>
      <c r="D329" s="14"/>
      <c r="E329" s="15">
        <f t="shared" si="25"/>
        <v>46.942</v>
      </c>
      <c r="F329" s="14"/>
      <c r="G329" s="15">
        <f t="shared" si="24"/>
        <v>0</v>
      </c>
      <c r="H329" s="14"/>
      <c r="I329" s="15">
        <f t="shared" si="26"/>
        <v>94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0</v>
      </c>
      <c r="D330" s="36">
        <f>SUM(D304:D329)</f>
        <v>0</v>
      </c>
      <c r="E330" s="36"/>
      <c r="F330" s="37"/>
      <c r="G330" s="36">
        <f>SUM(G304:G329)</f>
        <v>0</v>
      </c>
      <c r="H330" s="36">
        <f>SUM(H304:H329)</f>
        <v>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GOZAR, RICHILIEU A.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JANUARY 19, 1987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/>
      <c r="C339" s="15"/>
      <c r="D339" s="14"/>
      <c r="E339" s="15">
        <f>E329+C339-D339</f>
        <v>46.942</v>
      </c>
      <c r="F339" s="14"/>
      <c r="G339" s="15">
        <f>C339</f>
        <v>0</v>
      </c>
      <c r="H339" s="14"/>
      <c r="I339" s="15">
        <f>I329+G339-H339</f>
        <v>94</v>
      </c>
      <c r="J339" s="14"/>
      <c r="K339" s="16"/>
    </row>
    <row r="340" spans="1:11" ht="12.6" customHeight="1" x14ac:dyDescent="0.2">
      <c r="A340" s="13"/>
      <c r="B340" s="19"/>
      <c r="C340" s="15"/>
      <c r="D340" s="14"/>
      <c r="E340" s="15">
        <f>E339+C340-D340</f>
        <v>46.942</v>
      </c>
      <c r="F340" s="14"/>
      <c r="G340" s="15">
        <f t="shared" ref="G340:G364" si="27">C340</f>
        <v>0</v>
      </c>
      <c r="H340" s="14"/>
      <c r="I340" s="15">
        <f>I339+G340-H340</f>
        <v>94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46.942</v>
      </c>
      <c r="F341" s="14"/>
      <c r="G341" s="15">
        <f t="shared" si="27"/>
        <v>0</v>
      </c>
      <c r="H341" s="14"/>
      <c r="I341" s="15">
        <f t="shared" ref="I341:I364" si="29">I340+G341-H341</f>
        <v>94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46.942</v>
      </c>
      <c r="F342" s="14"/>
      <c r="G342" s="15">
        <f t="shared" si="27"/>
        <v>0</v>
      </c>
      <c r="H342" s="14"/>
      <c r="I342" s="15">
        <f t="shared" si="29"/>
        <v>94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46.942</v>
      </c>
      <c r="F343" s="14"/>
      <c r="G343" s="15">
        <f t="shared" si="27"/>
        <v>0</v>
      </c>
      <c r="H343" s="14"/>
      <c r="I343" s="15">
        <f t="shared" si="29"/>
        <v>94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46.942</v>
      </c>
      <c r="F344" s="14"/>
      <c r="G344" s="15">
        <f t="shared" si="27"/>
        <v>0</v>
      </c>
      <c r="H344" s="14"/>
      <c r="I344" s="15">
        <f t="shared" si="29"/>
        <v>94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46.942</v>
      </c>
      <c r="F345" s="14"/>
      <c r="G345" s="15">
        <f t="shared" si="27"/>
        <v>0</v>
      </c>
      <c r="H345" s="14"/>
      <c r="I345" s="15">
        <f t="shared" si="29"/>
        <v>94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46.942</v>
      </c>
      <c r="F346" s="14"/>
      <c r="G346" s="15">
        <f t="shared" si="27"/>
        <v>0</v>
      </c>
      <c r="H346" s="14"/>
      <c r="I346" s="15">
        <f t="shared" si="29"/>
        <v>94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46.942</v>
      </c>
      <c r="F347" s="14"/>
      <c r="G347" s="15">
        <f t="shared" si="27"/>
        <v>0</v>
      </c>
      <c r="H347" s="14"/>
      <c r="I347" s="15">
        <f t="shared" si="29"/>
        <v>94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46.942</v>
      </c>
      <c r="F348" s="14"/>
      <c r="G348" s="15">
        <f t="shared" si="27"/>
        <v>0</v>
      </c>
      <c r="H348" s="14"/>
      <c r="I348" s="15">
        <f t="shared" si="29"/>
        <v>94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46.942</v>
      </c>
      <c r="F349" s="14"/>
      <c r="G349" s="15">
        <f t="shared" si="27"/>
        <v>0</v>
      </c>
      <c r="H349" s="14"/>
      <c r="I349" s="15">
        <f t="shared" si="29"/>
        <v>94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46.942</v>
      </c>
      <c r="F350" s="14"/>
      <c r="G350" s="15">
        <f t="shared" si="27"/>
        <v>0</v>
      </c>
      <c r="H350" s="14"/>
      <c r="I350" s="15">
        <f t="shared" si="29"/>
        <v>94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46.942</v>
      </c>
      <c r="F351" s="14"/>
      <c r="G351" s="15">
        <f t="shared" si="27"/>
        <v>0</v>
      </c>
      <c r="H351" s="14"/>
      <c r="I351" s="15">
        <f t="shared" si="29"/>
        <v>94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46.942</v>
      </c>
      <c r="F352" s="14"/>
      <c r="G352" s="15">
        <f t="shared" si="27"/>
        <v>0</v>
      </c>
      <c r="H352" s="14"/>
      <c r="I352" s="15">
        <f t="shared" si="29"/>
        <v>94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46.942</v>
      </c>
      <c r="F353" s="14"/>
      <c r="G353" s="15">
        <f t="shared" si="27"/>
        <v>0</v>
      </c>
      <c r="H353" s="14"/>
      <c r="I353" s="15">
        <f t="shared" si="29"/>
        <v>94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46.942</v>
      </c>
      <c r="F354" s="14"/>
      <c r="G354" s="15">
        <f t="shared" si="27"/>
        <v>0</v>
      </c>
      <c r="H354" s="14"/>
      <c r="I354" s="15">
        <f t="shared" si="29"/>
        <v>94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46.942</v>
      </c>
      <c r="F355" s="14"/>
      <c r="G355" s="15">
        <f t="shared" si="27"/>
        <v>0</v>
      </c>
      <c r="H355" s="14"/>
      <c r="I355" s="15">
        <f t="shared" si="29"/>
        <v>94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46.942</v>
      </c>
      <c r="F356" s="14"/>
      <c r="G356" s="15">
        <f t="shared" si="27"/>
        <v>0</v>
      </c>
      <c r="H356" s="14"/>
      <c r="I356" s="15">
        <f t="shared" si="29"/>
        <v>94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46.942</v>
      </c>
      <c r="F357" s="14"/>
      <c r="G357" s="15">
        <f t="shared" si="27"/>
        <v>0</v>
      </c>
      <c r="H357" s="14"/>
      <c r="I357" s="15">
        <f t="shared" si="29"/>
        <v>94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46.942</v>
      </c>
      <c r="F358" s="14"/>
      <c r="G358" s="15">
        <f t="shared" si="27"/>
        <v>0</v>
      </c>
      <c r="H358" s="14"/>
      <c r="I358" s="15">
        <f t="shared" si="29"/>
        <v>94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46.942</v>
      </c>
      <c r="F359" s="14"/>
      <c r="G359" s="15">
        <f t="shared" si="27"/>
        <v>0</v>
      </c>
      <c r="H359" s="14"/>
      <c r="I359" s="15">
        <f t="shared" si="29"/>
        <v>94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46.942</v>
      </c>
      <c r="F360" s="14"/>
      <c r="G360" s="15">
        <f t="shared" si="27"/>
        <v>0</v>
      </c>
      <c r="H360" s="14"/>
      <c r="I360" s="15">
        <f t="shared" si="29"/>
        <v>94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46.942</v>
      </c>
      <c r="F361" s="14"/>
      <c r="G361" s="15">
        <f t="shared" si="27"/>
        <v>0</v>
      </c>
      <c r="H361" s="14"/>
      <c r="I361" s="15">
        <f t="shared" si="29"/>
        <v>94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46.942</v>
      </c>
      <c r="F362" s="14"/>
      <c r="G362" s="15">
        <f t="shared" si="27"/>
        <v>0</v>
      </c>
      <c r="H362" s="14"/>
      <c r="I362" s="15">
        <f t="shared" si="29"/>
        <v>94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46.942</v>
      </c>
      <c r="F363" s="14"/>
      <c r="G363" s="15">
        <f t="shared" si="27"/>
        <v>0</v>
      </c>
      <c r="H363" s="14"/>
      <c r="I363" s="15">
        <f t="shared" si="29"/>
        <v>94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46.942</v>
      </c>
      <c r="F364" s="14"/>
      <c r="G364" s="15">
        <f t="shared" si="27"/>
        <v>0</v>
      </c>
      <c r="H364" s="14"/>
      <c r="I364" s="15">
        <f t="shared" si="29"/>
        <v>94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0</v>
      </c>
      <c r="D365" s="36">
        <f>SUM(D339:D364)</f>
        <v>0</v>
      </c>
      <c r="E365" s="36"/>
      <c r="F365" s="37"/>
      <c r="G365" s="36">
        <f>SUM(G339:G364)</f>
        <v>0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GOZAR, RICHILIEU A.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JANUARY 19, 1987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46.942</v>
      </c>
      <c r="F378" s="14"/>
      <c r="G378" s="15">
        <f>C378</f>
        <v>0</v>
      </c>
      <c r="H378" s="14"/>
      <c r="I378" s="15">
        <f>I364+G378-H378</f>
        <v>94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46.942</v>
      </c>
      <c r="F379" s="14"/>
      <c r="G379" s="15">
        <f t="shared" ref="G379:G403" si="30">C379</f>
        <v>0</v>
      </c>
      <c r="H379" s="14"/>
      <c r="I379" s="15">
        <f>I378+G379-H379</f>
        <v>94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46.942</v>
      </c>
      <c r="F380" s="14"/>
      <c r="G380" s="15">
        <f t="shared" si="30"/>
        <v>0</v>
      </c>
      <c r="H380" s="14"/>
      <c r="I380" s="15">
        <f t="shared" ref="I380:I403" si="32">I379+G380-H380</f>
        <v>94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46.942</v>
      </c>
      <c r="F381" s="14"/>
      <c r="G381" s="15">
        <f t="shared" si="30"/>
        <v>0</v>
      </c>
      <c r="H381" s="14"/>
      <c r="I381" s="15">
        <f t="shared" si="32"/>
        <v>94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46.942</v>
      </c>
      <c r="F382" s="14"/>
      <c r="G382" s="15">
        <f t="shared" si="30"/>
        <v>0</v>
      </c>
      <c r="H382" s="14"/>
      <c r="I382" s="15">
        <f t="shared" si="32"/>
        <v>94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46.942</v>
      </c>
      <c r="F383" s="14"/>
      <c r="G383" s="15">
        <f t="shared" si="30"/>
        <v>0</v>
      </c>
      <c r="H383" s="14"/>
      <c r="I383" s="15">
        <f t="shared" si="32"/>
        <v>94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46.942</v>
      </c>
      <c r="F384" s="14"/>
      <c r="G384" s="15">
        <f t="shared" si="30"/>
        <v>0</v>
      </c>
      <c r="H384" s="14"/>
      <c r="I384" s="15">
        <f t="shared" si="32"/>
        <v>94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46.942</v>
      </c>
      <c r="F385" s="14"/>
      <c r="G385" s="15">
        <f t="shared" si="30"/>
        <v>0</v>
      </c>
      <c r="H385" s="14"/>
      <c r="I385" s="15">
        <f t="shared" si="32"/>
        <v>94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46.942</v>
      </c>
      <c r="F386" s="14"/>
      <c r="G386" s="15">
        <f t="shared" si="30"/>
        <v>0</v>
      </c>
      <c r="H386" s="14"/>
      <c r="I386" s="15">
        <f t="shared" si="32"/>
        <v>94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46.942</v>
      </c>
      <c r="F387" s="14"/>
      <c r="G387" s="15">
        <f t="shared" si="30"/>
        <v>0</v>
      </c>
      <c r="H387" s="14"/>
      <c r="I387" s="15">
        <f t="shared" si="32"/>
        <v>94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46.942</v>
      </c>
      <c r="F388" s="14"/>
      <c r="G388" s="15">
        <f t="shared" si="30"/>
        <v>0</v>
      </c>
      <c r="H388" s="14"/>
      <c r="I388" s="15">
        <f t="shared" si="32"/>
        <v>94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46.942</v>
      </c>
      <c r="F389" s="14"/>
      <c r="G389" s="15">
        <f t="shared" si="30"/>
        <v>0</v>
      </c>
      <c r="H389" s="14"/>
      <c r="I389" s="15">
        <f t="shared" si="32"/>
        <v>94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46.942</v>
      </c>
      <c r="F390" s="14"/>
      <c r="G390" s="15">
        <f t="shared" si="30"/>
        <v>0</v>
      </c>
      <c r="H390" s="14"/>
      <c r="I390" s="15">
        <f t="shared" si="32"/>
        <v>94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46.942</v>
      </c>
      <c r="F391" s="14"/>
      <c r="G391" s="15">
        <f t="shared" si="30"/>
        <v>0</v>
      </c>
      <c r="H391" s="14"/>
      <c r="I391" s="15">
        <f t="shared" si="32"/>
        <v>94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46.942</v>
      </c>
      <c r="F392" s="14"/>
      <c r="G392" s="15">
        <f t="shared" si="30"/>
        <v>0</v>
      </c>
      <c r="H392" s="14"/>
      <c r="I392" s="15">
        <f t="shared" si="32"/>
        <v>94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46.942</v>
      </c>
      <c r="F393" s="14"/>
      <c r="G393" s="15">
        <f t="shared" si="30"/>
        <v>0</v>
      </c>
      <c r="H393" s="14"/>
      <c r="I393" s="15">
        <f t="shared" si="32"/>
        <v>94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46.942</v>
      </c>
      <c r="F394" s="14"/>
      <c r="G394" s="15">
        <f t="shared" si="30"/>
        <v>0</v>
      </c>
      <c r="H394" s="14"/>
      <c r="I394" s="15">
        <f t="shared" si="32"/>
        <v>94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46.942</v>
      </c>
      <c r="F395" s="14"/>
      <c r="G395" s="15">
        <f t="shared" si="30"/>
        <v>0</v>
      </c>
      <c r="H395" s="14"/>
      <c r="I395" s="15">
        <f t="shared" si="32"/>
        <v>94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46.942</v>
      </c>
      <c r="F396" s="14"/>
      <c r="G396" s="15">
        <f t="shared" si="30"/>
        <v>0</v>
      </c>
      <c r="H396" s="14"/>
      <c r="I396" s="15">
        <f t="shared" si="32"/>
        <v>94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46.942</v>
      </c>
      <c r="F397" s="14"/>
      <c r="G397" s="15">
        <f t="shared" si="30"/>
        <v>0</v>
      </c>
      <c r="H397" s="14"/>
      <c r="I397" s="15">
        <f t="shared" si="32"/>
        <v>94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46.942</v>
      </c>
      <c r="F398" s="14"/>
      <c r="G398" s="15">
        <f t="shared" si="30"/>
        <v>0</v>
      </c>
      <c r="H398" s="14"/>
      <c r="I398" s="15">
        <f t="shared" si="32"/>
        <v>94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46.942</v>
      </c>
      <c r="F399" s="14"/>
      <c r="G399" s="15">
        <f t="shared" si="30"/>
        <v>0</v>
      </c>
      <c r="H399" s="14"/>
      <c r="I399" s="15">
        <f t="shared" si="32"/>
        <v>94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46.942</v>
      </c>
      <c r="F400" s="14"/>
      <c r="G400" s="15">
        <f t="shared" si="30"/>
        <v>0</v>
      </c>
      <c r="H400" s="14"/>
      <c r="I400" s="15">
        <f t="shared" si="32"/>
        <v>94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46.942</v>
      </c>
      <c r="F401" s="14"/>
      <c r="G401" s="15">
        <f t="shared" si="30"/>
        <v>0</v>
      </c>
      <c r="H401" s="14"/>
      <c r="I401" s="15">
        <f t="shared" si="32"/>
        <v>94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46.942</v>
      </c>
      <c r="F402" s="14"/>
      <c r="G402" s="15">
        <f t="shared" si="30"/>
        <v>0</v>
      </c>
      <c r="H402" s="14"/>
      <c r="I402" s="15">
        <f t="shared" si="32"/>
        <v>94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46.942</v>
      </c>
      <c r="F403" s="14"/>
      <c r="G403" s="15">
        <f t="shared" si="30"/>
        <v>0</v>
      </c>
      <c r="H403" s="14"/>
      <c r="I403" s="15">
        <f t="shared" si="32"/>
        <v>94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GOZAR, RICHILIEU A.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JANUARY 19, 1987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46.942</v>
      </c>
      <c r="F413" s="14"/>
      <c r="G413" s="15">
        <f>C413</f>
        <v>0</v>
      </c>
      <c r="H413" s="14"/>
      <c r="I413" s="15">
        <f>I403+G413-H413</f>
        <v>94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46.942</v>
      </c>
      <c r="F414" s="14"/>
      <c r="G414" s="15">
        <f t="shared" ref="G414:G438" si="33">C414</f>
        <v>0</v>
      </c>
      <c r="H414" s="14"/>
      <c r="I414" s="15">
        <f>I413+G414-H414</f>
        <v>94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46.942</v>
      </c>
      <c r="F415" s="14"/>
      <c r="G415" s="15">
        <f t="shared" si="33"/>
        <v>0</v>
      </c>
      <c r="H415" s="14"/>
      <c r="I415" s="15">
        <f t="shared" ref="I415:I438" si="35">I414+G415-H415</f>
        <v>94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46.942</v>
      </c>
      <c r="F416" s="14"/>
      <c r="G416" s="15">
        <f t="shared" si="33"/>
        <v>0</v>
      </c>
      <c r="H416" s="14"/>
      <c r="I416" s="15">
        <f t="shared" si="35"/>
        <v>94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46.942</v>
      </c>
      <c r="F417" s="14"/>
      <c r="G417" s="15">
        <f t="shared" si="33"/>
        <v>0</v>
      </c>
      <c r="H417" s="14"/>
      <c r="I417" s="15">
        <f t="shared" si="35"/>
        <v>94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46.942</v>
      </c>
      <c r="F418" s="14"/>
      <c r="G418" s="15">
        <f t="shared" si="33"/>
        <v>0</v>
      </c>
      <c r="H418" s="14"/>
      <c r="I418" s="15">
        <f t="shared" si="35"/>
        <v>94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46.942</v>
      </c>
      <c r="F419" s="14"/>
      <c r="G419" s="15">
        <f t="shared" si="33"/>
        <v>0</v>
      </c>
      <c r="H419" s="14"/>
      <c r="I419" s="15">
        <f t="shared" si="35"/>
        <v>94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46.942</v>
      </c>
      <c r="F420" s="14"/>
      <c r="G420" s="15">
        <f t="shared" si="33"/>
        <v>0</v>
      </c>
      <c r="H420" s="14"/>
      <c r="I420" s="15">
        <f t="shared" si="35"/>
        <v>94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46.942</v>
      </c>
      <c r="F421" s="14"/>
      <c r="G421" s="15">
        <f t="shared" si="33"/>
        <v>0</v>
      </c>
      <c r="H421" s="14"/>
      <c r="I421" s="15">
        <f t="shared" si="35"/>
        <v>94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46.942</v>
      </c>
      <c r="F422" s="14"/>
      <c r="G422" s="15">
        <f t="shared" si="33"/>
        <v>0</v>
      </c>
      <c r="H422" s="14"/>
      <c r="I422" s="15">
        <f t="shared" si="35"/>
        <v>94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46.942</v>
      </c>
      <c r="F423" s="14"/>
      <c r="G423" s="15">
        <f t="shared" si="33"/>
        <v>0</v>
      </c>
      <c r="H423" s="14"/>
      <c r="I423" s="15">
        <f t="shared" si="35"/>
        <v>94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46.942</v>
      </c>
      <c r="F424" s="14"/>
      <c r="G424" s="15">
        <f t="shared" si="33"/>
        <v>0</v>
      </c>
      <c r="H424" s="14"/>
      <c r="I424" s="15">
        <f t="shared" si="35"/>
        <v>94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46.942</v>
      </c>
      <c r="F425" s="14"/>
      <c r="G425" s="15">
        <f t="shared" si="33"/>
        <v>0</v>
      </c>
      <c r="H425" s="14"/>
      <c r="I425" s="15">
        <f t="shared" si="35"/>
        <v>94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46.942</v>
      </c>
      <c r="F426" s="14"/>
      <c r="G426" s="15">
        <f t="shared" si="33"/>
        <v>0</v>
      </c>
      <c r="H426" s="14"/>
      <c r="I426" s="15">
        <f t="shared" si="35"/>
        <v>94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46.942</v>
      </c>
      <c r="F427" s="14"/>
      <c r="G427" s="15">
        <f t="shared" si="33"/>
        <v>0</v>
      </c>
      <c r="H427" s="14"/>
      <c r="I427" s="15">
        <f t="shared" si="35"/>
        <v>94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46.942</v>
      </c>
      <c r="F428" s="14"/>
      <c r="G428" s="15">
        <f t="shared" si="33"/>
        <v>0</v>
      </c>
      <c r="H428" s="14"/>
      <c r="I428" s="15">
        <f t="shared" si="35"/>
        <v>94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46.942</v>
      </c>
      <c r="F429" s="14"/>
      <c r="G429" s="15">
        <f t="shared" si="33"/>
        <v>0</v>
      </c>
      <c r="H429" s="14"/>
      <c r="I429" s="15">
        <f t="shared" si="35"/>
        <v>94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46.942</v>
      </c>
      <c r="F430" s="14"/>
      <c r="G430" s="15">
        <f t="shared" si="33"/>
        <v>0</v>
      </c>
      <c r="H430" s="14"/>
      <c r="I430" s="15">
        <f t="shared" si="35"/>
        <v>94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46.942</v>
      </c>
      <c r="F431" s="14"/>
      <c r="G431" s="15">
        <f t="shared" si="33"/>
        <v>0</v>
      </c>
      <c r="H431" s="14"/>
      <c r="I431" s="15">
        <f t="shared" si="35"/>
        <v>94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46.942</v>
      </c>
      <c r="F432" s="14"/>
      <c r="G432" s="15">
        <f t="shared" si="33"/>
        <v>0</v>
      </c>
      <c r="H432" s="14"/>
      <c r="I432" s="15">
        <f t="shared" si="35"/>
        <v>94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46.942</v>
      </c>
      <c r="F433" s="14"/>
      <c r="G433" s="15">
        <f t="shared" si="33"/>
        <v>0</v>
      </c>
      <c r="H433" s="14"/>
      <c r="I433" s="15">
        <f t="shared" si="35"/>
        <v>94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46.942</v>
      </c>
      <c r="F434" s="14"/>
      <c r="G434" s="15">
        <f t="shared" si="33"/>
        <v>0</v>
      </c>
      <c r="H434" s="14"/>
      <c r="I434" s="15">
        <f t="shared" si="35"/>
        <v>94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46.942</v>
      </c>
      <c r="F435" s="14"/>
      <c r="G435" s="15">
        <f t="shared" si="33"/>
        <v>0</v>
      </c>
      <c r="H435" s="14"/>
      <c r="I435" s="15">
        <f t="shared" si="35"/>
        <v>94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46.942</v>
      </c>
      <c r="F436" s="14"/>
      <c r="G436" s="15">
        <f t="shared" si="33"/>
        <v>0</v>
      </c>
      <c r="H436" s="14"/>
      <c r="I436" s="15">
        <f t="shared" si="35"/>
        <v>94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46.942</v>
      </c>
      <c r="F437" s="14"/>
      <c r="G437" s="15">
        <f t="shared" si="33"/>
        <v>0</v>
      </c>
      <c r="H437" s="14"/>
      <c r="I437" s="15">
        <f t="shared" si="35"/>
        <v>94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46.942</v>
      </c>
      <c r="F438" s="14"/>
      <c r="G438" s="15">
        <f t="shared" si="33"/>
        <v>0</v>
      </c>
      <c r="H438" s="14"/>
      <c r="I438" s="15">
        <f t="shared" si="35"/>
        <v>94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GOZAR, RICHILIEU A.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JANUARY 19, 1987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46.942</v>
      </c>
      <c r="F452" s="14"/>
      <c r="G452" s="15">
        <f>C452</f>
        <v>0</v>
      </c>
      <c r="H452" s="14"/>
      <c r="I452" s="15">
        <f>I438+G452-H452</f>
        <v>94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46.942</v>
      </c>
      <c r="F453" s="14"/>
      <c r="G453" s="15">
        <f t="shared" ref="G453:G477" si="36">C453</f>
        <v>0</v>
      </c>
      <c r="H453" s="14"/>
      <c r="I453" s="15">
        <f>I452+G453-H453</f>
        <v>94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46.942</v>
      </c>
      <c r="F454" s="14"/>
      <c r="G454" s="15">
        <f t="shared" si="36"/>
        <v>0</v>
      </c>
      <c r="H454" s="14"/>
      <c r="I454" s="15">
        <f t="shared" ref="I454:I477" si="38">I453+G454-H454</f>
        <v>94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46.942</v>
      </c>
      <c r="F455" s="14"/>
      <c r="G455" s="15">
        <f t="shared" si="36"/>
        <v>0</v>
      </c>
      <c r="H455" s="14"/>
      <c r="I455" s="15">
        <f t="shared" si="38"/>
        <v>94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46.942</v>
      </c>
      <c r="F456" s="14"/>
      <c r="G456" s="15">
        <f t="shared" si="36"/>
        <v>0</v>
      </c>
      <c r="H456" s="14"/>
      <c r="I456" s="15">
        <f t="shared" si="38"/>
        <v>94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46.942</v>
      </c>
      <c r="F457" s="14"/>
      <c r="G457" s="15">
        <f t="shared" si="36"/>
        <v>0</v>
      </c>
      <c r="H457" s="14"/>
      <c r="I457" s="15">
        <f t="shared" si="38"/>
        <v>94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46.942</v>
      </c>
      <c r="F458" s="14"/>
      <c r="G458" s="15">
        <f t="shared" si="36"/>
        <v>0</v>
      </c>
      <c r="H458" s="14"/>
      <c r="I458" s="15">
        <f t="shared" si="38"/>
        <v>94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46.942</v>
      </c>
      <c r="F459" s="14"/>
      <c r="G459" s="15">
        <f t="shared" si="36"/>
        <v>0</v>
      </c>
      <c r="H459" s="14"/>
      <c r="I459" s="15">
        <f t="shared" si="38"/>
        <v>94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46.942</v>
      </c>
      <c r="F460" s="14"/>
      <c r="G460" s="15">
        <f t="shared" si="36"/>
        <v>0</v>
      </c>
      <c r="H460" s="14"/>
      <c r="I460" s="15">
        <f t="shared" si="38"/>
        <v>94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46.942</v>
      </c>
      <c r="F461" s="14"/>
      <c r="G461" s="15">
        <f t="shared" si="36"/>
        <v>0</v>
      </c>
      <c r="H461" s="14"/>
      <c r="I461" s="15">
        <f t="shared" si="38"/>
        <v>94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46.942</v>
      </c>
      <c r="F462" s="14"/>
      <c r="G462" s="15">
        <f t="shared" si="36"/>
        <v>0</v>
      </c>
      <c r="H462" s="14"/>
      <c r="I462" s="15">
        <f t="shared" si="38"/>
        <v>94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46.942</v>
      </c>
      <c r="F463" s="14"/>
      <c r="G463" s="15">
        <f t="shared" si="36"/>
        <v>0</v>
      </c>
      <c r="H463" s="14"/>
      <c r="I463" s="15">
        <f t="shared" si="38"/>
        <v>94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46.942</v>
      </c>
      <c r="F464" s="14"/>
      <c r="G464" s="15">
        <f t="shared" si="36"/>
        <v>0</v>
      </c>
      <c r="H464" s="14"/>
      <c r="I464" s="15">
        <f t="shared" si="38"/>
        <v>94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46.942</v>
      </c>
      <c r="F465" s="14"/>
      <c r="G465" s="15">
        <f t="shared" si="36"/>
        <v>0</v>
      </c>
      <c r="H465" s="14"/>
      <c r="I465" s="15">
        <f t="shared" si="38"/>
        <v>94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46.942</v>
      </c>
      <c r="F466" s="14"/>
      <c r="G466" s="15">
        <f t="shared" si="36"/>
        <v>0</v>
      </c>
      <c r="H466" s="14"/>
      <c r="I466" s="15">
        <f t="shared" si="38"/>
        <v>94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46.942</v>
      </c>
      <c r="F467" s="14"/>
      <c r="G467" s="15">
        <f t="shared" si="36"/>
        <v>0</v>
      </c>
      <c r="H467" s="14"/>
      <c r="I467" s="15">
        <f t="shared" si="38"/>
        <v>94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46.942</v>
      </c>
      <c r="F468" s="14"/>
      <c r="G468" s="15">
        <f t="shared" si="36"/>
        <v>0</v>
      </c>
      <c r="H468" s="14"/>
      <c r="I468" s="15">
        <f t="shared" si="38"/>
        <v>94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46.942</v>
      </c>
      <c r="F469" s="14"/>
      <c r="G469" s="15">
        <f t="shared" si="36"/>
        <v>0</v>
      </c>
      <c r="H469" s="14"/>
      <c r="I469" s="15">
        <f t="shared" si="38"/>
        <v>94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46.942</v>
      </c>
      <c r="F470" s="14"/>
      <c r="G470" s="15">
        <f t="shared" si="36"/>
        <v>0</v>
      </c>
      <c r="H470" s="14"/>
      <c r="I470" s="15">
        <f t="shared" si="38"/>
        <v>94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46.942</v>
      </c>
      <c r="F471" s="14"/>
      <c r="G471" s="15">
        <f t="shared" si="36"/>
        <v>0</v>
      </c>
      <c r="H471" s="14"/>
      <c r="I471" s="15">
        <f t="shared" si="38"/>
        <v>94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46.942</v>
      </c>
      <c r="F472" s="14"/>
      <c r="G472" s="15">
        <f t="shared" si="36"/>
        <v>0</v>
      </c>
      <c r="H472" s="14"/>
      <c r="I472" s="15">
        <f t="shared" si="38"/>
        <v>94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46.942</v>
      </c>
      <c r="F473" s="14"/>
      <c r="G473" s="15">
        <f t="shared" si="36"/>
        <v>0</v>
      </c>
      <c r="H473" s="14"/>
      <c r="I473" s="15">
        <f t="shared" si="38"/>
        <v>94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46.942</v>
      </c>
      <c r="F474" s="14"/>
      <c r="G474" s="15">
        <f t="shared" si="36"/>
        <v>0</v>
      </c>
      <c r="H474" s="14"/>
      <c r="I474" s="15">
        <f t="shared" si="38"/>
        <v>94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46.942</v>
      </c>
      <c r="F475" s="14"/>
      <c r="G475" s="15">
        <f t="shared" si="36"/>
        <v>0</v>
      </c>
      <c r="H475" s="14"/>
      <c r="I475" s="15">
        <f t="shared" si="38"/>
        <v>94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46.942</v>
      </c>
      <c r="F476" s="14"/>
      <c r="G476" s="15">
        <f t="shared" si="36"/>
        <v>0</v>
      </c>
      <c r="H476" s="14"/>
      <c r="I476" s="15">
        <f t="shared" si="38"/>
        <v>94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46.942</v>
      </c>
      <c r="F477" s="14"/>
      <c r="G477" s="15">
        <f t="shared" si="36"/>
        <v>0</v>
      </c>
      <c r="H477" s="14"/>
      <c r="I477" s="15">
        <f t="shared" si="38"/>
        <v>94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GOZAR, RICHILIEU A.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JANUARY 19, 1987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46.942</v>
      </c>
      <c r="F487" s="14"/>
      <c r="G487" s="15"/>
      <c r="H487" s="14"/>
      <c r="I487" s="15">
        <f>I477+G487-H487</f>
        <v>94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46.942</v>
      </c>
      <c r="F488" s="14"/>
      <c r="G488" s="15"/>
      <c r="H488" s="14"/>
      <c r="I488" s="15">
        <f>I487+G488-H488</f>
        <v>94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46.942</v>
      </c>
      <c r="F489" s="14"/>
      <c r="G489" s="15"/>
      <c r="H489" s="14"/>
      <c r="I489" s="15">
        <f t="shared" ref="I489:I512" si="40">I488+G489-H489</f>
        <v>94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46.942</v>
      </c>
      <c r="F490" s="14"/>
      <c r="G490" s="15"/>
      <c r="H490" s="14"/>
      <c r="I490" s="15">
        <f t="shared" si="40"/>
        <v>94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46.942</v>
      </c>
      <c r="F491" s="14"/>
      <c r="G491" s="15"/>
      <c r="H491" s="14"/>
      <c r="I491" s="15">
        <f t="shared" si="40"/>
        <v>94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46.942</v>
      </c>
      <c r="F492" s="14"/>
      <c r="G492" s="15"/>
      <c r="H492" s="14"/>
      <c r="I492" s="15">
        <f t="shared" si="40"/>
        <v>94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46.942</v>
      </c>
      <c r="F493" s="14"/>
      <c r="G493" s="15"/>
      <c r="H493" s="14"/>
      <c r="I493" s="15">
        <f t="shared" si="40"/>
        <v>94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46.942</v>
      </c>
      <c r="F494" s="14"/>
      <c r="G494" s="15"/>
      <c r="H494" s="14"/>
      <c r="I494" s="15">
        <f t="shared" si="40"/>
        <v>94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46.942</v>
      </c>
      <c r="F495" s="14"/>
      <c r="G495" s="15"/>
      <c r="H495" s="14"/>
      <c r="I495" s="15">
        <f t="shared" si="40"/>
        <v>94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46.942</v>
      </c>
      <c r="F496" s="14"/>
      <c r="G496" s="15"/>
      <c r="H496" s="14"/>
      <c r="I496" s="15">
        <f t="shared" si="40"/>
        <v>94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46.942</v>
      </c>
      <c r="F497" s="14"/>
      <c r="G497" s="15"/>
      <c r="H497" s="14"/>
      <c r="I497" s="15">
        <f t="shared" si="40"/>
        <v>94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46.942</v>
      </c>
      <c r="F498" s="14"/>
      <c r="G498" s="15"/>
      <c r="H498" s="14"/>
      <c r="I498" s="15">
        <f t="shared" si="40"/>
        <v>94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46.942</v>
      </c>
      <c r="F499" s="14"/>
      <c r="G499" s="15"/>
      <c r="H499" s="14"/>
      <c r="I499" s="15">
        <f t="shared" si="40"/>
        <v>94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46.942</v>
      </c>
      <c r="F500" s="14"/>
      <c r="G500" s="15"/>
      <c r="H500" s="14"/>
      <c r="I500" s="15">
        <f t="shared" si="40"/>
        <v>94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46.942</v>
      </c>
      <c r="F501" s="14"/>
      <c r="G501" s="15"/>
      <c r="H501" s="14"/>
      <c r="I501" s="15">
        <f t="shared" si="40"/>
        <v>94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46.942</v>
      </c>
      <c r="F502" s="14"/>
      <c r="G502" s="15"/>
      <c r="H502" s="14"/>
      <c r="I502" s="15">
        <f t="shared" si="40"/>
        <v>94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46.942</v>
      </c>
      <c r="F503" s="14"/>
      <c r="G503" s="15"/>
      <c r="H503" s="14"/>
      <c r="I503" s="15">
        <f t="shared" si="40"/>
        <v>94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46.942</v>
      </c>
      <c r="F504" s="14"/>
      <c r="G504" s="15"/>
      <c r="H504" s="14"/>
      <c r="I504" s="15">
        <f t="shared" si="40"/>
        <v>94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46.942</v>
      </c>
      <c r="F505" s="14"/>
      <c r="G505" s="15"/>
      <c r="H505" s="14"/>
      <c r="I505" s="15">
        <f t="shared" si="40"/>
        <v>94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46.942</v>
      </c>
      <c r="F506" s="14"/>
      <c r="G506" s="15"/>
      <c r="H506" s="14"/>
      <c r="I506" s="15">
        <f t="shared" si="40"/>
        <v>94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46.942</v>
      </c>
      <c r="F507" s="14"/>
      <c r="G507" s="15"/>
      <c r="H507" s="14"/>
      <c r="I507" s="15">
        <f t="shared" si="40"/>
        <v>94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46.942</v>
      </c>
      <c r="F508" s="14"/>
      <c r="G508" s="15"/>
      <c r="H508" s="14"/>
      <c r="I508" s="15">
        <f t="shared" si="40"/>
        <v>94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46.942</v>
      </c>
      <c r="F509" s="14"/>
      <c r="G509" s="15"/>
      <c r="H509" s="14"/>
      <c r="I509" s="15">
        <f t="shared" si="40"/>
        <v>94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46.942</v>
      </c>
      <c r="F510" s="14"/>
      <c r="G510" s="15"/>
      <c r="H510" s="14"/>
      <c r="I510" s="15">
        <f t="shared" si="40"/>
        <v>94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46.942</v>
      </c>
      <c r="F511" s="14"/>
      <c r="G511" s="15"/>
      <c r="H511" s="14"/>
      <c r="I511" s="15">
        <f t="shared" si="40"/>
        <v>94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46.942</v>
      </c>
      <c r="F512" s="14"/>
      <c r="G512" s="15"/>
      <c r="H512" s="14"/>
      <c r="I512" s="15">
        <f t="shared" si="40"/>
        <v>94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GOZAR, RICHILIEU A.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JANUARY 19, 1987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46.942</v>
      </c>
      <c r="F526" s="14"/>
      <c r="G526" s="15"/>
      <c r="H526" s="14"/>
      <c r="I526" s="15">
        <f>I512+G526-H526</f>
        <v>94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46.942</v>
      </c>
      <c r="F527" s="14"/>
      <c r="G527" s="15"/>
      <c r="H527" s="14"/>
      <c r="I527" s="15">
        <f>I526+G527-H527</f>
        <v>94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46.942</v>
      </c>
      <c r="F528" s="14"/>
      <c r="G528" s="15"/>
      <c r="H528" s="14"/>
      <c r="I528" s="15">
        <f t="shared" ref="I528:I551" si="42">I527+G528-H528</f>
        <v>94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46.942</v>
      </c>
      <c r="F529" s="14"/>
      <c r="G529" s="15"/>
      <c r="H529" s="14"/>
      <c r="I529" s="15">
        <f t="shared" si="42"/>
        <v>94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46.942</v>
      </c>
      <c r="F530" s="14"/>
      <c r="G530" s="15"/>
      <c r="H530" s="14"/>
      <c r="I530" s="15">
        <f t="shared" si="42"/>
        <v>94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46.942</v>
      </c>
      <c r="F531" s="14"/>
      <c r="G531" s="15"/>
      <c r="H531" s="14"/>
      <c r="I531" s="15">
        <f t="shared" si="42"/>
        <v>94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46.942</v>
      </c>
      <c r="F532" s="14"/>
      <c r="G532" s="15"/>
      <c r="H532" s="14"/>
      <c r="I532" s="15">
        <f t="shared" si="42"/>
        <v>94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46.942</v>
      </c>
      <c r="F533" s="14"/>
      <c r="G533" s="15"/>
      <c r="H533" s="14"/>
      <c r="I533" s="15">
        <f t="shared" si="42"/>
        <v>94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46.942</v>
      </c>
      <c r="F534" s="14"/>
      <c r="G534" s="15"/>
      <c r="H534" s="14"/>
      <c r="I534" s="15">
        <f t="shared" si="42"/>
        <v>94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46.942</v>
      </c>
      <c r="F535" s="14"/>
      <c r="G535" s="15"/>
      <c r="H535" s="14"/>
      <c r="I535" s="15">
        <f t="shared" si="42"/>
        <v>94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46.942</v>
      </c>
      <c r="F536" s="14"/>
      <c r="G536" s="15"/>
      <c r="H536" s="14"/>
      <c r="I536" s="15">
        <f t="shared" si="42"/>
        <v>94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46.942</v>
      </c>
      <c r="F537" s="14"/>
      <c r="G537" s="15"/>
      <c r="H537" s="14"/>
      <c r="I537" s="15">
        <f t="shared" si="42"/>
        <v>94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46.942</v>
      </c>
      <c r="F538" s="14"/>
      <c r="G538" s="15"/>
      <c r="H538" s="14"/>
      <c r="I538" s="15">
        <f t="shared" si="42"/>
        <v>94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46.942</v>
      </c>
      <c r="F539" s="14"/>
      <c r="G539" s="15"/>
      <c r="H539" s="14"/>
      <c r="I539" s="15">
        <f t="shared" si="42"/>
        <v>94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46.942</v>
      </c>
      <c r="F540" s="14"/>
      <c r="G540" s="15"/>
      <c r="H540" s="14"/>
      <c r="I540" s="15">
        <f t="shared" si="42"/>
        <v>94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46.942</v>
      </c>
      <c r="F541" s="14"/>
      <c r="G541" s="15"/>
      <c r="H541" s="14"/>
      <c r="I541" s="15">
        <f t="shared" si="42"/>
        <v>94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46.942</v>
      </c>
      <c r="F542" s="14"/>
      <c r="G542" s="15"/>
      <c r="H542" s="14"/>
      <c r="I542" s="15">
        <f t="shared" si="42"/>
        <v>94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46.942</v>
      </c>
      <c r="F543" s="14"/>
      <c r="G543" s="15"/>
      <c r="H543" s="14"/>
      <c r="I543" s="15">
        <f t="shared" si="42"/>
        <v>94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46.942</v>
      </c>
      <c r="F544" s="14"/>
      <c r="G544" s="15"/>
      <c r="H544" s="14"/>
      <c r="I544" s="15">
        <f t="shared" si="42"/>
        <v>94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46.942</v>
      </c>
      <c r="F545" s="14"/>
      <c r="G545" s="15"/>
      <c r="H545" s="14"/>
      <c r="I545" s="15">
        <f t="shared" si="42"/>
        <v>94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46.942</v>
      </c>
      <c r="F546" s="14"/>
      <c r="G546" s="15"/>
      <c r="H546" s="14"/>
      <c r="I546" s="15">
        <f t="shared" si="42"/>
        <v>94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46.942</v>
      </c>
      <c r="F547" s="14"/>
      <c r="G547" s="15"/>
      <c r="H547" s="14"/>
      <c r="I547" s="15">
        <f t="shared" si="42"/>
        <v>94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46.942</v>
      </c>
      <c r="F548" s="14"/>
      <c r="G548" s="15"/>
      <c r="H548" s="14"/>
      <c r="I548" s="15">
        <f t="shared" si="42"/>
        <v>94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46.942</v>
      </c>
      <c r="F549" s="14"/>
      <c r="G549" s="15"/>
      <c r="H549" s="14"/>
      <c r="I549" s="15">
        <f t="shared" si="42"/>
        <v>94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46.942</v>
      </c>
      <c r="F550" s="14"/>
      <c r="G550" s="15"/>
      <c r="H550" s="14"/>
      <c r="I550" s="15">
        <f t="shared" si="42"/>
        <v>94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46.942</v>
      </c>
      <c r="F551" s="14"/>
      <c r="G551" s="15"/>
      <c r="H551" s="14"/>
      <c r="I551" s="15">
        <f t="shared" si="42"/>
        <v>94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108</v>
      </c>
      <c r="D556" s="46">
        <f>SUM(D552+D513+D478+D439+D404+D365+D330+D291+D256+D217+D182+D143+D108+D69+D34)</f>
        <v>61.058</v>
      </c>
      <c r="E556" s="46"/>
      <c r="G556" s="26">
        <f>SUM(G552+G513+G478+G439+G404+G365+G330+G291+G256+G217+G182+G143+G108+G69+G34)</f>
        <v>108</v>
      </c>
      <c r="H556" s="46">
        <f>SUM(H552+H513+H478+H439+H404+H365+H330+H291+H256+H217+H182+H143+H108+H69+H34)</f>
        <v>14</v>
      </c>
      <c r="I556" s="46"/>
      <c r="K556" s="28">
        <v>319.875</v>
      </c>
    </row>
    <row r="557" spans="1:11" ht="12.6" customHeight="1" x14ac:dyDescent="0.2">
      <c r="K557" s="47">
        <f>G556-K556</f>
        <v>-211.875</v>
      </c>
    </row>
    <row r="566" spans="2:11" ht="12.6" customHeight="1" x14ac:dyDescent="0.2">
      <c r="B566" s="3" t="s">
        <v>33</v>
      </c>
      <c r="E566" s="46"/>
      <c r="F566" s="48">
        <f>C556</f>
        <v>108</v>
      </c>
      <c r="H566" s="48">
        <f>F566</f>
        <v>108</v>
      </c>
    </row>
    <row r="567" spans="2:11" ht="12.6" customHeight="1" x14ac:dyDescent="0.2">
      <c r="B567" s="3" t="s">
        <v>34</v>
      </c>
      <c r="E567" s="46"/>
      <c r="F567" s="48">
        <f>D556</f>
        <v>61.058</v>
      </c>
      <c r="H567" s="48">
        <f>H556</f>
        <v>14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46.942</v>
      </c>
      <c r="G570" s="50"/>
      <c r="H570" s="53">
        <f>SUM(H566-H567)</f>
        <v>94</v>
      </c>
      <c r="I570" s="54">
        <f>SUM(H570+F570)</f>
        <v>140.94200000000001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140.94200000000001</v>
      </c>
      <c r="D573" s="97"/>
      <c r="E573" s="100">
        <v>4.8192699999999998E-2</v>
      </c>
      <c r="F573" s="100"/>
      <c r="H573" s="101">
        <f>B573*C573*E573</f>
        <v>108481.02948422139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4"/>
  <sheetViews>
    <sheetView topLeftCell="P195" zoomScale="150" zoomScaleNormal="150" workbookViewId="0">
      <selection activeCell="L266" sqref="L266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1113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1114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36537</v>
      </c>
      <c r="B7" s="14"/>
      <c r="C7" s="15">
        <v>8.75</v>
      </c>
      <c r="D7" s="14"/>
      <c r="E7" s="15">
        <f>C7+D7</f>
        <v>8.75</v>
      </c>
      <c r="F7" s="14"/>
      <c r="G7" s="15">
        <f>C7</f>
        <v>8.75</v>
      </c>
      <c r="H7" s="14"/>
      <c r="I7" s="15">
        <f>G7+H7</f>
        <v>8.75</v>
      </c>
      <c r="J7" s="14"/>
      <c r="K7" s="16"/>
    </row>
    <row r="8" spans="1:11" ht="12.6" customHeight="1" x14ac:dyDescent="0.2">
      <c r="A8" s="13">
        <v>36896</v>
      </c>
      <c r="B8" s="17"/>
      <c r="C8" s="15">
        <v>6.25</v>
      </c>
      <c r="D8" s="18"/>
      <c r="E8" s="15">
        <f>E7+C8-D8</f>
        <v>15</v>
      </c>
      <c r="F8" s="14"/>
      <c r="G8" s="15">
        <f t="shared" ref="G8:G33" si="0">C8</f>
        <v>6.25</v>
      </c>
      <c r="H8" s="14"/>
      <c r="I8" s="15">
        <f>I7+G8-H8</f>
        <v>15</v>
      </c>
      <c r="J8" s="14"/>
      <c r="K8" s="16"/>
    </row>
    <row r="9" spans="1:11" ht="12.6" customHeight="1" x14ac:dyDescent="0.2">
      <c r="A9" s="13"/>
      <c r="B9" s="17" t="s">
        <v>60</v>
      </c>
      <c r="C9" s="15"/>
      <c r="D9" s="14">
        <v>5</v>
      </c>
      <c r="E9" s="15">
        <f t="shared" ref="E9:E33" si="1">E8+C9-D9</f>
        <v>10</v>
      </c>
      <c r="F9" s="14"/>
      <c r="G9" s="15">
        <f t="shared" si="0"/>
        <v>0</v>
      </c>
      <c r="H9" s="14"/>
      <c r="I9" s="15">
        <f t="shared" ref="I9:I34" si="2">I8+G9-H9</f>
        <v>15</v>
      </c>
      <c r="J9" s="14"/>
      <c r="K9" s="16" t="s">
        <v>1115</v>
      </c>
    </row>
    <row r="10" spans="1:11" ht="12.6" customHeight="1" x14ac:dyDescent="0.2">
      <c r="A10" s="13">
        <v>36901</v>
      </c>
      <c r="B10" s="19"/>
      <c r="C10" s="15">
        <v>6.25</v>
      </c>
      <c r="D10" s="14"/>
      <c r="E10" s="15">
        <f t="shared" si="1"/>
        <v>16.25</v>
      </c>
      <c r="F10" s="14"/>
      <c r="G10" s="15">
        <f t="shared" si="0"/>
        <v>6.25</v>
      </c>
      <c r="H10" s="14"/>
      <c r="I10" s="15">
        <f t="shared" si="2"/>
        <v>21.25</v>
      </c>
      <c r="J10" s="14"/>
      <c r="K10" s="13"/>
    </row>
    <row r="11" spans="1:11" ht="12.6" customHeight="1" x14ac:dyDescent="0.2">
      <c r="A11" s="13"/>
      <c r="B11" s="17" t="s">
        <v>74</v>
      </c>
      <c r="C11" s="15"/>
      <c r="D11" s="14">
        <v>1</v>
      </c>
      <c r="E11" s="15">
        <f t="shared" si="1"/>
        <v>15.25</v>
      </c>
      <c r="F11" s="14"/>
      <c r="G11" s="15">
        <f t="shared" si="0"/>
        <v>0</v>
      </c>
      <c r="H11" s="14"/>
      <c r="I11" s="15">
        <f t="shared" si="2"/>
        <v>21.25</v>
      </c>
      <c r="J11" s="14"/>
      <c r="K11" s="13">
        <v>37235</v>
      </c>
    </row>
    <row r="12" spans="1:11" ht="12.6" customHeight="1" x14ac:dyDescent="0.2">
      <c r="A12" s="13">
        <v>37258</v>
      </c>
      <c r="B12" s="19"/>
      <c r="C12" s="15">
        <v>5</v>
      </c>
      <c r="D12" s="14"/>
      <c r="E12" s="15">
        <f t="shared" si="1"/>
        <v>20.25</v>
      </c>
      <c r="F12" s="14"/>
      <c r="G12" s="15">
        <f t="shared" si="0"/>
        <v>5</v>
      </c>
      <c r="H12" s="14"/>
      <c r="I12" s="15">
        <f t="shared" si="2"/>
        <v>26.25</v>
      </c>
      <c r="J12" s="14"/>
      <c r="K12" s="13"/>
    </row>
    <row r="13" spans="1:11" ht="12.6" customHeight="1" x14ac:dyDescent="0.2">
      <c r="A13" s="13"/>
      <c r="B13" s="17" t="s">
        <v>144</v>
      </c>
      <c r="C13" s="15"/>
      <c r="D13" s="14"/>
      <c r="E13" s="15">
        <f t="shared" si="1"/>
        <v>20.25</v>
      </c>
      <c r="F13" s="14"/>
      <c r="G13" s="15">
        <f t="shared" si="0"/>
        <v>0</v>
      </c>
      <c r="H13" s="14">
        <v>1.5</v>
      </c>
      <c r="I13" s="15">
        <f t="shared" si="2"/>
        <v>24.75</v>
      </c>
      <c r="J13" s="14"/>
      <c r="K13" s="13" t="s">
        <v>1116</v>
      </c>
    </row>
    <row r="14" spans="1:11" ht="12.6" customHeight="1" x14ac:dyDescent="0.2">
      <c r="A14" s="13">
        <v>37265</v>
      </c>
      <c r="B14" s="17"/>
      <c r="C14" s="15">
        <v>8.75</v>
      </c>
      <c r="D14" s="14"/>
      <c r="E14" s="15">
        <f t="shared" si="1"/>
        <v>29</v>
      </c>
      <c r="F14" s="14"/>
      <c r="G14" s="15">
        <f t="shared" si="0"/>
        <v>8.75</v>
      </c>
      <c r="H14" s="14"/>
      <c r="I14" s="15">
        <f t="shared" si="2"/>
        <v>33.5</v>
      </c>
      <c r="J14" s="14"/>
      <c r="K14" s="13"/>
    </row>
    <row r="15" spans="1:11" ht="12.6" customHeight="1" x14ac:dyDescent="0.2">
      <c r="A15" s="13"/>
      <c r="B15" s="17" t="s">
        <v>45</v>
      </c>
      <c r="C15" s="15"/>
      <c r="D15" s="14"/>
      <c r="E15" s="15">
        <f t="shared" si="1"/>
        <v>29</v>
      </c>
      <c r="F15" s="14"/>
      <c r="G15" s="15">
        <f t="shared" si="0"/>
        <v>0</v>
      </c>
      <c r="H15" s="14"/>
      <c r="I15" s="15">
        <f t="shared" si="2"/>
        <v>33.5</v>
      </c>
      <c r="J15" s="14"/>
      <c r="K15" s="13" t="s">
        <v>1117</v>
      </c>
    </row>
    <row r="16" spans="1:11" ht="12.6" customHeight="1" x14ac:dyDescent="0.2">
      <c r="A16" s="13">
        <v>37622</v>
      </c>
      <c r="B16" s="19"/>
      <c r="C16" s="15">
        <v>5</v>
      </c>
      <c r="D16" s="14"/>
      <c r="E16" s="15">
        <f t="shared" si="1"/>
        <v>34</v>
      </c>
      <c r="F16" s="14"/>
      <c r="G16" s="15">
        <f t="shared" si="0"/>
        <v>5</v>
      </c>
      <c r="H16" s="14"/>
      <c r="I16" s="15">
        <f t="shared" si="2"/>
        <v>38.5</v>
      </c>
      <c r="J16" s="14"/>
      <c r="K16" s="13"/>
    </row>
    <row r="17" spans="1:11" ht="12.6" customHeight="1" x14ac:dyDescent="0.2">
      <c r="A17" s="13"/>
      <c r="B17" s="17" t="s">
        <v>65</v>
      </c>
      <c r="C17" s="15"/>
      <c r="D17" s="14">
        <v>5</v>
      </c>
      <c r="E17" s="15">
        <f t="shared" si="1"/>
        <v>29</v>
      </c>
      <c r="F17" s="14"/>
      <c r="G17" s="15">
        <f t="shared" si="0"/>
        <v>0</v>
      </c>
      <c r="H17" s="14"/>
      <c r="I17" s="15">
        <f t="shared" si="2"/>
        <v>38.5</v>
      </c>
      <c r="J17" s="14"/>
      <c r="K17" s="13" t="s">
        <v>98</v>
      </c>
    </row>
    <row r="18" spans="1:11" ht="12.6" customHeight="1" x14ac:dyDescent="0.2">
      <c r="A18" s="13">
        <v>37625</v>
      </c>
      <c r="B18" s="17"/>
      <c r="C18" s="15">
        <v>3.75</v>
      </c>
      <c r="D18" s="14"/>
      <c r="E18" s="15">
        <f t="shared" si="1"/>
        <v>32.75</v>
      </c>
      <c r="F18" s="14"/>
      <c r="G18" s="15">
        <f t="shared" si="0"/>
        <v>3.75</v>
      </c>
      <c r="H18" s="14"/>
      <c r="I18" s="15">
        <f t="shared" si="2"/>
        <v>42.25</v>
      </c>
      <c r="J18" s="14"/>
      <c r="K18" s="13"/>
    </row>
    <row r="19" spans="1:11" ht="12.6" customHeight="1" x14ac:dyDescent="0.2">
      <c r="A19" s="13"/>
      <c r="B19" s="17" t="s">
        <v>45</v>
      </c>
      <c r="C19" s="15"/>
      <c r="D19" s="14"/>
      <c r="E19" s="15">
        <f t="shared" si="1"/>
        <v>32.75</v>
      </c>
      <c r="F19" s="14"/>
      <c r="G19" s="15">
        <f t="shared" si="0"/>
        <v>0</v>
      </c>
      <c r="H19" s="14"/>
      <c r="I19" s="15">
        <f t="shared" si="2"/>
        <v>42.25</v>
      </c>
      <c r="J19" s="14"/>
      <c r="K19" s="13">
        <v>37868</v>
      </c>
    </row>
    <row r="20" spans="1:11" ht="12.6" customHeight="1" x14ac:dyDescent="0.2">
      <c r="A20" s="13">
        <v>37630</v>
      </c>
      <c r="B20" s="17"/>
      <c r="C20" s="15">
        <v>6.25</v>
      </c>
      <c r="D20" s="21"/>
      <c r="E20" s="15">
        <f t="shared" si="1"/>
        <v>39</v>
      </c>
      <c r="F20" s="14"/>
      <c r="G20" s="15">
        <f t="shared" si="0"/>
        <v>6.25</v>
      </c>
      <c r="H20" s="14"/>
      <c r="I20" s="15">
        <f t="shared" si="2"/>
        <v>48.5</v>
      </c>
      <c r="J20" s="14"/>
      <c r="K20" s="13"/>
    </row>
    <row r="21" spans="1:11" ht="12.6" customHeight="1" x14ac:dyDescent="0.2">
      <c r="A21" s="13"/>
      <c r="B21" s="17" t="s">
        <v>45</v>
      </c>
      <c r="C21" s="15"/>
      <c r="D21" s="14"/>
      <c r="E21" s="15">
        <f t="shared" si="1"/>
        <v>39</v>
      </c>
      <c r="F21" s="14"/>
      <c r="G21" s="15">
        <f t="shared" si="0"/>
        <v>0</v>
      </c>
      <c r="H21" s="14"/>
      <c r="I21" s="15">
        <f t="shared" si="2"/>
        <v>48.5</v>
      </c>
      <c r="J21" s="14"/>
      <c r="K21" s="13" t="s">
        <v>286</v>
      </c>
    </row>
    <row r="22" spans="1:11" ht="12.6" customHeight="1" x14ac:dyDescent="0.2">
      <c r="A22" s="13">
        <v>37632</v>
      </c>
      <c r="B22" s="17"/>
      <c r="C22" s="15">
        <v>2.5</v>
      </c>
      <c r="D22" s="14"/>
      <c r="E22" s="15">
        <f t="shared" si="1"/>
        <v>41.5</v>
      </c>
      <c r="F22" s="14"/>
      <c r="G22" s="15">
        <f t="shared" si="0"/>
        <v>2.5</v>
      </c>
      <c r="H22" s="14"/>
      <c r="I22" s="15">
        <f t="shared" si="2"/>
        <v>51</v>
      </c>
      <c r="J22" s="14"/>
      <c r="K22" s="13"/>
    </row>
    <row r="23" spans="1:11" ht="12.6" customHeight="1" x14ac:dyDescent="0.2">
      <c r="A23" s="13"/>
      <c r="B23" s="17" t="s">
        <v>91</v>
      </c>
      <c r="C23" s="15"/>
      <c r="D23" s="14">
        <v>30</v>
      </c>
      <c r="E23" s="15">
        <f t="shared" si="1"/>
        <v>11.5</v>
      </c>
      <c r="F23" s="14"/>
      <c r="G23" s="15">
        <f t="shared" si="0"/>
        <v>0</v>
      </c>
      <c r="H23" s="14"/>
      <c r="I23" s="15">
        <f t="shared" si="2"/>
        <v>51</v>
      </c>
      <c r="J23" s="14"/>
      <c r="K23" s="13"/>
    </row>
    <row r="24" spans="1:11" ht="12.6" customHeight="1" x14ac:dyDescent="0.2">
      <c r="A24" s="13">
        <v>37987</v>
      </c>
      <c r="B24" s="19"/>
      <c r="C24" s="15">
        <v>2.5</v>
      </c>
      <c r="D24" s="14"/>
      <c r="E24" s="15">
        <f t="shared" si="1"/>
        <v>14</v>
      </c>
      <c r="F24" s="14"/>
      <c r="G24" s="15">
        <f t="shared" si="0"/>
        <v>2.5</v>
      </c>
      <c r="H24" s="14"/>
      <c r="I24" s="15">
        <f t="shared" si="2"/>
        <v>53.5</v>
      </c>
      <c r="J24" s="14"/>
      <c r="K24" s="13"/>
    </row>
    <row r="25" spans="1:11" s="63" customFormat="1" ht="12.6" customHeight="1" x14ac:dyDescent="0.2">
      <c r="A25" s="58"/>
      <c r="B25" s="59" t="s">
        <v>65</v>
      </c>
      <c r="C25" s="60"/>
      <c r="D25" s="61">
        <v>5</v>
      </c>
      <c r="E25" s="60">
        <f t="shared" si="1"/>
        <v>9</v>
      </c>
      <c r="F25" s="61"/>
      <c r="G25" s="60">
        <f t="shared" si="0"/>
        <v>0</v>
      </c>
      <c r="H25" s="61"/>
      <c r="I25" s="60">
        <f t="shared" si="2"/>
        <v>53.5</v>
      </c>
      <c r="J25" s="61"/>
      <c r="K25" s="58" t="s">
        <v>101</v>
      </c>
    </row>
    <row r="26" spans="1:11" ht="12.6" customHeight="1" x14ac:dyDescent="0.2">
      <c r="A26" s="13">
        <v>37989</v>
      </c>
      <c r="B26" s="19"/>
      <c r="C26" s="15">
        <v>2.5</v>
      </c>
      <c r="D26" s="14"/>
      <c r="E26" s="15">
        <f t="shared" si="1"/>
        <v>11.5</v>
      </c>
      <c r="F26" s="14"/>
      <c r="G26" s="15">
        <f t="shared" si="0"/>
        <v>2.5</v>
      </c>
      <c r="H26" s="14"/>
      <c r="I26" s="15">
        <f t="shared" si="2"/>
        <v>56</v>
      </c>
      <c r="J26" s="14"/>
      <c r="K26" s="13"/>
    </row>
    <row r="27" spans="1:11" ht="12.6" customHeight="1" x14ac:dyDescent="0.2">
      <c r="A27" s="13"/>
      <c r="B27" s="17" t="s">
        <v>166</v>
      </c>
      <c r="C27" s="15"/>
      <c r="D27" s="14"/>
      <c r="E27" s="15">
        <f t="shared" si="1"/>
        <v>11.5</v>
      </c>
      <c r="F27" s="14"/>
      <c r="G27" s="15">
        <f t="shared" si="0"/>
        <v>0</v>
      </c>
      <c r="H27" s="14"/>
      <c r="I27" s="15">
        <f t="shared" si="2"/>
        <v>56</v>
      </c>
      <c r="J27" s="14"/>
      <c r="K27" s="13" t="s">
        <v>1118</v>
      </c>
    </row>
    <row r="28" spans="1:11" ht="12.6" customHeight="1" x14ac:dyDescent="0.2">
      <c r="A28" s="13">
        <v>37990</v>
      </c>
      <c r="B28" s="19"/>
      <c r="C28" s="15">
        <v>1.25</v>
      </c>
      <c r="D28" s="14"/>
      <c r="E28" s="15">
        <f t="shared" si="1"/>
        <v>12.75</v>
      </c>
      <c r="F28" s="14"/>
      <c r="G28" s="15">
        <f t="shared" si="0"/>
        <v>1.25</v>
      </c>
      <c r="H28" s="14"/>
      <c r="I28" s="15">
        <f t="shared" si="2"/>
        <v>57.25</v>
      </c>
      <c r="J28" s="14"/>
      <c r="K28" s="13"/>
    </row>
    <row r="29" spans="1:11" ht="12.6" customHeight="1" x14ac:dyDescent="0.2">
      <c r="A29" s="13"/>
      <c r="B29" s="17" t="s">
        <v>74</v>
      </c>
      <c r="C29" s="15"/>
      <c r="D29" s="14">
        <v>1</v>
      </c>
      <c r="E29" s="15">
        <f t="shared" si="1"/>
        <v>11.75</v>
      </c>
      <c r="F29" s="14"/>
      <c r="G29" s="15">
        <f t="shared" si="0"/>
        <v>0</v>
      </c>
      <c r="H29" s="14"/>
      <c r="I29" s="15">
        <f t="shared" si="2"/>
        <v>57.25</v>
      </c>
      <c r="J29" s="14"/>
      <c r="K29" s="13" t="s">
        <v>1119</v>
      </c>
    </row>
    <row r="30" spans="1:11" ht="12.6" customHeight="1" x14ac:dyDescent="0.2">
      <c r="A30" s="13">
        <v>37996</v>
      </c>
      <c r="B30" s="19"/>
      <c r="C30" s="15">
        <v>7.5</v>
      </c>
      <c r="D30" s="14"/>
      <c r="E30" s="15">
        <f t="shared" si="1"/>
        <v>19.25</v>
      </c>
      <c r="F30" s="14"/>
      <c r="G30" s="15">
        <f t="shared" si="0"/>
        <v>7.5</v>
      </c>
      <c r="H30" s="14"/>
      <c r="I30" s="15">
        <f t="shared" si="2"/>
        <v>64.75</v>
      </c>
      <c r="J30" s="14"/>
      <c r="K30" s="16"/>
    </row>
    <row r="31" spans="1:11" ht="12.6" customHeight="1" x14ac:dyDescent="0.2">
      <c r="A31" s="13"/>
      <c r="B31" s="19" t="s">
        <v>95</v>
      </c>
      <c r="C31" s="15"/>
      <c r="D31" s="14">
        <v>3</v>
      </c>
      <c r="E31" s="15">
        <f t="shared" si="1"/>
        <v>16.25</v>
      </c>
      <c r="F31" s="22"/>
      <c r="G31" s="15">
        <f t="shared" si="0"/>
        <v>0</v>
      </c>
      <c r="H31" s="22"/>
      <c r="I31" s="15">
        <f t="shared" si="2"/>
        <v>64.75</v>
      </c>
      <c r="J31" s="22"/>
      <c r="K31" s="23" t="s">
        <v>1120</v>
      </c>
    </row>
    <row r="32" spans="1:11" ht="12.6" customHeight="1" x14ac:dyDescent="0.2">
      <c r="A32" s="13">
        <v>37997</v>
      </c>
      <c r="B32" s="17"/>
      <c r="C32" s="15">
        <v>1.25</v>
      </c>
      <c r="D32" s="14"/>
      <c r="E32" s="15">
        <f t="shared" si="1"/>
        <v>17.5</v>
      </c>
      <c r="F32" s="22"/>
      <c r="G32" s="15">
        <f t="shared" si="0"/>
        <v>1.25</v>
      </c>
      <c r="H32" s="22"/>
      <c r="I32" s="15">
        <f t="shared" si="2"/>
        <v>66</v>
      </c>
      <c r="J32" s="22"/>
      <c r="K32" s="23"/>
    </row>
    <row r="33" spans="1:11" ht="12.6" customHeight="1" x14ac:dyDescent="0.2">
      <c r="A33" s="13"/>
      <c r="B33" s="17" t="s">
        <v>271</v>
      </c>
      <c r="C33" s="15"/>
      <c r="D33" s="14"/>
      <c r="E33" s="15">
        <f t="shared" si="1"/>
        <v>17.5</v>
      </c>
      <c r="F33" s="22"/>
      <c r="G33" s="15">
        <f t="shared" si="0"/>
        <v>0</v>
      </c>
      <c r="H33" s="22">
        <v>5</v>
      </c>
      <c r="I33" s="15">
        <f t="shared" si="2"/>
        <v>61</v>
      </c>
      <c r="J33" s="22"/>
      <c r="K33" s="16" t="s">
        <v>1121</v>
      </c>
    </row>
    <row r="34" spans="1:11" ht="12.6" customHeight="1" x14ac:dyDescent="0.2">
      <c r="A34" s="24" t="s">
        <v>15</v>
      </c>
      <c r="B34" s="24"/>
      <c r="C34" s="25">
        <f>SUM(C7:C33)</f>
        <v>67.5</v>
      </c>
      <c r="D34" s="25">
        <f>SUM(D9:D33)</f>
        <v>50</v>
      </c>
      <c r="E34" s="25"/>
      <c r="F34" s="22"/>
      <c r="G34" s="25">
        <f>SUM(G7:G33)</f>
        <v>67.5</v>
      </c>
      <c r="H34" s="25">
        <f>SUM(H7:H33)</f>
        <v>6.5</v>
      </c>
      <c r="I34" s="15">
        <f t="shared" si="2"/>
        <v>122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GOZAR, SOFIA A.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MAY 01, 2000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>
        <v>38353</v>
      </c>
      <c r="B43" s="17"/>
      <c r="C43" s="15">
        <v>2.5</v>
      </c>
      <c r="D43" s="14"/>
      <c r="E43" s="15">
        <f>E33+C43-D43</f>
        <v>20</v>
      </c>
      <c r="F43" s="14"/>
      <c r="G43" s="15">
        <f>C43</f>
        <v>2.5</v>
      </c>
      <c r="H43" s="14"/>
      <c r="I43" s="15">
        <f>I33+G43-H43</f>
        <v>63.5</v>
      </c>
      <c r="J43" s="14"/>
      <c r="K43" s="13"/>
    </row>
    <row r="44" spans="1:11" s="63" customFormat="1" ht="12.6" customHeight="1" x14ac:dyDescent="0.2">
      <c r="A44" s="58"/>
      <c r="B44" s="59" t="s">
        <v>57</v>
      </c>
      <c r="C44" s="60"/>
      <c r="D44" s="61">
        <v>1</v>
      </c>
      <c r="E44" s="60">
        <f>E43+C44-D44</f>
        <v>19</v>
      </c>
      <c r="F44" s="61"/>
      <c r="G44" s="60">
        <f t="shared" ref="G44:G68" si="3">C44</f>
        <v>0</v>
      </c>
      <c r="H44" s="61"/>
      <c r="I44" s="60">
        <f>I43+G44-H44</f>
        <v>63.5</v>
      </c>
      <c r="J44" s="61"/>
      <c r="K44" s="58" t="s">
        <v>104</v>
      </c>
    </row>
    <row r="45" spans="1:11" ht="12.6" customHeight="1" x14ac:dyDescent="0.2">
      <c r="A45" s="13">
        <v>38354</v>
      </c>
      <c r="B45" s="19"/>
      <c r="C45" s="15">
        <v>1.25</v>
      </c>
      <c r="D45" s="14"/>
      <c r="E45" s="15">
        <f t="shared" ref="E45:E68" si="4">E44+C45-D45</f>
        <v>20.25</v>
      </c>
      <c r="F45" s="14"/>
      <c r="G45" s="15">
        <f t="shared" si="3"/>
        <v>1.25</v>
      </c>
      <c r="H45" s="14"/>
      <c r="I45" s="15">
        <f t="shared" ref="I45:I68" si="5">I44+G45-H45</f>
        <v>64.75</v>
      </c>
      <c r="J45" s="14"/>
      <c r="K45" s="13"/>
    </row>
    <row r="46" spans="1:11" ht="12.6" customHeight="1" x14ac:dyDescent="0.2">
      <c r="A46" s="13"/>
      <c r="B46" s="17" t="s">
        <v>1123</v>
      </c>
      <c r="C46" s="15"/>
      <c r="D46" s="14"/>
      <c r="E46" s="15">
        <f t="shared" si="4"/>
        <v>20.25</v>
      </c>
      <c r="F46" s="14"/>
      <c r="G46" s="15">
        <f t="shared" si="3"/>
        <v>0</v>
      </c>
      <c r="H46" s="14">
        <v>27</v>
      </c>
      <c r="I46" s="15">
        <f t="shared" si="5"/>
        <v>37.75</v>
      </c>
      <c r="J46" s="14"/>
      <c r="K46" s="13" t="s">
        <v>1122</v>
      </c>
    </row>
    <row r="47" spans="1:11" ht="12.6" customHeight="1" x14ac:dyDescent="0.2">
      <c r="A47" s="13">
        <v>38362</v>
      </c>
      <c r="B47" s="19"/>
      <c r="C47" s="15">
        <v>10</v>
      </c>
      <c r="D47" s="14"/>
      <c r="E47" s="15">
        <f t="shared" si="4"/>
        <v>30.25</v>
      </c>
      <c r="F47" s="14"/>
      <c r="G47" s="15">
        <f t="shared" si="3"/>
        <v>10</v>
      </c>
      <c r="H47" s="14"/>
      <c r="I47" s="15">
        <f t="shared" si="5"/>
        <v>47.75</v>
      </c>
      <c r="J47" s="14"/>
      <c r="K47" s="13"/>
    </row>
    <row r="48" spans="1:11" ht="12.6" customHeight="1" x14ac:dyDescent="0.2">
      <c r="A48" s="13"/>
      <c r="B48" s="17" t="s">
        <v>95</v>
      </c>
      <c r="C48" s="15"/>
      <c r="D48" s="14">
        <v>3</v>
      </c>
      <c r="E48" s="15">
        <f t="shared" si="4"/>
        <v>27.25</v>
      </c>
      <c r="F48" s="14"/>
      <c r="G48" s="15">
        <f t="shared" si="3"/>
        <v>0</v>
      </c>
      <c r="H48" s="14"/>
      <c r="I48" s="15">
        <f t="shared" si="5"/>
        <v>47.75</v>
      </c>
      <c r="J48" s="14"/>
      <c r="K48" s="13" t="s">
        <v>1124</v>
      </c>
    </row>
    <row r="49" spans="1:11" ht="12.6" customHeight="1" x14ac:dyDescent="0.2">
      <c r="A49" s="13"/>
      <c r="B49" s="17" t="s">
        <v>166</v>
      </c>
      <c r="C49" s="15"/>
      <c r="D49" s="14"/>
      <c r="E49" s="15">
        <f t="shared" si="4"/>
        <v>27.25</v>
      </c>
      <c r="F49" s="14"/>
      <c r="G49" s="15">
        <f t="shared" si="3"/>
        <v>0</v>
      </c>
      <c r="H49" s="14"/>
      <c r="I49" s="15">
        <f t="shared" si="5"/>
        <v>47.75</v>
      </c>
      <c r="J49" s="14"/>
      <c r="K49" s="13" t="s">
        <v>1125</v>
      </c>
    </row>
    <row r="50" spans="1:11" ht="12.6" customHeight="1" x14ac:dyDescent="0.2">
      <c r="A50" s="13">
        <v>38718</v>
      </c>
      <c r="B50" s="19"/>
      <c r="C50" s="15">
        <v>3.75</v>
      </c>
      <c r="D50" s="14"/>
      <c r="E50" s="15">
        <f t="shared" si="4"/>
        <v>31</v>
      </c>
      <c r="F50" s="14"/>
      <c r="G50" s="15">
        <f t="shared" si="3"/>
        <v>3.75</v>
      </c>
      <c r="H50" s="14"/>
      <c r="I50" s="15">
        <f t="shared" si="5"/>
        <v>51.5</v>
      </c>
      <c r="J50" s="14"/>
      <c r="K50" s="13"/>
    </row>
    <row r="51" spans="1:11" ht="12.6" customHeight="1" x14ac:dyDescent="0.2">
      <c r="A51" s="13"/>
      <c r="B51" s="17" t="s">
        <v>77</v>
      </c>
      <c r="C51" s="15"/>
      <c r="D51" s="14">
        <v>2</v>
      </c>
      <c r="E51" s="15">
        <f t="shared" si="4"/>
        <v>29</v>
      </c>
      <c r="F51" s="14"/>
      <c r="G51" s="15">
        <f t="shared" si="3"/>
        <v>0</v>
      </c>
      <c r="H51" s="14"/>
      <c r="I51" s="15">
        <f t="shared" si="5"/>
        <v>51.5</v>
      </c>
      <c r="J51" s="14"/>
      <c r="K51" s="16" t="s">
        <v>339</v>
      </c>
    </row>
    <row r="52" spans="1:11" ht="12.6" customHeight="1" x14ac:dyDescent="0.2">
      <c r="A52" s="13">
        <v>38719</v>
      </c>
      <c r="B52" s="19"/>
      <c r="C52" s="15">
        <v>1.25</v>
      </c>
      <c r="D52" s="14"/>
      <c r="E52" s="15">
        <f t="shared" si="4"/>
        <v>30.25</v>
      </c>
      <c r="F52" s="14"/>
      <c r="G52" s="15">
        <f t="shared" si="3"/>
        <v>1.25</v>
      </c>
      <c r="H52" s="14"/>
      <c r="I52" s="15">
        <f t="shared" si="5"/>
        <v>52.75</v>
      </c>
      <c r="J52" s="14"/>
      <c r="K52" s="13"/>
    </row>
    <row r="53" spans="1:11" ht="12.6" customHeight="1" x14ac:dyDescent="0.2">
      <c r="A53" s="13"/>
      <c r="B53" s="17" t="s">
        <v>166</v>
      </c>
      <c r="C53" s="15"/>
      <c r="D53" s="14"/>
      <c r="E53" s="15">
        <f t="shared" si="4"/>
        <v>30.25</v>
      </c>
      <c r="F53" s="14"/>
      <c r="G53" s="15">
        <f t="shared" si="3"/>
        <v>0</v>
      </c>
      <c r="H53" s="14"/>
      <c r="I53" s="15">
        <f t="shared" si="5"/>
        <v>52.75</v>
      </c>
      <c r="J53" s="14"/>
      <c r="K53" s="13" t="s">
        <v>1126</v>
      </c>
    </row>
    <row r="54" spans="1:11" ht="12.6" customHeight="1" x14ac:dyDescent="0.2">
      <c r="A54" s="13">
        <v>39083</v>
      </c>
      <c r="B54" s="19"/>
      <c r="C54" s="15">
        <v>13.75</v>
      </c>
      <c r="D54" s="14"/>
      <c r="E54" s="15">
        <f t="shared" si="4"/>
        <v>44</v>
      </c>
      <c r="F54" s="14"/>
      <c r="G54" s="15">
        <f t="shared" si="3"/>
        <v>13.75</v>
      </c>
      <c r="H54" s="14"/>
      <c r="I54" s="15">
        <f t="shared" si="5"/>
        <v>66.5</v>
      </c>
      <c r="J54" s="14"/>
      <c r="K54" s="13"/>
    </row>
    <row r="55" spans="1:11" ht="12.6" customHeight="1" x14ac:dyDescent="0.2">
      <c r="A55" s="13"/>
      <c r="B55" s="19" t="s">
        <v>65</v>
      </c>
      <c r="C55" s="15"/>
      <c r="D55" s="14">
        <v>5</v>
      </c>
      <c r="E55" s="15">
        <f t="shared" si="4"/>
        <v>39</v>
      </c>
      <c r="F55" s="14"/>
      <c r="G55" s="15">
        <f t="shared" si="3"/>
        <v>0</v>
      </c>
      <c r="H55" s="14"/>
      <c r="I55" s="15">
        <f t="shared" si="5"/>
        <v>66.5</v>
      </c>
      <c r="J55" s="14"/>
      <c r="K55" s="13" t="s">
        <v>339</v>
      </c>
    </row>
    <row r="56" spans="1:11" ht="12.6" customHeight="1" x14ac:dyDescent="0.2">
      <c r="A56" s="13">
        <v>39084</v>
      </c>
      <c r="B56" s="19"/>
      <c r="C56" s="15">
        <v>1.25</v>
      </c>
      <c r="D56" s="14"/>
      <c r="E56" s="15">
        <f t="shared" si="4"/>
        <v>40.25</v>
      </c>
      <c r="F56" s="14"/>
      <c r="G56" s="15">
        <f t="shared" si="3"/>
        <v>1.25</v>
      </c>
      <c r="H56" s="14"/>
      <c r="I56" s="15">
        <f t="shared" si="5"/>
        <v>67.75</v>
      </c>
      <c r="J56" s="14"/>
      <c r="K56" s="16"/>
    </row>
    <row r="57" spans="1:11" ht="12.6" customHeight="1" x14ac:dyDescent="0.2">
      <c r="A57" s="13"/>
      <c r="B57" s="17" t="s">
        <v>74</v>
      </c>
      <c r="C57" s="15"/>
      <c r="D57" s="14">
        <v>1</v>
      </c>
      <c r="E57" s="15">
        <f t="shared" si="4"/>
        <v>39.25</v>
      </c>
      <c r="F57" s="14"/>
      <c r="G57" s="15">
        <f t="shared" si="3"/>
        <v>0</v>
      </c>
      <c r="H57" s="14"/>
      <c r="I57" s="15">
        <f t="shared" si="5"/>
        <v>67.75</v>
      </c>
      <c r="J57" s="14"/>
      <c r="K57" s="13" t="s">
        <v>1127</v>
      </c>
    </row>
    <row r="58" spans="1:11" ht="12.6" customHeight="1" x14ac:dyDescent="0.2">
      <c r="A58" s="13">
        <v>39085</v>
      </c>
      <c r="B58" s="17"/>
      <c r="C58" s="15">
        <v>1.25</v>
      </c>
      <c r="D58" s="14"/>
      <c r="E58" s="15">
        <f t="shared" si="4"/>
        <v>40.5</v>
      </c>
      <c r="F58" s="14"/>
      <c r="G58" s="15">
        <f t="shared" si="3"/>
        <v>1.25</v>
      </c>
      <c r="H58" s="14"/>
      <c r="I58" s="15">
        <f t="shared" si="5"/>
        <v>69</v>
      </c>
      <c r="J58" s="14"/>
      <c r="K58" s="13"/>
    </row>
    <row r="59" spans="1:11" ht="12.6" customHeight="1" x14ac:dyDescent="0.2">
      <c r="A59" s="13"/>
      <c r="B59" s="17" t="s">
        <v>45</v>
      </c>
      <c r="C59" s="15"/>
      <c r="D59" s="14"/>
      <c r="E59" s="15">
        <f t="shared" si="4"/>
        <v>40.5</v>
      </c>
      <c r="F59" s="14"/>
      <c r="G59" s="15">
        <f t="shared" si="3"/>
        <v>0</v>
      </c>
      <c r="H59" s="14"/>
      <c r="I59" s="15">
        <f t="shared" si="5"/>
        <v>69</v>
      </c>
      <c r="J59" s="14"/>
      <c r="K59" s="13" t="s">
        <v>1128</v>
      </c>
    </row>
    <row r="60" spans="1:11" ht="12.6" customHeight="1" x14ac:dyDescent="0.2">
      <c r="A60" s="13">
        <v>39091</v>
      </c>
      <c r="B60" s="19"/>
      <c r="C60" s="15">
        <v>7.5</v>
      </c>
      <c r="D60" s="14"/>
      <c r="E60" s="15">
        <f t="shared" si="4"/>
        <v>48</v>
      </c>
      <c r="F60" s="14"/>
      <c r="G60" s="15">
        <f t="shared" si="3"/>
        <v>7.5</v>
      </c>
      <c r="H60" s="14"/>
      <c r="I60" s="15">
        <f t="shared" si="5"/>
        <v>76.5</v>
      </c>
      <c r="J60" s="14"/>
      <c r="K60" s="13"/>
    </row>
    <row r="61" spans="1:11" ht="12.6" customHeight="1" x14ac:dyDescent="0.2">
      <c r="A61" s="13"/>
      <c r="B61" s="17" t="s">
        <v>45</v>
      </c>
      <c r="C61" s="15"/>
      <c r="D61" s="14"/>
      <c r="E61" s="15">
        <f t="shared" si="4"/>
        <v>48</v>
      </c>
      <c r="F61" s="14"/>
      <c r="G61" s="15">
        <f t="shared" si="3"/>
        <v>0</v>
      </c>
      <c r="H61" s="14"/>
      <c r="I61" s="15">
        <f t="shared" si="5"/>
        <v>76.5</v>
      </c>
      <c r="J61" s="14"/>
      <c r="K61" s="13" t="s">
        <v>1129</v>
      </c>
    </row>
    <row r="62" spans="1:11" ht="12.6" customHeight="1" x14ac:dyDescent="0.2">
      <c r="A62" s="13">
        <v>39092</v>
      </c>
      <c r="B62" s="17"/>
      <c r="C62" s="15">
        <v>1.25</v>
      </c>
      <c r="D62" s="14"/>
      <c r="E62" s="15">
        <f t="shared" si="4"/>
        <v>49.25</v>
      </c>
      <c r="F62" s="14"/>
      <c r="G62" s="15">
        <f t="shared" si="3"/>
        <v>1.25</v>
      </c>
      <c r="H62" s="14"/>
      <c r="I62" s="15">
        <f t="shared" si="5"/>
        <v>77.75</v>
      </c>
      <c r="J62" s="14"/>
      <c r="K62" s="16"/>
    </row>
    <row r="63" spans="1:11" ht="12.6" customHeight="1" x14ac:dyDescent="0.2">
      <c r="A63" s="13"/>
      <c r="B63" s="17" t="s">
        <v>74</v>
      </c>
      <c r="C63" s="15"/>
      <c r="D63" s="14">
        <v>1</v>
      </c>
      <c r="E63" s="15">
        <f t="shared" si="4"/>
        <v>48.25</v>
      </c>
      <c r="F63" s="14"/>
      <c r="G63" s="15">
        <f t="shared" si="3"/>
        <v>0</v>
      </c>
      <c r="H63" s="14"/>
      <c r="I63" s="15">
        <f t="shared" si="5"/>
        <v>77.75</v>
      </c>
      <c r="J63" s="14"/>
      <c r="K63" s="13">
        <v>39396</v>
      </c>
    </row>
    <row r="64" spans="1:11" ht="12.6" customHeight="1" x14ac:dyDescent="0.2">
      <c r="A64" s="29">
        <v>39094</v>
      </c>
      <c r="B64" s="17"/>
      <c r="C64" s="15">
        <v>2.5</v>
      </c>
      <c r="D64" s="14"/>
      <c r="E64" s="15">
        <f t="shared" si="4"/>
        <v>50.75</v>
      </c>
      <c r="F64" s="14"/>
      <c r="G64" s="15">
        <f>C64</f>
        <v>2.5</v>
      </c>
      <c r="H64" s="14"/>
      <c r="I64" s="15">
        <f t="shared" si="5"/>
        <v>80.25</v>
      </c>
      <c r="J64" s="14"/>
      <c r="K64" s="29"/>
    </row>
    <row r="65" spans="1:11" ht="12.6" customHeight="1" x14ac:dyDescent="0.2">
      <c r="A65" s="13"/>
      <c r="B65" s="17" t="s">
        <v>95</v>
      </c>
      <c r="C65" s="15"/>
      <c r="D65" s="89">
        <v>3</v>
      </c>
      <c r="E65" s="15">
        <f t="shared" si="4"/>
        <v>47.75</v>
      </c>
      <c r="F65" s="14"/>
      <c r="G65" s="15">
        <f t="shared" si="3"/>
        <v>0</v>
      </c>
      <c r="H65" s="14"/>
      <c r="I65" s="15">
        <f t="shared" si="5"/>
        <v>80.25</v>
      </c>
      <c r="J65" s="14"/>
      <c r="K65" s="13" t="s">
        <v>1130</v>
      </c>
    </row>
    <row r="66" spans="1:11" ht="12.6" customHeight="1" x14ac:dyDescent="0.2">
      <c r="A66" s="13">
        <v>39448</v>
      </c>
      <c r="B66" s="19"/>
      <c r="C66" s="15">
        <v>1.25</v>
      </c>
      <c r="D66" s="14"/>
      <c r="E66" s="15">
        <f t="shared" si="4"/>
        <v>49</v>
      </c>
      <c r="F66" s="14"/>
      <c r="G66" s="15">
        <f t="shared" si="3"/>
        <v>1.25</v>
      </c>
      <c r="H66" s="14"/>
      <c r="I66" s="15">
        <f t="shared" si="5"/>
        <v>81.5</v>
      </c>
      <c r="J66" s="14"/>
      <c r="K66" s="13"/>
    </row>
    <row r="67" spans="1:11" ht="12.6" customHeight="1" x14ac:dyDescent="0.2">
      <c r="A67" s="30"/>
      <c r="B67" s="19"/>
      <c r="C67" s="15"/>
      <c r="D67" s="14">
        <v>0.14199999999999999</v>
      </c>
      <c r="E67" s="15">
        <f t="shared" si="4"/>
        <v>48.857999999999997</v>
      </c>
      <c r="F67" s="14"/>
      <c r="G67" s="15">
        <f t="shared" si="3"/>
        <v>0</v>
      </c>
      <c r="H67" s="31"/>
      <c r="I67" s="15">
        <f t="shared" si="5"/>
        <v>81.5</v>
      </c>
      <c r="J67" s="31"/>
      <c r="K67" s="30" t="s">
        <v>637</v>
      </c>
    </row>
    <row r="68" spans="1:11" ht="12.6" customHeight="1" x14ac:dyDescent="0.2">
      <c r="A68" s="13">
        <v>39450</v>
      </c>
      <c r="B68" s="19"/>
      <c r="C68" s="15">
        <v>2.5</v>
      </c>
      <c r="D68" s="14"/>
      <c r="E68" s="15">
        <f t="shared" si="4"/>
        <v>51.357999999999997</v>
      </c>
      <c r="F68" s="14"/>
      <c r="G68" s="15">
        <f t="shared" si="3"/>
        <v>2.5</v>
      </c>
      <c r="H68" s="14"/>
      <c r="I68" s="15">
        <f t="shared" si="5"/>
        <v>84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50</v>
      </c>
      <c r="D69" s="15">
        <f>SUM(D43:D68)</f>
        <v>16.141999999999999</v>
      </c>
      <c r="E69" s="15" t="s">
        <v>17</v>
      </c>
      <c r="F69" s="32"/>
      <c r="G69" s="15">
        <f>SUM(G43:G68)</f>
        <v>50</v>
      </c>
      <c r="H69" s="15">
        <f>SUM(H43:H68)</f>
        <v>27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GOZAR, SOFIA A.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MAY 01, 2000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91</v>
      </c>
      <c r="C82" s="15"/>
      <c r="D82" s="14">
        <v>30</v>
      </c>
      <c r="E82" s="15">
        <f>E68+C82-D82</f>
        <v>21.357999999999997</v>
      </c>
      <c r="F82" s="14"/>
      <c r="G82" s="15">
        <f>C82</f>
        <v>0</v>
      </c>
      <c r="H82" s="14"/>
      <c r="I82" s="15">
        <f>I68+G82-H82</f>
        <v>84</v>
      </c>
      <c r="J82" s="14"/>
      <c r="K82" s="38" t="s">
        <v>1131</v>
      </c>
    </row>
    <row r="83" spans="1:11" ht="12.6" customHeight="1" x14ac:dyDescent="0.2">
      <c r="A83" s="13"/>
      <c r="B83" s="17" t="s">
        <v>45</v>
      </c>
      <c r="C83" s="15"/>
      <c r="D83" s="14"/>
      <c r="E83" s="15">
        <f>E82+C83-D83</f>
        <v>21.357999999999997</v>
      </c>
      <c r="F83" s="14"/>
      <c r="G83" s="15">
        <f t="shared" ref="G83:G107" si="6">C83</f>
        <v>0</v>
      </c>
      <c r="H83" s="14"/>
      <c r="I83" s="15">
        <f>I82+G83-H83</f>
        <v>84</v>
      </c>
      <c r="J83" s="22"/>
      <c r="K83" s="23" t="s">
        <v>852</v>
      </c>
    </row>
    <row r="84" spans="1:11" ht="12.6" customHeight="1" x14ac:dyDescent="0.2">
      <c r="A84" s="13">
        <v>39452</v>
      </c>
      <c r="B84" s="19"/>
      <c r="C84" s="15">
        <v>2.5</v>
      </c>
      <c r="D84" s="14"/>
      <c r="E84" s="15">
        <f t="shared" ref="E84:E107" si="7">E83+C84-D84</f>
        <v>23.857999999999997</v>
      </c>
      <c r="F84" s="14"/>
      <c r="G84" s="15">
        <f t="shared" si="6"/>
        <v>2.5</v>
      </c>
      <c r="H84" s="14"/>
      <c r="I84" s="15">
        <f t="shared" ref="I84:I107" si="8">I83+G84-H84</f>
        <v>86.5</v>
      </c>
      <c r="J84" s="14"/>
      <c r="K84" s="16"/>
    </row>
    <row r="85" spans="1:11" ht="12.6" customHeight="1" x14ac:dyDescent="0.2">
      <c r="A85" s="13"/>
      <c r="B85" s="19" t="s">
        <v>60</v>
      </c>
      <c r="C85" s="15"/>
      <c r="D85" s="14">
        <v>5</v>
      </c>
      <c r="E85" s="15">
        <f t="shared" si="7"/>
        <v>18.857999999999997</v>
      </c>
      <c r="F85" s="14"/>
      <c r="G85" s="15">
        <f t="shared" si="6"/>
        <v>0</v>
      </c>
      <c r="H85" s="14"/>
      <c r="I85" s="15">
        <f t="shared" si="8"/>
        <v>86.5</v>
      </c>
      <c r="J85" s="14"/>
      <c r="K85" s="13" t="s">
        <v>1132</v>
      </c>
    </row>
    <row r="86" spans="1:11" ht="12.6" customHeight="1" x14ac:dyDescent="0.2">
      <c r="A86" s="29">
        <v>39453</v>
      </c>
      <c r="B86" s="19"/>
      <c r="C86" s="15">
        <v>1.25</v>
      </c>
      <c r="D86" s="14"/>
      <c r="E86" s="15">
        <f t="shared" si="7"/>
        <v>20.107999999999997</v>
      </c>
      <c r="F86" s="14"/>
      <c r="G86" s="15">
        <f t="shared" si="6"/>
        <v>1.25</v>
      </c>
      <c r="H86" s="14"/>
      <c r="I86" s="15">
        <f t="shared" si="8"/>
        <v>87.75</v>
      </c>
      <c r="J86" s="14"/>
      <c r="K86" s="13"/>
    </row>
    <row r="87" spans="1:11" ht="12.6" customHeight="1" x14ac:dyDescent="0.2">
      <c r="A87" s="13"/>
      <c r="B87" s="17" t="s">
        <v>166</v>
      </c>
      <c r="C87" s="15"/>
      <c r="D87" s="14"/>
      <c r="E87" s="15">
        <f t="shared" si="7"/>
        <v>20.107999999999997</v>
      </c>
      <c r="F87" s="14"/>
      <c r="G87" s="15">
        <f t="shared" si="6"/>
        <v>0</v>
      </c>
      <c r="H87" s="14"/>
      <c r="I87" s="15">
        <f t="shared" si="8"/>
        <v>87.75</v>
      </c>
      <c r="J87" s="14"/>
      <c r="K87" s="13" t="s">
        <v>1133</v>
      </c>
    </row>
    <row r="88" spans="1:11" ht="12.6" customHeight="1" x14ac:dyDescent="0.2">
      <c r="A88" s="13"/>
      <c r="B88" s="17" t="s">
        <v>74</v>
      </c>
      <c r="C88" s="15"/>
      <c r="D88" s="14">
        <v>1</v>
      </c>
      <c r="E88" s="15">
        <f t="shared" si="7"/>
        <v>19.107999999999997</v>
      </c>
      <c r="F88" s="14"/>
      <c r="G88" s="15">
        <f t="shared" si="6"/>
        <v>0</v>
      </c>
      <c r="H88" s="14"/>
      <c r="I88" s="15">
        <f t="shared" si="8"/>
        <v>87.75</v>
      </c>
      <c r="J88" s="14"/>
      <c r="K88" s="13">
        <v>39788</v>
      </c>
    </row>
    <row r="89" spans="1:11" ht="12.6" customHeight="1" x14ac:dyDescent="0.2">
      <c r="A89" s="13">
        <v>39455</v>
      </c>
      <c r="B89" s="19"/>
      <c r="C89" s="15">
        <v>2.5</v>
      </c>
      <c r="D89" s="14"/>
      <c r="E89" s="15">
        <f t="shared" si="7"/>
        <v>21.607999999999997</v>
      </c>
      <c r="F89" s="14"/>
      <c r="G89" s="15">
        <f t="shared" si="6"/>
        <v>2.5</v>
      </c>
      <c r="H89" s="14"/>
      <c r="I89" s="15">
        <f t="shared" si="8"/>
        <v>90.25</v>
      </c>
      <c r="J89" s="14"/>
      <c r="K89" s="16"/>
    </row>
    <row r="90" spans="1:11" ht="12.6" customHeight="1" x14ac:dyDescent="0.2">
      <c r="A90" s="13"/>
      <c r="B90" s="17" t="s">
        <v>47</v>
      </c>
      <c r="C90" s="15"/>
      <c r="D90" s="14"/>
      <c r="E90" s="15">
        <f t="shared" si="7"/>
        <v>21.607999999999997</v>
      </c>
      <c r="F90" s="14"/>
      <c r="G90" s="15">
        <f t="shared" si="6"/>
        <v>0</v>
      </c>
      <c r="H90" s="14">
        <v>1</v>
      </c>
      <c r="I90" s="15">
        <f t="shared" si="8"/>
        <v>89.25</v>
      </c>
      <c r="J90" s="14"/>
      <c r="K90" s="13">
        <v>39668</v>
      </c>
    </row>
    <row r="91" spans="1:11" ht="12.6" customHeight="1" x14ac:dyDescent="0.2">
      <c r="A91" s="13">
        <v>39456</v>
      </c>
      <c r="B91" s="17"/>
      <c r="C91" s="15">
        <v>1.25</v>
      </c>
      <c r="D91" s="14"/>
      <c r="E91" s="15">
        <f t="shared" si="7"/>
        <v>22.857999999999997</v>
      </c>
      <c r="F91" s="14"/>
      <c r="G91" s="15">
        <f t="shared" si="6"/>
        <v>1.25</v>
      </c>
      <c r="H91" s="14"/>
      <c r="I91" s="15">
        <f t="shared" si="8"/>
        <v>90.5</v>
      </c>
      <c r="J91" s="14"/>
      <c r="K91" s="16"/>
    </row>
    <row r="92" spans="1:11" ht="12.6" customHeight="1" x14ac:dyDescent="0.2">
      <c r="A92" s="13"/>
      <c r="B92" s="17" t="s">
        <v>74</v>
      </c>
      <c r="C92" s="15"/>
      <c r="D92" s="14">
        <v>1</v>
      </c>
      <c r="E92" s="15">
        <f t="shared" si="7"/>
        <v>21.857999999999997</v>
      </c>
      <c r="F92" s="14"/>
      <c r="G92" s="15">
        <f t="shared" si="6"/>
        <v>0</v>
      </c>
      <c r="H92" s="14"/>
      <c r="I92" s="15">
        <f t="shared" si="8"/>
        <v>90.5</v>
      </c>
      <c r="J92" s="14"/>
      <c r="K92" s="13" t="s">
        <v>1134</v>
      </c>
    </row>
    <row r="93" spans="1:11" ht="12.6" customHeight="1" x14ac:dyDescent="0.2">
      <c r="A93" s="13">
        <v>39457</v>
      </c>
      <c r="B93" s="17"/>
      <c r="C93" s="15">
        <v>1.25</v>
      </c>
      <c r="D93" s="14"/>
      <c r="E93" s="15">
        <f t="shared" si="7"/>
        <v>23.107999999999997</v>
      </c>
      <c r="F93" s="14"/>
      <c r="G93" s="15">
        <f t="shared" si="6"/>
        <v>1.25</v>
      </c>
      <c r="H93" s="14"/>
      <c r="I93" s="15">
        <f t="shared" si="8"/>
        <v>91.75</v>
      </c>
      <c r="J93" s="14"/>
      <c r="K93" s="13"/>
    </row>
    <row r="94" spans="1:11" ht="12.6" customHeight="1" x14ac:dyDescent="0.2">
      <c r="A94" s="13"/>
      <c r="B94" s="17" t="s">
        <v>47</v>
      </c>
      <c r="C94" s="15"/>
      <c r="D94" s="14"/>
      <c r="E94" s="15">
        <f t="shared" si="7"/>
        <v>23.107999999999997</v>
      </c>
      <c r="F94" s="14"/>
      <c r="G94" s="15">
        <f t="shared" si="6"/>
        <v>0</v>
      </c>
      <c r="H94" s="14">
        <v>1</v>
      </c>
      <c r="I94" s="15">
        <f t="shared" si="8"/>
        <v>90.75</v>
      </c>
      <c r="J94" s="14"/>
      <c r="K94" s="13" t="s">
        <v>1135</v>
      </c>
    </row>
    <row r="95" spans="1:11" ht="12.6" customHeight="1" x14ac:dyDescent="0.2">
      <c r="A95" s="13">
        <v>39816</v>
      </c>
      <c r="B95" s="19"/>
      <c r="C95" s="15">
        <v>6.25</v>
      </c>
      <c r="D95" s="14"/>
      <c r="E95" s="15">
        <f t="shared" si="7"/>
        <v>29.357999999999997</v>
      </c>
      <c r="F95" s="14"/>
      <c r="G95" s="15">
        <f t="shared" si="6"/>
        <v>6.25</v>
      </c>
      <c r="H95" s="14"/>
      <c r="I95" s="15">
        <f t="shared" si="8"/>
        <v>97</v>
      </c>
      <c r="J95" s="14"/>
      <c r="K95" s="13"/>
    </row>
    <row r="96" spans="1:11" ht="12.6" customHeight="1" x14ac:dyDescent="0.2">
      <c r="A96" s="13"/>
      <c r="B96" s="19" t="s">
        <v>282</v>
      </c>
      <c r="C96" s="15"/>
      <c r="D96" s="14">
        <v>0.5</v>
      </c>
      <c r="E96" s="15">
        <f t="shared" si="7"/>
        <v>28.857999999999997</v>
      </c>
      <c r="F96" s="14"/>
      <c r="G96" s="15">
        <f t="shared" si="6"/>
        <v>0</v>
      </c>
      <c r="H96" s="14"/>
      <c r="I96" s="15">
        <f t="shared" si="8"/>
        <v>97</v>
      </c>
      <c r="J96" s="14"/>
      <c r="K96" s="33" t="s">
        <v>1136</v>
      </c>
    </row>
    <row r="97" spans="1:11" ht="12.6" customHeight="1" x14ac:dyDescent="0.2">
      <c r="A97" s="13">
        <v>39822</v>
      </c>
      <c r="B97" s="19"/>
      <c r="C97" s="15">
        <v>7.5</v>
      </c>
      <c r="D97" s="14"/>
      <c r="E97" s="15">
        <f t="shared" si="7"/>
        <v>36.357999999999997</v>
      </c>
      <c r="F97" s="14"/>
      <c r="G97" s="15">
        <f t="shared" si="6"/>
        <v>7.5</v>
      </c>
      <c r="H97" s="14"/>
      <c r="I97" s="15">
        <f t="shared" si="8"/>
        <v>104.5</v>
      </c>
      <c r="J97" s="14"/>
      <c r="K97" s="13"/>
    </row>
    <row r="98" spans="1:11" ht="12.6" customHeight="1" x14ac:dyDescent="0.2">
      <c r="A98" s="13"/>
      <c r="B98" s="17" t="s">
        <v>45</v>
      </c>
      <c r="C98" s="15"/>
      <c r="D98" s="14"/>
      <c r="E98" s="15">
        <f t="shared" si="7"/>
        <v>36.357999999999997</v>
      </c>
      <c r="F98" s="14"/>
      <c r="G98" s="15">
        <f t="shared" si="6"/>
        <v>0</v>
      </c>
      <c r="H98" s="14"/>
      <c r="I98" s="15">
        <f t="shared" si="8"/>
        <v>104.5</v>
      </c>
      <c r="J98" s="14"/>
      <c r="K98" s="16" t="s">
        <v>1137</v>
      </c>
    </row>
    <row r="99" spans="1:11" ht="12.6" customHeight="1" x14ac:dyDescent="0.2">
      <c r="A99" s="13">
        <v>39823</v>
      </c>
      <c r="B99" s="19"/>
      <c r="C99" s="15">
        <v>1.25</v>
      </c>
      <c r="D99" s="14"/>
      <c r="E99" s="15">
        <f t="shared" si="7"/>
        <v>37.607999999999997</v>
      </c>
      <c r="F99" s="14"/>
      <c r="G99" s="15">
        <f t="shared" si="6"/>
        <v>1.25</v>
      </c>
      <c r="H99" s="14"/>
      <c r="I99" s="15">
        <f t="shared" si="8"/>
        <v>105.75</v>
      </c>
      <c r="J99" s="14"/>
      <c r="K99" s="13"/>
    </row>
    <row r="100" spans="1:11" ht="12.6" customHeight="1" x14ac:dyDescent="0.2">
      <c r="A100" s="13"/>
      <c r="B100" s="17" t="s">
        <v>45</v>
      </c>
      <c r="C100" s="15"/>
      <c r="D100" s="14"/>
      <c r="E100" s="15">
        <f t="shared" si="7"/>
        <v>37.607999999999997</v>
      </c>
      <c r="F100" s="14"/>
      <c r="G100" s="15">
        <f t="shared" si="6"/>
        <v>0</v>
      </c>
      <c r="H100" s="14"/>
      <c r="I100" s="15">
        <f t="shared" si="8"/>
        <v>105.75</v>
      </c>
      <c r="J100" s="14"/>
      <c r="K100" s="13">
        <v>40157</v>
      </c>
    </row>
    <row r="101" spans="1:11" ht="12.6" customHeight="1" x14ac:dyDescent="0.2">
      <c r="A101" s="13"/>
      <c r="B101" s="19" t="s">
        <v>144</v>
      </c>
      <c r="C101" s="15"/>
      <c r="D101" s="14"/>
      <c r="E101" s="15">
        <f t="shared" si="7"/>
        <v>37.607999999999997</v>
      </c>
      <c r="F101" s="14"/>
      <c r="G101" s="15">
        <f t="shared" si="6"/>
        <v>0</v>
      </c>
      <c r="H101" s="14">
        <v>1.5</v>
      </c>
      <c r="I101" s="15">
        <f t="shared" si="8"/>
        <v>104.25</v>
      </c>
      <c r="J101" s="14"/>
      <c r="K101" s="13" t="s">
        <v>1138</v>
      </c>
    </row>
    <row r="102" spans="1:11" ht="12.6" customHeight="1" x14ac:dyDescent="0.2">
      <c r="A102" s="13">
        <v>39825</v>
      </c>
      <c r="B102" s="19"/>
      <c r="C102" s="15">
        <v>2.5</v>
      </c>
      <c r="D102" s="14"/>
      <c r="E102" s="15">
        <f t="shared" si="7"/>
        <v>40.107999999999997</v>
      </c>
      <c r="F102" s="14"/>
      <c r="G102" s="15">
        <f t="shared" si="6"/>
        <v>2.5</v>
      </c>
      <c r="H102" s="14"/>
      <c r="I102" s="15">
        <f t="shared" si="8"/>
        <v>106.75</v>
      </c>
      <c r="J102" s="14"/>
      <c r="K102" s="13"/>
    </row>
    <row r="103" spans="1:11" ht="12.6" customHeight="1" x14ac:dyDescent="0.2">
      <c r="A103" s="13"/>
      <c r="B103" s="19" t="s">
        <v>65</v>
      </c>
      <c r="C103" s="15"/>
      <c r="D103" s="14">
        <v>5</v>
      </c>
      <c r="E103" s="15">
        <f t="shared" si="7"/>
        <v>35.107999999999997</v>
      </c>
      <c r="F103" s="14"/>
      <c r="G103" s="15">
        <f t="shared" si="6"/>
        <v>0</v>
      </c>
      <c r="H103" s="14"/>
      <c r="I103" s="15">
        <f t="shared" si="8"/>
        <v>106.75</v>
      </c>
      <c r="J103" s="14"/>
      <c r="K103" s="19" t="s">
        <v>1139</v>
      </c>
    </row>
    <row r="104" spans="1:11" ht="12.6" customHeight="1" x14ac:dyDescent="0.2">
      <c r="A104" s="13">
        <v>40180</v>
      </c>
      <c r="B104" s="19"/>
      <c r="C104" s="15">
        <v>2.5</v>
      </c>
      <c r="D104" s="14"/>
      <c r="E104" s="15">
        <f t="shared" si="7"/>
        <v>37.607999999999997</v>
      </c>
      <c r="F104" s="14"/>
      <c r="G104" s="15">
        <f t="shared" si="6"/>
        <v>2.5</v>
      </c>
      <c r="H104" s="14"/>
      <c r="I104" s="15">
        <f t="shared" si="8"/>
        <v>109.25</v>
      </c>
      <c r="J104" s="14"/>
      <c r="K104" s="13"/>
    </row>
    <row r="105" spans="1:11" ht="12.6" customHeight="1" x14ac:dyDescent="0.2">
      <c r="A105" s="13"/>
      <c r="B105" s="19" t="s">
        <v>52</v>
      </c>
      <c r="C105" s="15"/>
      <c r="D105" s="14"/>
      <c r="E105" s="15">
        <f t="shared" si="7"/>
        <v>37.607999999999997</v>
      </c>
      <c r="F105" s="14"/>
      <c r="G105" s="15">
        <f t="shared" si="6"/>
        <v>0</v>
      </c>
      <c r="H105" s="14">
        <v>2</v>
      </c>
      <c r="I105" s="15">
        <f t="shared" si="8"/>
        <v>107.25</v>
      </c>
      <c r="J105" s="14"/>
      <c r="K105" s="13" t="s">
        <v>659</v>
      </c>
    </row>
    <row r="106" spans="1:11" ht="12.6" customHeight="1" x14ac:dyDescent="0.2">
      <c r="A106" s="13">
        <v>40182</v>
      </c>
      <c r="B106" s="19"/>
      <c r="C106" s="15">
        <v>2.5</v>
      </c>
      <c r="D106" s="14"/>
      <c r="E106" s="15">
        <f t="shared" si="7"/>
        <v>40.107999999999997</v>
      </c>
      <c r="F106" s="14"/>
      <c r="G106" s="15">
        <f t="shared" si="6"/>
        <v>2.5</v>
      </c>
      <c r="H106" s="14"/>
      <c r="I106" s="15">
        <f t="shared" si="8"/>
        <v>109.75</v>
      </c>
      <c r="J106" s="14"/>
      <c r="K106" s="13"/>
    </row>
    <row r="107" spans="1:11" ht="12.6" customHeight="1" x14ac:dyDescent="0.2">
      <c r="A107" s="13"/>
      <c r="B107" s="17" t="s">
        <v>90</v>
      </c>
      <c r="C107" s="15"/>
      <c r="D107" s="14"/>
      <c r="E107" s="15">
        <f t="shared" si="7"/>
        <v>40.107999999999997</v>
      </c>
      <c r="F107" s="14"/>
      <c r="G107" s="15">
        <f t="shared" si="6"/>
        <v>0</v>
      </c>
      <c r="H107" s="14"/>
      <c r="I107" s="15">
        <f t="shared" si="8"/>
        <v>109.75</v>
      </c>
      <c r="J107" s="14"/>
      <c r="K107" s="16" t="s">
        <v>1140</v>
      </c>
    </row>
    <row r="108" spans="1:11" ht="12.6" customHeight="1" x14ac:dyDescent="0.2">
      <c r="A108" s="19"/>
      <c r="B108" s="19"/>
      <c r="C108" s="15">
        <f>SUM(C82:C107)</f>
        <v>31.25</v>
      </c>
      <c r="D108" s="15">
        <f>SUM(D82:D107)</f>
        <v>42.5</v>
      </c>
      <c r="E108" s="15"/>
      <c r="F108" s="14"/>
      <c r="G108" s="15">
        <f>SUM(G82:G107)</f>
        <v>31.25</v>
      </c>
      <c r="H108" s="15">
        <f>SUM(H82:H107)</f>
        <v>5.5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GOZAR, SOFIA A.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MAY 01, 2000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40183</v>
      </c>
      <c r="B117" s="19"/>
      <c r="C117" s="15">
        <v>1.25</v>
      </c>
      <c r="D117" s="14"/>
      <c r="E117" s="15">
        <f>E107+C117-D117</f>
        <v>41.357999999999997</v>
      </c>
      <c r="F117" s="14"/>
      <c r="G117" s="15">
        <f>C117</f>
        <v>1.25</v>
      </c>
      <c r="H117" s="14"/>
      <c r="I117" s="15">
        <f>I107+G117-H117</f>
        <v>111</v>
      </c>
      <c r="J117" s="14"/>
      <c r="K117" s="13"/>
    </row>
    <row r="118" spans="1:11" ht="12.6" customHeight="1" x14ac:dyDescent="0.2">
      <c r="A118" s="13"/>
      <c r="B118" s="17" t="s">
        <v>74</v>
      </c>
      <c r="C118" s="15"/>
      <c r="D118" s="14">
        <v>1</v>
      </c>
      <c r="E118" s="15">
        <f>E117+C118-D118</f>
        <v>40.357999999999997</v>
      </c>
      <c r="F118" s="14"/>
      <c r="G118" s="15">
        <f t="shared" ref="G118:G142" si="9">C118</f>
        <v>0</v>
      </c>
      <c r="H118" s="14"/>
      <c r="I118" s="15">
        <f>I117+G118-H118</f>
        <v>111</v>
      </c>
      <c r="J118" s="22"/>
      <c r="K118" s="23" t="s">
        <v>1141</v>
      </c>
    </row>
    <row r="119" spans="1:11" ht="12.6" customHeight="1" x14ac:dyDescent="0.2">
      <c r="A119" s="13">
        <v>40544</v>
      </c>
      <c r="B119" s="19"/>
      <c r="C119" s="15">
        <v>10</v>
      </c>
      <c r="D119" s="14"/>
      <c r="E119" s="15">
        <f t="shared" ref="E119:E142" si="10">E118+C119-D119</f>
        <v>50.357999999999997</v>
      </c>
      <c r="F119" s="14"/>
      <c r="G119" s="15">
        <f t="shared" si="9"/>
        <v>10</v>
      </c>
      <c r="H119" s="14"/>
      <c r="I119" s="15">
        <f t="shared" ref="I119:I142" si="11">I118+G119-H119</f>
        <v>121</v>
      </c>
      <c r="J119" s="14"/>
      <c r="K119" s="16"/>
    </row>
    <row r="120" spans="1:11" s="63" customFormat="1" ht="12.6" customHeight="1" x14ac:dyDescent="0.2">
      <c r="A120" s="58"/>
      <c r="B120" s="67" t="s">
        <v>105</v>
      </c>
      <c r="C120" s="60"/>
      <c r="D120" s="61">
        <v>4</v>
      </c>
      <c r="E120" s="60">
        <f t="shared" si="10"/>
        <v>46.357999999999997</v>
      </c>
      <c r="F120" s="61"/>
      <c r="G120" s="60">
        <f t="shared" si="9"/>
        <v>0</v>
      </c>
      <c r="H120" s="61"/>
      <c r="I120" s="60">
        <f t="shared" si="11"/>
        <v>121</v>
      </c>
      <c r="J120" s="61"/>
      <c r="K120" s="58" t="s">
        <v>149</v>
      </c>
    </row>
    <row r="121" spans="1:11" ht="12.6" customHeight="1" x14ac:dyDescent="0.2">
      <c r="A121" s="29"/>
      <c r="B121" s="19"/>
      <c r="C121" s="15"/>
      <c r="D121" s="14">
        <v>0.05</v>
      </c>
      <c r="E121" s="15">
        <f t="shared" si="10"/>
        <v>46.308</v>
      </c>
      <c r="F121" s="14"/>
      <c r="G121" s="15">
        <f t="shared" si="9"/>
        <v>0</v>
      </c>
      <c r="H121" s="14"/>
      <c r="I121" s="15">
        <f t="shared" si="11"/>
        <v>121</v>
      </c>
      <c r="J121" s="14"/>
      <c r="K121" s="13" t="s">
        <v>1142</v>
      </c>
    </row>
    <row r="122" spans="1:11" ht="12.6" customHeight="1" x14ac:dyDescent="0.2">
      <c r="A122" s="13">
        <v>40546</v>
      </c>
      <c r="B122" s="19"/>
      <c r="C122" s="15">
        <v>2.5</v>
      </c>
      <c r="D122" s="14"/>
      <c r="E122" s="15">
        <f t="shared" si="10"/>
        <v>48.808</v>
      </c>
      <c r="F122" s="14"/>
      <c r="G122" s="15">
        <f t="shared" si="9"/>
        <v>2.5</v>
      </c>
      <c r="H122" s="14"/>
      <c r="I122" s="15">
        <f t="shared" si="11"/>
        <v>123.5</v>
      </c>
      <c r="J122" s="14"/>
      <c r="K122" s="13"/>
    </row>
    <row r="123" spans="1:11" ht="12.6" customHeight="1" x14ac:dyDescent="0.2">
      <c r="A123" s="13"/>
      <c r="B123" s="17" t="s">
        <v>52</v>
      </c>
      <c r="C123" s="15"/>
      <c r="D123" s="14"/>
      <c r="E123" s="15">
        <f t="shared" si="10"/>
        <v>48.808</v>
      </c>
      <c r="F123" s="14"/>
      <c r="G123" s="15">
        <f t="shared" si="9"/>
        <v>0</v>
      </c>
      <c r="H123" s="14">
        <v>2</v>
      </c>
      <c r="I123" s="15">
        <f t="shared" si="11"/>
        <v>121.5</v>
      </c>
      <c r="J123" s="14"/>
      <c r="K123" s="13" t="s">
        <v>1143</v>
      </c>
    </row>
    <row r="124" spans="1:11" ht="12.6" customHeight="1" x14ac:dyDescent="0.2">
      <c r="A124" s="13">
        <v>40547</v>
      </c>
      <c r="B124" s="19"/>
      <c r="C124" s="15">
        <v>1.25</v>
      </c>
      <c r="D124" s="14"/>
      <c r="E124" s="15">
        <f t="shared" si="10"/>
        <v>50.058</v>
      </c>
      <c r="F124" s="14"/>
      <c r="G124" s="15">
        <f t="shared" si="9"/>
        <v>1.25</v>
      </c>
      <c r="H124" s="14"/>
      <c r="I124" s="15">
        <f t="shared" si="11"/>
        <v>122.75</v>
      </c>
      <c r="J124" s="14"/>
      <c r="K124" s="16"/>
    </row>
    <row r="125" spans="1:11" ht="12.6" customHeight="1" x14ac:dyDescent="0.2">
      <c r="A125" s="13"/>
      <c r="B125" s="17" t="s">
        <v>91</v>
      </c>
      <c r="C125" s="15"/>
      <c r="D125" s="14">
        <v>30</v>
      </c>
      <c r="E125" s="15">
        <f t="shared" si="10"/>
        <v>20.058</v>
      </c>
      <c r="F125" s="14"/>
      <c r="G125" s="15">
        <f t="shared" si="9"/>
        <v>0</v>
      </c>
      <c r="H125" s="14"/>
      <c r="I125" s="15">
        <f t="shared" si="11"/>
        <v>122.75</v>
      </c>
      <c r="J125" s="14"/>
      <c r="K125" s="16" t="s">
        <v>1144</v>
      </c>
    </row>
    <row r="126" spans="1:11" ht="12.6" customHeight="1" x14ac:dyDescent="0.2">
      <c r="A126" s="13">
        <v>40555</v>
      </c>
      <c r="B126" s="17"/>
      <c r="C126" s="15">
        <v>10</v>
      </c>
      <c r="D126" s="14"/>
      <c r="E126" s="15">
        <f t="shared" si="10"/>
        <v>30.058</v>
      </c>
      <c r="F126" s="14"/>
      <c r="G126" s="15">
        <f t="shared" si="9"/>
        <v>10</v>
      </c>
      <c r="H126" s="14"/>
      <c r="I126" s="15">
        <f t="shared" si="11"/>
        <v>132.75</v>
      </c>
      <c r="J126" s="14"/>
      <c r="K126" s="16"/>
    </row>
    <row r="127" spans="1:11" ht="12.6" customHeight="1" x14ac:dyDescent="0.2">
      <c r="A127" s="13"/>
      <c r="B127" s="19" t="s">
        <v>195</v>
      </c>
      <c r="C127" s="15"/>
      <c r="D127" s="14"/>
      <c r="E127" s="15">
        <f t="shared" si="10"/>
        <v>30.058</v>
      </c>
      <c r="F127" s="14"/>
      <c r="G127" s="15">
        <f t="shared" si="9"/>
        <v>0</v>
      </c>
      <c r="H127" s="14"/>
      <c r="I127" s="15">
        <f t="shared" si="11"/>
        <v>132.75</v>
      </c>
      <c r="J127" s="14"/>
      <c r="K127" s="13" t="s">
        <v>1145</v>
      </c>
    </row>
    <row r="128" spans="1:11" ht="12.6" customHeight="1" x14ac:dyDescent="0.2">
      <c r="A128" s="13"/>
      <c r="B128" s="17" t="s">
        <v>90</v>
      </c>
      <c r="C128" s="15"/>
      <c r="D128" s="14"/>
      <c r="E128" s="15">
        <f t="shared" si="10"/>
        <v>30.058</v>
      </c>
      <c r="F128" s="14"/>
      <c r="G128" s="15">
        <f t="shared" si="9"/>
        <v>0</v>
      </c>
      <c r="H128" s="14"/>
      <c r="I128" s="15">
        <f t="shared" si="11"/>
        <v>132.75</v>
      </c>
      <c r="J128" s="14"/>
      <c r="K128" s="13" t="s">
        <v>1146</v>
      </c>
    </row>
    <row r="129" spans="1:11" ht="12.6" customHeight="1" x14ac:dyDescent="0.2">
      <c r="A129" s="13">
        <v>40909</v>
      </c>
      <c r="B129" s="19"/>
      <c r="C129" s="15">
        <v>1.25</v>
      </c>
      <c r="D129" s="14"/>
      <c r="E129" s="15">
        <f t="shared" si="10"/>
        <v>31.308</v>
      </c>
      <c r="F129" s="14"/>
      <c r="G129" s="15">
        <f t="shared" si="9"/>
        <v>1.25</v>
      </c>
      <c r="H129" s="14"/>
      <c r="I129" s="15">
        <f t="shared" si="11"/>
        <v>134</v>
      </c>
      <c r="J129" s="14"/>
      <c r="K129" s="13"/>
    </row>
    <row r="130" spans="1:11" ht="12.6" customHeight="1" x14ac:dyDescent="0.2">
      <c r="A130" s="13"/>
      <c r="B130" s="17" t="s">
        <v>166</v>
      </c>
      <c r="C130" s="15"/>
      <c r="D130" s="14"/>
      <c r="E130" s="15">
        <f t="shared" si="10"/>
        <v>31.308</v>
      </c>
      <c r="F130" s="14"/>
      <c r="G130" s="15">
        <f t="shared" si="9"/>
        <v>0</v>
      </c>
      <c r="H130" s="14"/>
      <c r="I130" s="15">
        <f t="shared" si="11"/>
        <v>134</v>
      </c>
      <c r="J130" s="14"/>
      <c r="K130" s="13" t="s">
        <v>1147</v>
      </c>
    </row>
    <row r="131" spans="1:11" ht="12.6" customHeight="1" x14ac:dyDescent="0.2">
      <c r="A131" s="13">
        <v>40910</v>
      </c>
      <c r="B131" s="19"/>
      <c r="C131" s="15">
        <v>1.25</v>
      </c>
      <c r="D131" s="14"/>
      <c r="E131" s="15">
        <f t="shared" si="10"/>
        <v>32.558</v>
      </c>
      <c r="F131" s="14"/>
      <c r="G131" s="15">
        <f t="shared" si="9"/>
        <v>1.25</v>
      </c>
      <c r="H131" s="14"/>
      <c r="I131" s="15">
        <f t="shared" si="11"/>
        <v>135.25</v>
      </c>
      <c r="J131" s="14"/>
      <c r="K131" s="33"/>
    </row>
    <row r="132" spans="1:11" ht="12.6" customHeight="1" x14ac:dyDescent="0.2">
      <c r="A132" s="13"/>
      <c r="B132" s="19" t="s">
        <v>47</v>
      </c>
      <c r="C132" s="15"/>
      <c r="D132" s="14"/>
      <c r="E132" s="15">
        <f t="shared" si="10"/>
        <v>32.558</v>
      </c>
      <c r="F132" s="14"/>
      <c r="G132" s="15">
        <f t="shared" si="9"/>
        <v>0</v>
      </c>
      <c r="H132" s="14">
        <v>1</v>
      </c>
      <c r="I132" s="15">
        <f t="shared" si="11"/>
        <v>134.25</v>
      </c>
      <c r="J132" s="14"/>
      <c r="K132" s="13">
        <v>41123</v>
      </c>
    </row>
    <row r="133" spans="1:11" ht="12.6" customHeight="1" x14ac:dyDescent="0.2">
      <c r="A133" s="13">
        <v>40918</v>
      </c>
      <c r="B133" s="19"/>
      <c r="C133" s="15">
        <v>10</v>
      </c>
      <c r="D133" s="14"/>
      <c r="E133" s="15">
        <f t="shared" si="10"/>
        <v>42.558</v>
      </c>
      <c r="F133" s="14"/>
      <c r="G133" s="15">
        <f t="shared" si="9"/>
        <v>10</v>
      </c>
      <c r="H133" s="14"/>
      <c r="I133" s="15">
        <f t="shared" si="11"/>
        <v>144.25</v>
      </c>
      <c r="J133" s="14"/>
      <c r="K133" s="16"/>
    </row>
    <row r="134" spans="1:11" ht="12.6" customHeight="1" x14ac:dyDescent="0.2">
      <c r="A134" s="13"/>
      <c r="B134" s="19" t="s">
        <v>74</v>
      </c>
      <c r="C134" s="15"/>
      <c r="D134" s="14">
        <v>1</v>
      </c>
      <c r="E134" s="15">
        <f t="shared" si="10"/>
        <v>41.558</v>
      </c>
      <c r="F134" s="14"/>
      <c r="G134" s="15">
        <f t="shared" si="9"/>
        <v>0</v>
      </c>
      <c r="H134" s="14"/>
      <c r="I134" s="15">
        <f t="shared" si="11"/>
        <v>144.25</v>
      </c>
      <c r="J134" s="14"/>
      <c r="K134" s="13">
        <v>41253</v>
      </c>
    </row>
    <row r="135" spans="1:11" ht="12.6" customHeight="1" x14ac:dyDescent="0.2">
      <c r="A135" s="13">
        <v>40920</v>
      </c>
      <c r="B135" s="19"/>
      <c r="C135" s="15">
        <v>2.5</v>
      </c>
      <c r="D135" s="14"/>
      <c r="E135" s="15">
        <f t="shared" si="10"/>
        <v>44.058</v>
      </c>
      <c r="F135" s="14"/>
      <c r="G135" s="15">
        <f t="shared" si="9"/>
        <v>2.5</v>
      </c>
      <c r="H135" s="14"/>
      <c r="I135" s="15">
        <f t="shared" si="11"/>
        <v>146.75</v>
      </c>
      <c r="J135" s="14"/>
      <c r="K135" s="13"/>
    </row>
    <row r="136" spans="1:11" ht="12.6" customHeight="1" x14ac:dyDescent="0.2">
      <c r="A136" s="13"/>
      <c r="B136" s="19" t="s">
        <v>195</v>
      </c>
      <c r="C136" s="15"/>
      <c r="D136" s="14"/>
      <c r="E136" s="15">
        <f t="shared" si="10"/>
        <v>44.058</v>
      </c>
      <c r="F136" s="14"/>
      <c r="G136" s="15">
        <f t="shared" si="9"/>
        <v>0</v>
      </c>
      <c r="H136" s="14"/>
      <c r="I136" s="15">
        <f t="shared" si="11"/>
        <v>146.75</v>
      </c>
      <c r="J136" s="14"/>
      <c r="K136" s="13" t="s">
        <v>1148</v>
      </c>
    </row>
    <row r="137" spans="1:11" ht="12.6" customHeight="1" x14ac:dyDescent="0.2">
      <c r="A137" s="13">
        <v>41275</v>
      </c>
      <c r="B137" s="19"/>
      <c r="C137" s="15">
        <v>1.25</v>
      </c>
      <c r="D137" s="14"/>
      <c r="E137" s="15">
        <f t="shared" si="10"/>
        <v>45.308</v>
      </c>
      <c r="F137" s="14"/>
      <c r="G137" s="15">
        <f t="shared" si="9"/>
        <v>1.25</v>
      </c>
      <c r="H137" s="14"/>
      <c r="I137" s="15">
        <f t="shared" si="11"/>
        <v>148</v>
      </c>
      <c r="J137" s="14"/>
      <c r="K137" s="13"/>
    </row>
    <row r="138" spans="1:11" ht="12.6" customHeight="1" x14ac:dyDescent="0.2">
      <c r="A138" s="13"/>
      <c r="B138" s="17" t="s">
        <v>166</v>
      </c>
      <c r="C138" s="15"/>
      <c r="D138" s="14"/>
      <c r="E138" s="15">
        <f t="shared" si="10"/>
        <v>45.308</v>
      </c>
      <c r="F138" s="14"/>
      <c r="G138" s="15">
        <f t="shared" si="9"/>
        <v>0</v>
      </c>
      <c r="H138" s="14"/>
      <c r="I138" s="15">
        <f t="shared" si="11"/>
        <v>148</v>
      </c>
      <c r="J138" s="14"/>
      <c r="K138" s="19" t="s">
        <v>1149</v>
      </c>
    </row>
    <row r="139" spans="1:11" ht="12.6" customHeight="1" x14ac:dyDescent="0.2">
      <c r="A139" s="13"/>
      <c r="B139" s="19" t="s">
        <v>47</v>
      </c>
      <c r="C139" s="15"/>
      <c r="D139" s="14"/>
      <c r="E139" s="15">
        <f t="shared" si="10"/>
        <v>45.308</v>
      </c>
      <c r="F139" s="14"/>
      <c r="G139" s="15">
        <f t="shared" si="9"/>
        <v>0</v>
      </c>
      <c r="H139" s="14">
        <v>1</v>
      </c>
      <c r="I139" s="15">
        <f t="shared" si="11"/>
        <v>147</v>
      </c>
      <c r="J139" s="14"/>
      <c r="K139" s="13">
        <v>41579</v>
      </c>
    </row>
    <row r="140" spans="1:11" ht="12.6" customHeight="1" x14ac:dyDescent="0.2">
      <c r="A140" s="13">
        <v>41276</v>
      </c>
      <c r="B140" s="19"/>
      <c r="C140" s="15">
        <v>1.25</v>
      </c>
      <c r="D140" s="14"/>
      <c r="E140" s="15">
        <f t="shared" si="10"/>
        <v>46.558</v>
      </c>
      <c r="F140" s="14"/>
      <c r="G140" s="15">
        <f t="shared" si="9"/>
        <v>1.25</v>
      </c>
      <c r="H140" s="14"/>
      <c r="I140" s="15">
        <f t="shared" si="11"/>
        <v>148.25</v>
      </c>
      <c r="J140" s="14"/>
      <c r="K140" s="13"/>
    </row>
    <row r="141" spans="1:11" ht="12.6" customHeight="1" x14ac:dyDescent="0.2">
      <c r="A141" s="13"/>
      <c r="B141" s="19" t="s">
        <v>47</v>
      </c>
      <c r="C141" s="15"/>
      <c r="D141" s="14"/>
      <c r="E141" s="15">
        <f t="shared" si="10"/>
        <v>46.558</v>
      </c>
      <c r="F141" s="14"/>
      <c r="G141" s="15">
        <f t="shared" si="9"/>
        <v>0</v>
      </c>
      <c r="H141" s="14">
        <v>1</v>
      </c>
      <c r="I141" s="15">
        <f t="shared" si="11"/>
        <v>147.25</v>
      </c>
      <c r="J141" s="14"/>
      <c r="K141" s="13">
        <v>41276</v>
      </c>
    </row>
    <row r="142" spans="1:11" ht="12.6" customHeight="1" x14ac:dyDescent="0.2">
      <c r="A142" s="13"/>
      <c r="B142" s="17" t="s">
        <v>45</v>
      </c>
      <c r="C142" s="15"/>
      <c r="D142" s="14"/>
      <c r="E142" s="15">
        <f t="shared" si="10"/>
        <v>46.558</v>
      </c>
      <c r="F142" s="14"/>
      <c r="G142" s="15">
        <f t="shared" si="9"/>
        <v>0</v>
      </c>
      <c r="H142" s="14"/>
      <c r="I142" s="15">
        <f t="shared" si="11"/>
        <v>147.25</v>
      </c>
      <c r="J142" s="14"/>
      <c r="K142" s="13">
        <v>41396</v>
      </c>
    </row>
    <row r="143" spans="1:11" ht="12.6" customHeight="1" x14ac:dyDescent="0.2">
      <c r="A143" s="19"/>
      <c r="B143" s="19"/>
      <c r="C143" s="15">
        <f>SUM(C117:C142)</f>
        <v>42.5</v>
      </c>
      <c r="D143" s="15">
        <f>SUM(D117:D142)</f>
        <v>36.049999999999997</v>
      </c>
      <c r="E143" s="15"/>
      <c r="F143" s="14"/>
      <c r="G143" s="15">
        <f>SUM(G117:G142)</f>
        <v>42.5</v>
      </c>
      <c r="H143" s="15">
        <f>SUM(H117:H142)</f>
        <v>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GOZAR, SOFIA A.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MAY 01, 2000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41278</v>
      </c>
      <c r="B156" s="19"/>
      <c r="C156" s="15">
        <v>2.5</v>
      </c>
      <c r="D156" s="14"/>
      <c r="E156" s="15">
        <f>E142+C156-D156</f>
        <v>49.058</v>
      </c>
      <c r="F156" s="14"/>
      <c r="G156" s="15">
        <f>C156</f>
        <v>2.5</v>
      </c>
      <c r="H156" s="14"/>
      <c r="I156" s="15">
        <f>I142+G156-H156</f>
        <v>149.75</v>
      </c>
      <c r="J156" s="14"/>
      <c r="K156" s="13"/>
    </row>
    <row r="157" spans="1:11" ht="12.6" customHeight="1" x14ac:dyDescent="0.2">
      <c r="A157" s="13"/>
      <c r="B157" s="19" t="s">
        <v>271</v>
      </c>
      <c r="C157" s="15"/>
      <c r="D157" s="14"/>
      <c r="E157" s="15">
        <f>E156+C157-D157</f>
        <v>49.058</v>
      </c>
      <c r="F157" s="14"/>
      <c r="G157" s="15">
        <f t="shared" ref="G157:G181" si="12">C157</f>
        <v>0</v>
      </c>
      <c r="H157" s="14">
        <v>5</v>
      </c>
      <c r="I157" s="15">
        <f>I156+G157-H157</f>
        <v>144.75</v>
      </c>
      <c r="J157" s="14"/>
      <c r="K157" s="13" t="s">
        <v>1150</v>
      </c>
    </row>
    <row r="158" spans="1:11" ht="12.6" customHeight="1" x14ac:dyDescent="0.2">
      <c r="A158" s="13">
        <v>41279</v>
      </c>
      <c r="B158" s="19"/>
      <c r="C158" s="15">
        <v>1.25</v>
      </c>
      <c r="D158" s="14"/>
      <c r="E158" s="15">
        <f t="shared" ref="E158:E181" si="13">E157+C158-D158</f>
        <v>50.308</v>
      </c>
      <c r="F158" s="22"/>
      <c r="G158" s="15">
        <f t="shared" si="12"/>
        <v>1.25</v>
      </c>
      <c r="H158" s="34"/>
      <c r="I158" s="15">
        <f t="shared" ref="I158:I181" si="14">I157+G158-H158</f>
        <v>146</v>
      </c>
      <c r="J158" s="14"/>
      <c r="K158" s="13"/>
    </row>
    <row r="159" spans="1:11" ht="12.6" customHeight="1" x14ac:dyDescent="0.2">
      <c r="A159" s="13"/>
      <c r="B159" s="19" t="s">
        <v>47</v>
      </c>
      <c r="C159" s="15"/>
      <c r="D159" s="14"/>
      <c r="E159" s="15">
        <f t="shared" si="13"/>
        <v>50.308</v>
      </c>
      <c r="F159" s="14"/>
      <c r="G159" s="15">
        <f t="shared" si="12"/>
        <v>0</v>
      </c>
      <c r="H159" s="34">
        <v>1</v>
      </c>
      <c r="I159" s="15">
        <f t="shared" si="14"/>
        <v>145</v>
      </c>
      <c r="J159" s="14"/>
      <c r="K159" s="13">
        <v>41552</v>
      </c>
    </row>
    <row r="160" spans="1:11" ht="12.6" customHeight="1" x14ac:dyDescent="0.2">
      <c r="A160" s="13">
        <v>41283</v>
      </c>
      <c r="B160" s="19"/>
      <c r="C160" s="15">
        <v>5</v>
      </c>
      <c r="D160" s="14"/>
      <c r="E160" s="15">
        <f t="shared" si="13"/>
        <v>55.308</v>
      </c>
      <c r="F160" s="14"/>
      <c r="G160" s="15">
        <f t="shared" si="12"/>
        <v>5</v>
      </c>
      <c r="H160" s="34"/>
      <c r="I160" s="15">
        <f t="shared" si="14"/>
        <v>150</v>
      </c>
      <c r="J160" s="14"/>
      <c r="K160" s="16"/>
    </row>
    <row r="161" spans="1:11" ht="12.6" customHeight="1" x14ac:dyDescent="0.2">
      <c r="A161" s="13"/>
      <c r="B161" s="19" t="s">
        <v>271</v>
      </c>
      <c r="C161" s="15"/>
      <c r="D161" s="14"/>
      <c r="E161" s="15">
        <f t="shared" si="13"/>
        <v>55.308</v>
      </c>
      <c r="F161" s="14"/>
      <c r="G161" s="15">
        <f t="shared" si="12"/>
        <v>0</v>
      </c>
      <c r="H161" s="34">
        <v>5</v>
      </c>
      <c r="I161" s="15">
        <f t="shared" si="14"/>
        <v>145</v>
      </c>
      <c r="J161" s="14"/>
      <c r="K161" s="13" t="s">
        <v>1151</v>
      </c>
    </row>
    <row r="162" spans="1:11" ht="12.6" customHeight="1" x14ac:dyDescent="0.2">
      <c r="A162" s="13"/>
      <c r="B162" s="19" t="s">
        <v>74</v>
      </c>
      <c r="C162" s="15"/>
      <c r="D162" s="14">
        <v>1</v>
      </c>
      <c r="E162" s="15">
        <f t="shared" si="13"/>
        <v>54.308</v>
      </c>
      <c r="F162" s="14"/>
      <c r="G162" s="15">
        <f t="shared" si="12"/>
        <v>0</v>
      </c>
      <c r="H162" s="34"/>
      <c r="I162" s="15">
        <f t="shared" si="14"/>
        <v>145</v>
      </c>
      <c r="J162" s="14"/>
      <c r="K162" s="16" t="s">
        <v>1152</v>
      </c>
    </row>
    <row r="163" spans="1:11" ht="12.6" customHeight="1" x14ac:dyDescent="0.2">
      <c r="A163" s="13">
        <v>41286</v>
      </c>
      <c r="B163" s="19"/>
      <c r="C163" s="15">
        <v>3.75</v>
      </c>
      <c r="D163" s="22"/>
      <c r="E163" s="15">
        <f t="shared" si="13"/>
        <v>58.058</v>
      </c>
      <c r="F163" s="22"/>
      <c r="G163" s="15">
        <f t="shared" si="12"/>
        <v>3.75</v>
      </c>
      <c r="H163" s="14"/>
      <c r="I163" s="15">
        <f t="shared" si="14"/>
        <v>148.75</v>
      </c>
      <c r="J163" s="14"/>
      <c r="K163" s="13"/>
    </row>
    <row r="164" spans="1:11" ht="12.6" customHeight="1" x14ac:dyDescent="0.2">
      <c r="A164" s="13"/>
      <c r="B164" s="19" t="s">
        <v>87</v>
      </c>
      <c r="C164" s="15"/>
      <c r="D164" s="22">
        <v>3</v>
      </c>
      <c r="E164" s="15">
        <f t="shared" si="13"/>
        <v>55.058</v>
      </c>
      <c r="F164" s="14"/>
      <c r="G164" s="15">
        <f t="shared" si="12"/>
        <v>0</v>
      </c>
      <c r="H164" s="34"/>
      <c r="I164" s="15">
        <f t="shared" si="14"/>
        <v>148.75</v>
      </c>
      <c r="J164" s="14"/>
      <c r="K164" s="13" t="s">
        <v>1153</v>
      </c>
    </row>
    <row r="165" spans="1:11" ht="12.6" customHeight="1" x14ac:dyDescent="0.2">
      <c r="A165" s="13"/>
      <c r="B165" s="19" t="s">
        <v>77</v>
      </c>
      <c r="C165" s="15"/>
      <c r="D165" s="14">
        <v>2</v>
      </c>
      <c r="E165" s="15">
        <f t="shared" si="13"/>
        <v>53.058</v>
      </c>
      <c r="F165" s="14"/>
      <c r="G165" s="15">
        <f t="shared" si="12"/>
        <v>0</v>
      </c>
      <c r="H165" s="34"/>
      <c r="I165" s="15">
        <f t="shared" si="14"/>
        <v>148.75</v>
      </c>
      <c r="J165" s="14"/>
      <c r="K165" s="13" t="s">
        <v>1154</v>
      </c>
    </row>
    <row r="166" spans="1:11" ht="12.6" customHeight="1" x14ac:dyDescent="0.2">
      <c r="A166" s="13">
        <v>41644</v>
      </c>
      <c r="B166" s="19"/>
      <c r="C166" s="15">
        <v>6.25</v>
      </c>
      <c r="D166" s="14"/>
      <c r="E166" s="15">
        <f t="shared" si="13"/>
        <v>59.308</v>
      </c>
      <c r="F166" s="22"/>
      <c r="G166" s="15">
        <f t="shared" si="12"/>
        <v>6.25</v>
      </c>
      <c r="H166" s="34"/>
      <c r="I166" s="15">
        <f t="shared" si="14"/>
        <v>155</v>
      </c>
      <c r="J166" s="14"/>
      <c r="K166" s="13"/>
    </row>
    <row r="167" spans="1:11" ht="12.6" customHeight="1" x14ac:dyDescent="0.2">
      <c r="A167" s="13"/>
      <c r="B167" s="19" t="s">
        <v>47</v>
      </c>
      <c r="C167" s="15"/>
      <c r="D167" s="14"/>
      <c r="E167" s="15">
        <f t="shared" si="13"/>
        <v>59.308</v>
      </c>
      <c r="F167" s="22"/>
      <c r="G167" s="15">
        <f t="shared" si="12"/>
        <v>0</v>
      </c>
      <c r="H167" s="35">
        <v>1</v>
      </c>
      <c r="I167" s="15">
        <f t="shared" si="14"/>
        <v>154</v>
      </c>
      <c r="J167" s="14"/>
      <c r="K167" s="13">
        <v>41675</v>
      </c>
    </row>
    <row r="168" spans="1:11" ht="12.6" customHeight="1" x14ac:dyDescent="0.2">
      <c r="A168" s="13"/>
      <c r="B168" s="17" t="s">
        <v>166</v>
      </c>
      <c r="C168" s="15"/>
      <c r="D168" s="14"/>
      <c r="E168" s="15">
        <f t="shared" si="13"/>
        <v>59.308</v>
      </c>
      <c r="F168" s="14"/>
      <c r="G168" s="15">
        <f t="shared" si="12"/>
        <v>0</v>
      </c>
      <c r="H168" s="32"/>
      <c r="I168" s="15">
        <f t="shared" si="14"/>
        <v>154</v>
      </c>
      <c r="J168" s="14"/>
      <c r="K168" s="13" t="s">
        <v>1155</v>
      </c>
    </row>
    <row r="169" spans="1:11" ht="12.6" customHeight="1" x14ac:dyDescent="0.2">
      <c r="A169" s="13">
        <v>41648</v>
      </c>
      <c r="B169" s="19"/>
      <c r="C169" s="15">
        <v>5</v>
      </c>
      <c r="D169" s="14"/>
      <c r="E169" s="15">
        <f t="shared" si="13"/>
        <v>64.307999999999993</v>
      </c>
      <c r="F169" s="22"/>
      <c r="G169" s="15">
        <f t="shared" si="12"/>
        <v>5</v>
      </c>
      <c r="H169" s="34"/>
      <c r="I169" s="15">
        <f t="shared" si="14"/>
        <v>159</v>
      </c>
      <c r="J169" s="14"/>
      <c r="K169" s="13"/>
    </row>
    <row r="170" spans="1:11" ht="12.6" customHeight="1" x14ac:dyDescent="0.2">
      <c r="A170" s="13"/>
      <c r="B170" s="17" t="s">
        <v>45</v>
      </c>
      <c r="C170" s="15"/>
      <c r="D170" s="14"/>
      <c r="E170" s="15">
        <f t="shared" si="13"/>
        <v>64.307999999999993</v>
      </c>
      <c r="F170" s="14"/>
      <c r="G170" s="15">
        <f t="shared" si="12"/>
        <v>0</v>
      </c>
      <c r="H170" s="14"/>
      <c r="I170" s="15">
        <f t="shared" si="14"/>
        <v>159</v>
      </c>
      <c r="J170" s="14"/>
      <c r="K170" s="13" t="s">
        <v>468</v>
      </c>
    </row>
    <row r="171" spans="1:11" ht="12.6" customHeight="1" x14ac:dyDescent="0.2">
      <c r="A171" s="13">
        <v>41649</v>
      </c>
      <c r="B171" s="19"/>
      <c r="C171" s="15">
        <v>1.25</v>
      </c>
      <c r="D171" s="14"/>
      <c r="E171" s="15">
        <f t="shared" si="13"/>
        <v>65.557999999999993</v>
      </c>
      <c r="F171" s="14"/>
      <c r="G171" s="15">
        <f t="shared" si="12"/>
        <v>1.25</v>
      </c>
      <c r="H171" s="34"/>
      <c r="I171" s="15">
        <f t="shared" si="14"/>
        <v>160.25</v>
      </c>
      <c r="J171" s="14"/>
      <c r="K171" s="16"/>
    </row>
    <row r="172" spans="1:11" ht="12.6" customHeight="1" x14ac:dyDescent="0.2">
      <c r="A172" s="13"/>
      <c r="B172" s="19" t="s">
        <v>95</v>
      </c>
      <c r="C172" s="15"/>
      <c r="D172" s="14">
        <v>3</v>
      </c>
      <c r="E172" s="15">
        <f t="shared" si="13"/>
        <v>62.557999999999993</v>
      </c>
      <c r="F172" s="14"/>
      <c r="G172" s="15">
        <f t="shared" si="12"/>
        <v>0</v>
      </c>
      <c r="H172" s="34"/>
      <c r="I172" s="15">
        <f t="shared" si="14"/>
        <v>160.25</v>
      </c>
      <c r="J172" s="14"/>
      <c r="K172" s="13" t="s">
        <v>1156</v>
      </c>
    </row>
    <row r="173" spans="1:11" ht="12.6" customHeight="1" x14ac:dyDescent="0.2">
      <c r="A173" s="13"/>
      <c r="B173" s="19" t="s">
        <v>95</v>
      </c>
      <c r="C173" s="15"/>
      <c r="D173" s="14">
        <v>3</v>
      </c>
      <c r="E173" s="15">
        <f t="shared" si="13"/>
        <v>59.557999999999993</v>
      </c>
      <c r="F173" s="14"/>
      <c r="G173" s="15">
        <f t="shared" si="12"/>
        <v>0</v>
      </c>
      <c r="H173" s="35"/>
      <c r="I173" s="15">
        <f t="shared" si="14"/>
        <v>160.25</v>
      </c>
      <c r="J173" s="14"/>
      <c r="K173" s="13" t="s">
        <v>1157</v>
      </c>
    </row>
    <row r="174" spans="1:11" ht="12.6" customHeight="1" x14ac:dyDescent="0.2">
      <c r="A174" s="13">
        <v>41651</v>
      </c>
      <c r="B174" s="19"/>
      <c r="C174" s="15">
        <v>2.5</v>
      </c>
      <c r="D174" s="14"/>
      <c r="E174" s="15">
        <f t="shared" si="13"/>
        <v>62.057999999999993</v>
      </c>
      <c r="F174" s="22"/>
      <c r="G174" s="15">
        <f t="shared" si="12"/>
        <v>2.5</v>
      </c>
      <c r="H174" s="14"/>
      <c r="I174" s="15">
        <f t="shared" si="14"/>
        <v>162.75</v>
      </c>
      <c r="J174" s="14"/>
      <c r="K174" s="13"/>
    </row>
    <row r="175" spans="1:11" ht="12.6" customHeight="1" x14ac:dyDescent="0.2">
      <c r="A175" s="13"/>
      <c r="B175" s="19" t="s">
        <v>65</v>
      </c>
      <c r="C175" s="15"/>
      <c r="D175" s="14">
        <v>5</v>
      </c>
      <c r="E175" s="15">
        <f t="shared" si="13"/>
        <v>57.057999999999993</v>
      </c>
      <c r="F175" s="22"/>
      <c r="G175" s="15">
        <f t="shared" si="12"/>
        <v>0</v>
      </c>
      <c r="H175" s="34"/>
      <c r="I175" s="15">
        <f t="shared" si="14"/>
        <v>162.75</v>
      </c>
      <c r="J175" s="14"/>
      <c r="K175" s="13" t="s">
        <v>1158</v>
      </c>
    </row>
    <row r="176" spans="1:11" ht="12.6" customHeight="1" x14ac:dyDescent="0.2">
      <c r="A176" s="13">
        <v>42014</v>
      </c>
      <c r="B176" s="19"/>
      <c r="C176" s="15">
        <v>12.5</v>
      </c>
      <c r="D176" s="14"/>
      <c r="E176" s="15">
        <f t="shared" si="13"/>
        <v>69.557999999999993</v>
      </c>
      <c r="F176" s="14"/>
      <c r="G176" s="15">
        <f t="shared" si="12"/>
        <v>12.5</v>
      </c>
      <c r="H176" s="32"/>
      <c r="I176" s="15">
        <f t="shared" si="14"/>
        <v>175.25</v>
      </c>
      <c r="J176" s="14"/>
      <c r="K176" s="16"/>
    </row>
    <row r="177" spans="1:11" ht="12.6" customHeight="1" x14ac:dyDescent="0.2">
      <c r="A177" s="13"/>
      <c r="B177" s="19" t="s">
        <v>47</v>
      </c>
      <c r="C177" s="15"/>
      <c r="D177" s="14"/>
      <c r="E177" s="15">
        <f t="shared" si="13"/>
        <v>69.557999999999993</v>
      </c>
      <c r="F177" s="14"/>
      <c r="G177" s="15">
        <f t="shared" si="12"/>
        <v>0</v>
      </c>
      <c r="H177" s="34">
        <v>1</v>
      </c>
      <c r="I177" s="15">
        <f t="shared" si="14"/>
        <v>174.25</v>
      </c>
      <c r="J177" s="14"/>
      <c r="K177" s="16" t="s">
        <v>1159</v>
      </c>
    </row>
    <row r="178" spans="1:11" ht="12.6" customHeight="1" x14ac:dyDescent="0.2">
      <c r="A178" s="13"/>
      <c r="B178" s="17" t="s">
        <v>91</v>
      </c>
      <c r="C178" s="15"/>
      <c r="D178" s="14">
        <v>15</v>
      </c>
      <c r="E178" s="15">
        <f t="shared" si="13"/>
        <v>54.557999999999993</v>
      </c>
      <c r="F178" s="14"/>
      <c r="G178" s="15">
        <f t="shared" si="12"/>
        <v>0</v>
      </c>
      <c r="H178" s="34">
        <v>15</v>
      </c>
      <c r="I178" s="15">
        <f t="shared" si="14"/>
        <v>159.25</v>
      </c>
      <c r="J178" s="14"/>
      <c r="K178" s="13" t="s">
        <v>1160</v>
      </c>
    </row>
    <row r="179" spans="1:11" ht="12.6" customHeight="1" x14ac:dyDescent="0.2">
      <c r="A179" s="13">
        <v>42015</v>
      </c>
      <c r="B179" s="19"/>
      <c r="C179" s="15">
        <v>1.25</v>
      </c>
      <c r="D179" s="14"/>
      <c r="E179" s="15">
        <f t="shared" si="13"/>
        <v>55.807999999999993</v>
      </c>
      <c r="F179" s="14"/>
      <c r="G179" s="15">
        <f t="shared" si="12"/>
        <v>1.25</v>
      </c>
      <c r="H179" s="34"/>
      <c r="I179" s="15">
        <f t="shared" si="14"/>
        <v>160.5</v>
      </c>
      <c r="J179" s="14"/>
      <c r="K179" s="16"/>
    </row>
    <row r="180" spans="1:11" ht="12.6" customHeight="1" x14ac:dyDescent="0.2">
      <c r="A180" s="13"/>
      <c r="B180" s="19" t="s">
        <v>65</v>
      </c>
      <c r="C180" s="15"/>
      <c r="D180" s="14">
        <v>5</v>
      </c>
      <c r="E180" s="15">
        <f t="shared" si="13"/>
        <v>50.807999999999993</v>
      </c>
      <c r="F180" s="14"/>
      <c r="G180" s="15">
        <f t="shared" si="12"/>
        <v>0</v>
      </c>
      <c r="H180" s="34"/>
      <c r="I180" s="15">
        <f t="shared" si="14"/>
        <v>160.5</v>
      </c>
      <c r="J180" s="14"/>
      <c r="K180" s="13" t="s">
        <v>1161</v>
      </c>
    </row>
    <row r="181" spans="1:11" ht="12.6" customHeight="1" x14ac:dyDescent="0.2">
      <c r="A181" s="13"/>
      <c r="B181" s="17" t="s">
        <v>90</v>
      </c>
      <c r="C181" s="15"/>
      <c r="D181" s="14"/>
      <c r="E181" s="15">
        <f t="shared" si="13"/>
        <v>50.807999999999993</v>
      </c>
      <c r="F181" s="14"/>
      <c r="G181" s="15">
        <f t="shared" si="12"/>
        <v>0</v>
      </c>
      <c r="H181" s="34"/>
      <c r="I181" s="15">
        <f t="shared" si="14"/>
        <v>160.5</v>
      </c>
      <c r="J181" s="14"/>
      <c r="K181" s="13" t="s">
        <v>1162</v>
      </c>
    </row>
    <row r="182" spans="1:11" ht="12.6" customHeight="1" x14ac:dyDescent="0.2">
      <c r="A182" s="19"/>
      <c r="B182" s="19"/>
      <c r="C182" s="15">
        <f>SUM(C156:C181)</f>
        <v>41.25</v>
      </c>
      <c r="D182" s="15">
        <f>SUM(D156:D181)</f>
        <v>37</v>
      </c>
      <c r="E182" s="36"/>
      <c r="F182" s="37"/>
      <c r="G182" s="15">
        <f>SUM(G156:G181)</f>
        <v>41.25</v>
      </c>
      <c r="H182" s="15">
        <f>SUM(H156:H181)</f>
        <v>28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GOZAR, SOFIA A.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MAY 01, 2000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42016</v>
      </c>
      <c r="B191" s="19"/>
      <c r="C191" s="15">
        <v>1.25</v>
      </c>
      <c r="D191" s="14"/>
      <c r="E191" s="15">
        <f>E181+C191-D191</f>
        <v>52.057999999999993</v>
      </c>
      <c r="F191" s="14"/>
      <c r="G191" s="15">
        <f>C191</f>
        <v>1.25</v>
      </c>
      <c r="H191" s="34"/>
      <c r="I191" s="15">
        <f>I181+G191-H191</f>
        <v>161.75</v>
      </c>
      <c r="J191" s="14"/>
      <c r="K191" s="13"/>
    </row>
    <row r="192" spans="1:11" ht="12.6" customHeight="1" x14ac:dyDescent="0.2">
      <c r="A192" s="13"/>
      <c r="B192" s="19" t="s">
        <v>1164</v>
      </c>
      <c r="C192" s="15"/>
      <c r="D192" s="14"/>
      <c r="E192" s="15">
        <f>E191+C192-D192</f>
        <v>52.057999999999993</v>
      </c>
      <c r="F192" s="14"/>
      <c r="G192" s="15">
        <f t="shared" ref="G192:G216" si="15">C192</f>
        <v>0</v>
      </c>
      <c r="H192" s="34"/>
      <c r="I192" s="15">
        <f>I191+G192-H192</f>
        <v>161.75</v>
      </c>
      <c r="J192" s="14"/>
      <c r="K192" s="13" t="s">
        <v>1163</v>
      </c>
    </row>
    <row r="193" spans="1:11" ht="12.6" customHeight="1" x14ac:dyDescent="0.2">
      <c r="A193" s="13">
        <v>42371</v>
      </c>
      <c r="B193" s="19"/>
      <c r="C193" s="15">
        <v>2.5</v>
      </c>
      <c r="D193" s="14"/>
      <c r="E193" s="15">
        <f t="shared" ref="E193:E216" si="16">E192+C193-D193</f>
        <v>54.557999999999993</v>
      </c>
      <c r="F193" s="22"/>
      <c r="G193" s="15">
        <f t="shared" si="15"/>
        <v>2.5</v>
      </c>
      <c r="H193" s="34"/>
      <c r="I193" s="15">
        <f t="shared" ref="I193:I216" si="17">I192+G193-H193</f>
        <v>164.25</v>
      </c>
      <c r="J193" s="14"/>
      <c r="K193" s="38"/>
    </row>
    <row r="194" spans="1:11" ht="12.6" customHeight="1" x14ac:dyDescent="0.2">
      <c r="A194" s="13"/>
      <c r="B194" s="19"/>
      <c r="C194" s="15"/>
      <c r="D194" s="14">
        <v>3.5000000000000003E-2</v>
      </c>
      <c r="E194" s="15">
        <f t="shared" si="16"/>
        <v>54.522999999999996</v>
      </c>
      <c r="F194" s="14"/>
      <c r="G194" s="15">
        <f t="shared" si="15"/>
        <v>0</v>
      </c>
      <c r="H194" s="34"/>
      <c r="I194" s="15">
        <f t="shared" si="17"/>
        <v>164.25</v>
      </c>
      <c r="J194" s="14"/>
      <c r="K194" s="13" t="s">
        <v>488</v>
      </c>
    </row>
    <row r="195" spans="1:11" ht="12.6" customHeight="1" x14ac:dyDescent="0.2">
      <c r="A195" s="13"/>
      <c r="B195" s="19" t="s">
        <v>52</v>
      </c>
      <c r="C195" s="15"/>
      <c r="D195" s="14"/>
      <c r="E195" s="15">
        <f t="shared" si="16"/>
        <v>54.522999999999996</v>
      </c>
      <c r="F195" s="14"/>
      <c r="G195" s="15">
        <f t="shared" si="15"/>
        <v>0</v>
      </c>
      <c r="H195" s="34">
        <v>2</v>
      </c>
      <c r="I195" s="15">
        <f t="shared" si="17"/>
        <v>162.25</v>
      </c>
      <c r="J195" s="14"/>
      <c r="K195" s="13" t="s">
        <v>1165</v>
      </c>
    </row>
    <row r="196" spans="1:11" ht="12.6" customHeight="1" x14ac:dyDescent="0.2">
      <c r="A196" s="13">
        <v>42373</v>
      </c>
      <c r="B196" s="19"/>
      <c r="C196" s="15">
        <v>2.5</v>
      </c>
      <c r="D196" s="14"/>
      <c r="E196" s="15">
        <f t="shared" si="16"/>
        <v>57.022999999999996</v>
      </c>
      <c r="F196" s="14"/>
      <c r="G196" s="15">
        <f t="shared" si="15"/>
        <v>2.5</v>
      </c>
      <c r="H196" s="34"/>
      <c r="I196" s="15">
        <f t="shared" si="17"/>
        <v>164.75</v>
      </c>
      <c r="J196" s="14"/>
      <c r="K196" s="13"/>
    </row>
    <row r="197" spans="1:11" ht="12.6" customHeight="1" x14ac:dyDescent="0.2">
      <c r="A197" s="13"/>
      <c r="B197" s="19" t="s">
        <v>47</v>
      </c>
      <c r="C197" s="15"/>
      <c r="D197" s="14"/>
      <c r="E197" s="15">
        <f t="shared" si="16"/>
        <v>57.022999999999996</v>
      </c>
      <c r="F197" s="14"/>
      <c r="G197" s="15">
        <f t="shared" si="15"/>
        <v>0</v>
      </c>
      <c r="H197" s="34">
        <v>1</v>
      </c>
      <c r="I197" s="15">
        <f t="shared" si="17"/>
        <v>163.75</v>
      </c>
      <c r="J197" s="14"/>
      <c r="K197" s="13" t="s">
        <v>1166</v>
      </c>
    </row>
    <row r="198" spans="1:11" ht="12.6" customHeight="1" x14ac:dyDescent="0.2">
      <c r="A198" s="13">
        <v>42375</v>
      </c>
      <c r="B198" s="19"/>
      <c r="C198" s="15">
        <v>2.5</v>
      </c>
      <c r="D198" s="22"/>
      <c r="E198" s="15">
        <f t="shared" si="16"/>
        <v>59.522999999999996</v>
      </c>
      <c r="F198" s="22"/>
      <c r="G198" s="15">
        <f t="shared" si="15"/>
        <v>2.5</v>
      </c>
      <c r="H198" s="34"/>
      <c r="I198" s="15">
        <f t="shared" si="17"/>
        <v>166.25</v>
      </c>
      <c r="J198" s="14"/>
      <c r="K198" s="16"/>
    </row>
    <row r="199" spans="1:11" ht="12.6" customHeight="1" x14ac:dyDescent="0.2">
      <c r="A199" s="13"/>
      <c r="B199" s="17" t="s">
        <v>90</v>
      </c>
      <c r="C199" s="15"/>
      <c r="D199" s="22"/>
      <c r="E199" s="15">
        <f t="shared" si="16"/>
        <v>59.522999999999996</v>
      </c>
      <c r="F199" s="14"/>
      <c r="G199" s="15">
        <f t="shared" si="15"/>
        <v>0</v>
      </c>
      <c r="H199" s="34"/>
      <c r="I199" s="15">
        <f t="shared" si="17"/>
        <v>166.25</v>
      </c>
      <c r="J199" s="14"/>
      <c r="K199" s="16" t="s">
        <v>1167</v>
      </c>
    </row>
    <row r="200" spans="1:11" ht="12.6" customHeight="1" x14ac:dyDescent="0.2">
      <c r="A200" s="13"/>
      <c r="B200" s="19" t="s">
        <v>47</v>
      </c>
      <c r="C200" s="15"/>
      <c r="D200" s="14"/>
      <c r="E200" s="15">
        <f t="shared" si="16"/>
        <v>59.522999999999996</v>
      </c>
      <c r="F200" s="14"/>
      <c r="G200" s="15">
        <f t="shared" si="15"/>
        <v>0</v>
      </c>
      <c r="H200" s="34">
        <v>1</v>
      </c>
      <c r="I200" s="15">
        <f t="shared" si="17"/>
        <v>165.25</v>
      </c>
      <c r="J200" s="14"/>
      <c r="K200" s="13" t="s">
        <v>1168</v>
      </c>
    </row>
    <row r="201" spans="1:11" ht="12.6" customHeight="1" x14ac:dyDescent="0.2">
      <c r="A201" s="13">
        <v>42380</v>
      </c>
      <c r="B201" s="19"/>
      <c r="C201" s="15">
        <v>6.25</v>
      </c>
      <c r="D201" s="22"/>
      <c r="E201" s="15">
        <f t="shared" si="16"/>
        <v>65.772999999999996</v>
      </c>
      <c r="F201" s="22"/>
      <c r="G201" s="15">
        <f t="shared" si="15"/>
        <v>6.25</v>
      </c>
      <c r="H201" s="34"/>
      <c r="I201" s="15">
        <f t="shared" si="17"/>
        <v>171.5</v>
      </c>
      <c r="J201" s="14"/>
      <c r="K201" s="13"/>
    </row>
    <row r="202" spans="1:11" ht="12.6" customHeight="1" x14ac:dyDescent="0.2">
      <c r="A202" s="13"/>
      <c r="B202" s="19" t="s">
        <v>56</v>
      </c>
      <c r="C202" s="15"/>
      <c r="D202" s="14">
        <v>4</v>
      </c>
      <c r="E202" s="15">
        <f t="shared" si="16"/>
        <v>61.772999999999996</v>
      </c>
      <c r="F202" s="22"/>
      <c r="G202" s="15">
        <f t="shared" si="15"/>
        <v>0</v>
      </c>
      <c r="H202" s="34"/>
      <c r="I202" s="15">
        <f t="shared" si="17"/>
        <v>171.5</v>
      </c>
      <c r="J202" s="14"/>
      <c r="K202" s="13" t="s">
        <v>1169</v>
      </c>
    </row>
    <row r="203" spans="1:11" ht="12.6" customHeight="1" x14ac:dyDescent="0.2">
      <c r="A203" s="13">
        <v>42736</v>
      </c>
      <c r="B203" s="19"/>
      <c r="C203" s="15">
        <v>2.5</v>
      </c>
      <c r="D203" s="14"/>
      <c r="E203" s="15">
        <f t="shared" si="16"/>
        <v>64.272999999999996</v>
      </c>
      <c r="F203" s="14"/>
      <c r="G203" s="15">
        <f t="shared" si="15"/>
        <v>2.5</v>
      </c>
      <c r="H203" s="34"/>
      <c r="I203" s="15">
        <f t="shared" si="17"/>
        <v>174</v>
      </c>
      <c r="J203" s="14"/>
      <c r="K203" s="16"/>
    </row>
    <row r="204" spans="1:11" s="63" customFormat="1" ht="12.6" customHeight="1" x14ac:dyDescent="0.2">
      <c r="A204" s="58"/>
      <c r="B204" s="67" t="s">
        <v>57</v>
      </c>
      <c r="C204" s="60"/>
      <c r="D204" s="61">
        <v>1</v>
      </c>
      <c r="E204" s="60">
        <f t="shared" si="16"/>
        <v>63.272999999999996</v>
      </c>
      <c r="F204" s="65"/>
      <c r="G204" s="60">
        <f t="shared" si="15"/>
        <v>0</v>
      </c>
      <c r="H204" s="84"/>
      <c r="I204" s="60">
        <f t="shared" si="17"/>
        <v>174</v>
      </c>
      <c r="J204" s="61"/>
      <c r="K204" s="58" t="s">
        <v>725</v>
      </c>
    </row>
    <row r="205" spans="1:11" ht="12.6" customHeight="1" x14ac:dyDescent="0.2">
      <c r="A205" s="13"/>
      <c r="B205" s="19" t="s">
        <v>932</v>
      </c>
      <c r="C205" s="15"/>
      <c r="D205" s="14"/>
      <c r="E205" s="15">
        <f t="shared" si="16"/>
        <v>63.272999999999996</v>
      </c>
      <c r="F205" s="14"/>
      <c r="G205" s="15">
        <f t="shared" si="15"/>
        <v>0</v>
      </c>
      <c r="H205" s="34"/>
      <c r="I205" s="15">
        <f t="shared" si="17"/>
        <v>174</v>
      </c>
      <c r="J205" s="14"/>
      <c r="K205" s="16" t="s">
        <v>1170</v>
      </c>
    </row>
    <row r="206" spans="1:11" ht="12.6" customHeight="1" x14ac:dyDescent="0.2">
      <c r="A206" s="13"/>
      <c r="B206" s="19"/>
      <c r="C206" s="15"/>
      <c r="D206" s="22">
        <v>0.123</v>
      </c>
      <c r="E206" s="15">
        <f t="shared" si="16"/>
        <v>63.15</v>
      </c>
      <c r="F206" s="14"/>
      <c r="G206" s="15">
        <f t="shared" si="15"/>
        <v>0</v>
      </c>
      <c r="H206" s="34"/>
      <c r="I206" s="15">
        <f t="shared" si="17"/>
        <v>174</v>
      </c>
      <c r="J206" s="14"/>
      <c r="K206" s="16" t="s">
        <v>498</v>
      </c>
    </row>
    <row r="207" spans="1:11" ht="12.6" customHeight="1" x14ac:dyDescent="0.2">
      <c r="A207" s="13">
        <v>42740</v>
      </c>
      <c r="B207" s="19"/>
      <c r="C207" s="15">
        <v>5</v>
      </c>
      <c r="D207" s="22"/>
      <c r="E207" s="15">
        <f t="shared" si="16"/>
        <v>68.150000000000006</v>
      </c>
      <c r="F207" s="14"/>
      <c r="G207" s="15">
        <f t="shared" si="15"/>
        <v>5</v>
      </c>
      <c r="H207" s="34"/>
      <c r="I207" s="15">
        <f t="shared" si="17"/>
        <v>179</v>
      </c>
      <c r="J207" s="14"/>
      <c r="K207" s="13"/>
    </row>
    <row r="208" spans="1:11" ht="12.6" customHeight="1" x14ac:dyDescent="0.2">
      <c r="A208" s="13"/>
      <c r="B208" s="17" t="s">
        <v>91</v>
      </c>
      <c r="C208" s="15"/>
      <c r="D208" s="14">
        <v>15</v>
      </c>
      <c r="E208" s="15">
        <f t="shared" si="16"/>
        <v>53.150000000000006</v>
      </c>
      <c r="F208" s="14"/>
      <c r="G208" s="15">
        <f t="shared" si="15"/>
        <v>0</v>
      </c>
      <c r="H208" s="34">
        <v>15</v>
      </c>
      <c r="I208" s="15">
        <f t="shared" si="17"/>
        <v>164</v>
      </c>
      <c r="J208" s="14"/>
      <c r="K208" s="13">
        <v>42830</v>
      </c>
    </row>
    <row r="209" spans="1:11" ht="12.6" customHeight="1" x14ac:dyDescent="0.2">
      <c r="A209" s="13">
        <v>42741</v>
      </c>
      <c r="B209" s="19"/>
      <c r="C209" s="15">
        <v>1.25</v>
      </c>
      <c r="D209" s="14"/>
      <c r="E209" s="15">
        <f t="shared" si="16"/>
        <v>54.400000000000006</v>
      </c>
      <c r="F209" s="22"/>
      <c r="G209" s="15">
        <f t="shared" si="15"/>
        <v>1.25</v>
      </c>
      <c r="H209" s="34"/>
      <c r="I209" s="15">
        <f t="shared" si="17"/>
        <v>165.25</v>
      </c>
      <c r="J209" s="14"/>
      <c r="K209" s="16"/>
    </row>
    <row r="210" spans="1:11" ht="12.6" customHeight="1" x14ac:dyDescent="0.2">
      <c r="A210" s="13"/>
      <c r="B210" s="19" t="s">
        <v>95</v>
      </c>
      <c r="C210" s="15"/>
      <c r="D210" s="14">
        <v>3</v>
      </c>
      <c r="E210" s="15">
        <f t="shared" si="16"/>
        <v>51.400000000000006</v>
      </c>
      <c r="F210" s="22"/>
      <c r="G210" s="15">
        <f t="shared" si="15"/>
        <v>0</v>
      </c>
      <c r="H210" s="34"/>
      <c r="I210" s="15">
        <f t="shared" si="17"/>
        <v>165.25</v>
      </c>
      <c r="J210" s="14"/>
      <c r="K210" s="13" t="s">
        <v>1171</v>
      </c>
    </row>
    <row r="211" spans="1:11" ht="12.6" customHeight="1" x14ac:dyDescent="0.2">
      <c r="A211" s="13">
        <v>42742</v>
      </c>
      <c r="B211" s="19"/>
      <c r="C211" s="15">
        <v>1.25</v>
      </c>
      <c r="D211" s="14"/>
      <c r="E211" s="15">
        <f t="shared" si="16"/>
        <v>52.650000000000006</v>
      </c>
      <c r="F211" s="14"/>
      <c r="G211" s="15">
        <f t="shared" si="15"/>
        <v>1.25</v>
      </c>
      <c r="H211" s="34"/>
      <c r="I211" s="15">
        <f t="shared" si="17"/>
        <v>166.5</v>
      </c>
      <c r="J211" s="14"/>
      <c r="K211" s="16"/>
    </row>
    <row r="212" spans="1:11" ht="12.6" customHeight="1" x14ac:dyDescent="0.2">
      <c r="A212" s="13"/>
      <c r="B212" s="17" t="s">
        <v>45</v>
      </c>
      <c r="C212" s="15"/>
      <c r="D212" s="14"/>
      <c r="E212" s="15">
        <f t="shared" si="16"/>
        <v>52.650000000000006</v>
      </c>
      <c r="F212" s="14"/>
      <c r="G212" s="15">
        <f t="shared" si="15"/>
        <v>0</v>
      </c>
      <c r="H212" s="34"/>
      <c r="I212" s="15">
        <f t="shared" si="17"/>
        <v>166.5</v>
      </c>
      <c r="J212" s="14"/>
      <c r="K212" s="13" t="s">
        <v>1172</v>
      </c>
    </row>
    <row r="213" spans="1:11" ht="12.6" customHeight="1" x14ac:dyDescent="0.2">
      <c r="A213" s="13">
        <v>42743</v>
      </c>
      <c r="B213" s="19"/>
      <c r="C213" s="15">
        <v>1.25</v>
      </c>
      <c r="D213" s="14"/>
      <c r="E213" s="15">
        <f t="shared" si="16"/>
        <v>53.900000000000006</v>
      </c>
      <c r="F213" s="14"/>
      <c r="G213" s="15">
        <f t="shared" si="15"/>
        <v>1.25</v>
      </c>
      <c r="H213" s="34"/>
      <c r="I213" s="15">
        <f t="shared" si="17"/>
        <v>167.75</v>
      </c>
      <c r="J213" s="14"/>
      <c r="K213" s="13"/>
    </row>
    <row r="214" spans="1:11" ht="12.6" customHeight="1" x14ac:dyDescent="0.2">
      <c r="A214" s="13"/>
      <c r="B214" s="19" t="s">
        <v>47</v>
      </c>
      <c r="C214" s="15"/>
      <c r="D214" s="14"/>
      <c r="E214" s="15">
        <f t="shared" si="16"/>
        <v>53.900000000000006</v>
      </c>
      <c r="F214" s="14"/>
      <c r="G214" s="15">
        <f t="shared" si="15"/>
        <v>0</v>
      </c>
      <c r="H214" s="14">
        <v>1</v>
      </c>
      <c r="I214" s="15">
        <f t="shared" si="17"/>
        <v>166.75</v>
      </c>
      <c r="J214" s="14"/>
      <c r="K214" s="16" t="s">
        <v>1173</v>
      </c>
    </row>
    <row r="215" spans="1:11" ht="12.6" customHeight="1" x14ac:dyDescent="0.2">
      <c r="A215" s="13">
        <v>42747</v>
      </c>
      <c r="B215" s="19"/>
      <c r="C215" s="15">
        <v>5</v>
      </c>
      <c r="D215" s="14"/>
      <c r="E215" s="15">
        <f t="shared" si="16"/>
        <v>58.900000000000006</v>
      </c>
      <c r="F215" s="14"/>
      <c r="G215" s="15">
        <f t="shared" si="15"/>
        <v>5</v>
      </c>
      <c r="H215" s="14"/>
      <c r="I215" s="15">
        <f t="shared" si="17"/>
        <v>171.75</v>
      </c>
      <c r="J215" s="14"/>
      <c r="K215" s="13"/>
    </row>
    <row r="216" spans="1:11" ht="12.6" customHeight="1" x14ac:dyDescent="0.2">
      <c r="A216" s="13"/>
      <c r="C216" s="15"/>
      <c r="D216" s="14"/>
      <c r="E216" s="15">
        <f t="shared" si="16"/>
        <v>58.900000000000006</v>
      </c>
      <c r="F216" s="14"/>
      <c r="G216" s="15">
        <f t="shared" si="15"/>
        <v>0</v>
      </c>
      <c r="H216" s="14"/>
      <c r="I216" s="15">
        <f t="shared" si="17"/>
        <v>171.75</v>
      </c>
      <c r="J216" s="14"/>
      <c r="K216" s="16" t="s">
        <v>1174</v>
      </c>
    </row>
    <row r="217" spans="1:11" ht="12.6" customHeight="1" x14ac:dyDescent="0.2">
      <c r="A217" s="19"/>
      <c r="B217" s="19"/>
      <c r="C217" s="15">
        <f>SUM(C191:C216)</f>
        <v>31.25</v>
      </c>
      <c r="D217" s="15">
        <f>SUM(D191:D216)</f>
        <v>23.158000000000001</v>
      </c>
      <c r="E217" s="36"/>
      <c r="F217" s="39"/>
      <c r="G217" s="15">
        <f>SUM(G191:G216)</f>
        <v>31.25</v>
      </c>
      <c r="H217" s="15">
        <f>SUM(H191:H216)</f>
        <v>20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GOZAR, SOFIA A.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MAY 01, 2000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7" t="s">
        <v>77</v>
      </c>
      <c r="C230" s="15"/>
      <c r="D230" s="14"/>
      <c r="E230" s="15">
        <f>E216+C230-D230</f>
        <v>58.900000000000006</v>
      </c>
      <c r="F230" s="14"/>
      <c r="G230" s="15">
        <f>C230</f>
        <v>0</v>
      </c>
      <c r="H230" s="14"/>
      <c r="I230" s="15">
        <f>I216+G230-H230</f>
        <v>171.75</v>
      </c>
      <c r="J230" s="14"/>
      <c r="K230" s="16" t="s">
        <v>1175</v>
      </c>
    </row>
    <row r="231" spans="1:11" ht="12.6" customHeight="1" x14ac:dyDescent="0.2">
      <c r="A231" s="13"/>
      <c r="B231" s="17" t="s">
        <v>52</v>
      </c>
      <c r="C231" s="15"/>
      <c r="D231" s="14"/>
      <c r="E231" s="15">
        <f>E230+C231-D231</f>
        <v>58.900000000000006</v>
      </c>
      <c r="F231" s="14"/>
      <c r="G231" s="15">
        <f t="shared" ref="G231:G255" si="18">C231</f>
        <v>0</v>
      </c>
      <c r="H231" s="14">
        <v>2</v>
      </c>
      <c r="I231" s="15">
        <f>I230+G231-H231</f>
        <v>169.75</v>
      </c>
      <c r="J231" s="14"/>
      <c r="K231" s="13" t="s">
        <v>1176</v>
      </c>
    </row>
    <row r="232" spans="1:11" ht="12.6" customHeight="1" x14ac:dyDescent="0.2">
      <c r="A232" s="13">
        <v>43101</v>
      </c>
      <c r="B232" s="19"/>
      <c r="C232" s="15">
        <v>1.25</v>
      </c>
      <c r="D232" s="14"/>
      <c r="E232" s="15">
        <f t="shared" ref="E232:E255" si="19">E231+C232-D232</f>
        <v>60.150000000000006</v>
      </c>
      <c r="F232" s="14"/>
      <c r="G232" s="15">
        <f t="shared" si="18"/>
        <v>1.25</v>
      </c>
      <c r="H232" s="14"/>
      <c r="I232" s="15">
        <f t="shared" ref="I232:I255" si="20">I231+G232-H232</f>
        <v>171</v>
      </c>
      <c r="J232" s="14"/>
      <c r="K232" s="13"/>
    </row>
    <row r="233" spans="1:11" ht="12.6" customHeight="1" x14ac:dyDescent="0.2">
      <c r="A233" s="13"/>
      <c r="B233" s="19"/>
      <c r="C233" s="15"/>
      <c r="D233" s="14">
        <v>1.9E-2</v>
      </c>
      <c r="E233" s="15">
        <f t="shared" si="19"/>
        <v>60.131000000000007</v>
      </c>
      <c r="F233" s="14"/>
      <c r="G233" s="15">
        <f t="shared" si="18"/>
        <v>0</v>
      </c>
      <c r="H233" s="14"/>
      <c r="I233" s="15">
        <f t="shared" si="20"/>
        <v>171</v>
      </c>
      <c r="J233" s="14"/>
      <c r="K233" s="16" t="s">
        <v>513</v>
      </c>
    </row>
    <row r="234" spans="1:11" ht="12.6" customHeight="1" x14ac:dyDescent="0.2">
      <c r="A234" s="13">
        <v>43104</v>
      </c>
      <c r="B234" s="19"/>
      <c r="C234" s="15">
        <v>3.75</v>
      </c>
      <c r="D234" s="14"/>
      <c r="E234" s="15">
        <f t="shared" si="19"/>
        <v>63.881000000000007</v>
      </c>
      <c r="F234" s="14"/>
      <c r="G234" s="15">
        <f t="shared" si="18"/>
        <v>3.75</v>
      </c>
      <c r="H234" s="14"/>
      <c r="I234" s="15">
        <f t="shared" si="20"/>
        <v>174.75</v>
      </c>
      <c r="J234" s="14"/>
      <c r="K234" s="13"/>
    </row>
    <row r="235" spans="1:11" ht="12.6" customHeight="1" x14ac:dyDescent="0.2">
      <c r="A235" s="13"/>
      <c r="B235" s="19" t="s">
        <v>60</v>
      </c>
      <c r="C235" s="15"/>
      <c r="D235" s="14">
        <v>5</v>
      </c>
      <c r="E235" s="15">
        <f t="shared" si="19"/>
        <v>58.881000000000007</v>
      </c>
      <c r="F235" s="14"/>
      <c r="G235" s="15">
        <f t="shared" si="18"/>
        <v>0</v>
      </c>
      <c r="H235" s="14"/>
      <c r="I235" s="15">
        <f t="shared" si="20"/>
        <v>174.75</v>
      </c>
      <c r="J235" s="14"/>
      <c r="K235" s="16" t="s">
        <v>1177</v>
      </c>
    </row>
    <row r="236" spans="1:11" ht="12.6" customHeight="1" x14ac:dyDescent="0.2">
      <c r="A236" s="13"/>
      <c r="B236" s="19" t="s">
        <v>90</v>
      </c>
      <c r="C236" s="15"/>
      <c r="D236" s="14"/>
      <c r="E236" s="15">
        <f t="shared" si="19"/>
        <v>58.881000000000007</v>
      </c>
      <c r="F236" s="14"/>
      <c r="G236" s="15">
        <f t="shared" si="18"/>
        <v>0</v>
      </c>
      <c r="H236" s="14"/>
      <c r="I236" s="15">
        <f t="shared" si="20"/>
        <v>174.75</v>
      </c>
      <c r="J236" s="14"/>
      <c r="K236" s="13" t="s">
        <v>1178</v>
      </c>
    </row>
    <row r="237" spans="1:11" ht="12.6" customHeight="1" x14ac:dyDescent="0.2">
      <c r="A237" s="13">
        <v>43105</v>
      </c>
      <c r="B237" s="19"/>
      <c r="C237" s="15">
        <v>1.25</v>
      </c>
      <c r="D237" s="14"/>
      <c r="E237" s="15">
        <f t="shared" si="19"/>
        <v>60.131000000000007</v>
      </c>
      <c r="F237" s="14"/>
      <c r="G237" s="15">
        <f t="shared" si="18"/>
        <v>1.25</v>
      </c>
      <c r="H237" s="14"/>
      <c r="I237" s="15">
        <f t="shared" si="20"/>
        <v>176</v>
      </c>
      <c r="J237" s="14"/>
      <c r="K237" s="13"/>
    </row>
    <row r="238" spans="1:11" ht="12.6" customHeight="1" x14ac:dyDescent="0.2">
      <c r="A238" s="13"/>
      <c r="B238" s="19" t="s">
        <v>47</v>
      </c>
      <c r="C238" s="15"/>
      <c r="D238" s="14"/>
      <c r="E238" s="15">
        <f t="shared" si="19"/>
        <v>60.131000000000007</v>
      </c>
      <c r="F238" s="14"/>
      <c r="G238" s="15">
        <f t="shared" si="18"/>
        <v>0</v>
      </c>
      <c r="H238" s="14">
        <v>1</v>
      </c>
      <c r="I238" s="15">
        <f t="shared" si="20"/>
        <v>175</v>
      </c>
      <c r="J238" s="14"/>
      <c r="K238" s="13">
        <v>43164</v>
      </c>
    </row>
    <row r="239" spans="1:11" ht="12.6" customHeight="1" x14ac:dyDescent="0.2">
      <c r="A239" s="13"/>
      <c r="B239" s="19" t="s">
        <v>60</v>
      </c>
      <c r="C239" s="15"/>
      <c r="D239" s="14">
        <v>5</v>
      </c>
      <c r="E239" s="15">
        <f t="shared" si="19"/>
        <v>55.131000000000007</v>
      </c>
      <c r="F239" s="14"/>
      <c r="G239" s="15">
        <f t="shared" si="18"/>
        <v>0</v>
      </c>
      <c r="H239" s="14"/>
      <c r="I239" s="15">
        <f t="shared" si="20"/>
        <v>175</v>
      </c>
      <c r="J239" s="14"/>
      <c r="K239" s="13" t="s">
        <v>1179</v>
      </c>
    </row>
    <row r="240" spans="1:11" ht="12.6" customHeight="1" x14ac:dyDescent="0.2">
      <c r="A240" s="13">
        <v>43106</v>
      </c>
      <c r="B240" s="19"/>
      <c r="C240" s="15">
        <v>1.25</v>
      </c>
      <c r="D240" s="14"/>
      <c r="E240" s="15">
        <f t="shared" si="19"/>
        <v>56.381000000000007</v>
      </c>
      <c r="F240" s="14"/>
      <c r="G240" s="15">
        <f t="shared" si="18"/>
        <v>1.25</v>
      </c>
      <c r="H240" s="14"/>
      <c r="I240" s="15">
        <f t="shared" si="20"/>
        <v>176.25</v>
      </c>
      <c r="J240" s="14"/>
      <c r="K240" s="16"/>
    </row>
    <row r="241" spans="1:11" ht="12.6" customHeight="1" x14ac:dyDescent="0.2">
      <c r="A241" s="13"/>
      <c r="B241" s="19" t="s">
        <v>74</v>
      </c>
      <c r="C241" s="15"/>
      <c r="D241" s="14">
        <v>1</v>
      </c>
      <c r="E241" s="15">
        <f t="shared" si="19"/>
        <v>55.381000000000007</v>
      </c>
      <c r="F241" s="14"/>
      <c r="G241" s="15">
        <f t="shared" si="18"/>
        <v>0</v>
      </c>
      <c r="H241" s="14"/>
      <c r="I241" s="15">
        <f t="shared" si="20"/>
        <v>176.25</v>
      </c>
      <c r="J241" s="14"/>
      <c r="K241" s="13">
        <v>43410</v>
      </c>
    </row>
    <row r="242" spans="1:11" ht="12.6" customHeight="1" x14ac:dyDescent="0.2">
      <c r="A242" s="13">
        <v>43107</v>
      </c>
      <c r="B242" s="19"/>
      <c r="C242" s="15">
        <v>1.25</v>
      </c>
      <c r="D242" s="14"/>
      <c r="E242" s="15">
        <f t="shared" si="19"/>
        <v>56.631000000000007</v>
      </c>
      <c r="F242" s="14"/>
      <c r="G242" s="15">
        <f t="shared" si="18"/>
        <v>1.25</v>
      </c>
      <c r="H242" s="14"/>
      <c r="I242" s="15">
        <f t="shared" si="20"/>
        <v>177.5</v>
      </c>
      <c r="J242" s="14"/>
      <c r="K242" s="13"/>
    </row>
    <row r="243" spans="1:11" ht="12.6" customHeight="1" x14ac:dyDescent="0.2">
      <c r="A243" s="13"/>
      <c r="B243" s="19" t="s">
        <v>52</v>
      </c>
      <c r="C243" s="15"/>
      <c r="D243" s="14"/>
      <c r="E243" s="15">
        <f t="shared" si="19"/>
        <v>56.631000000000007</v>
      </c>
      <c r="F243" s="14"/>
      <c r="G243" s="15">
        <f t="shared" si="18"/>
        <v>0</v>
      </c>
      <c r="H243" s="14">
        <v>2</v>
      </c>
      <c r="I243" s="15">
        <f t="shared" si="20"/>
        <v>175.5</v>
      </c>
      <c r="J243" s="14"/>
      <c r="K243" s="13" t="s">
        <v>1180</v>
      </c>
    </row>
    <row r="244" spans="1:11" ht="12.6" customHeight="1" x14ac:dyDescent="0.2">
      <c r="A244" s="13"/>
      <c r="B244" s="19" t="s">
        <v>52</v>
      </c>
      <c r="C244" s="15"/>
      <c r="D244" s="14"/>
      <c r="E244" s="15">
        <f t="shared" si="19"/>
        <v>56.631000000000007</v>
      </c>
      <c r="F244" s="14"/>
      <c r="G244" s="15">
        <f t="shared" si="18"/>
        <v>0</v>
      </c>
      <c r="H244" s="14">
        <v>2</v>
      </c>
      <c r="I244" s="15">
        <f t="shared" si="20"/>
        <v>173.5</v>
      </c>
      <c r="J244" s="14"/>
      <c r="K244" s="13" t="s">
        <v>1181</v>
      </c>
    </row>
    <row r="245" spans="1:11" ht="12.6" customHeight="1" x14ac:dyDescent="0.2">
      <c r="A245" s="13">
        <v>43313</v>
      </c>
      <c r="B245" s="19"/>
      <c r="C245" s="15">
        <v>1.25</v>
      </c>
      <c r="D245" s="14"/>
      <c r="E245" s="15">
        <f t="shared" si="19"/>
        <v>57.881000000000007</v>
      </c>
      <c r="F245" s="14"/>
      <c r="G245" s="15">
        <f t="shared" si="18"/>
        <v>1.25</v>
      </c>
      <c r="H245" s="14"/>
      <c r="I245" s="15">
        <f t="shared" si="20"/>
        <v>174.75</v>
      </c>
      <c r="J245" s="14"/>
      <c r="K245" s="13"/>
    </row>
    <row r="246" spans="1:11" ht="12.6" customHeight="1" x14ac:dyDescent="0.2">
      <c r="A246" s="16"/>
      <c r="B246" s="19" t="s">
        <v>184</v>
      </c>
      <c r="C246" s="15"/>
      <c r="D246" s="14">
        <v>5</v>
      </c>
      <c r="E246" s="15">
        <f t="shared" si="19"/>
        <v>52.881000000000007</v>
      </c>
      <c r="F246" s="14"/>
      <c r="G246" s="15">
        <f t="shared" si="18"/>
        <v>0</v>
      </c>
      <c r="H246" s="14">
        <v>5</v>
      </c>
      <c r="I246" s="15">
        <f t="shared" si="20"/>
        <v>169.75</v>
      </c>
      <c r="J246" s="14"/>
      <c r="K246" s="38" t="s">
        <v>741</v>
      </c>
    </row>
    <row r="247" spans="1:11" ht="12.6" customHeight="1" x14ac:dyDescent="0.2">
      <c r="A247" s="13">
        <v>43435</v>
      </c>
      <c r="B247" s="19"/>
      <c r="C247" s="15">
        <v>5</v>
      </c>
      <c r="D247" s="15"/>
      <c r="E247" s="15">
        <f t="shared" si="19"/>
        <v>57.881000000000007</v>
      </c>
      <c r="F247" s="14"/>
      <c r="G247" s="15">
        <f t="shared" si="18"/>
        <v>5</v>
      </c>
      <c r="H247" s="14"/>
      <c r="I247" s="15">
        <f t="shared" si="20"/>
        <v>174.75</v>
      </c>
      <c r="J247" s="14"/>
      <c r="K247" s="13"/>
    </row>
    <row r="248" spans="1:11" ht="12.6" customHeight="1" x14ac:dyDescent="0.2">
      <c r="A248" s="13"/>
      <c r="B248" s="19" t="s">
        <v>47</v>
      </c>
      <c r="C248" s="15"/>
      <c r="D248" s="14"/>
      <c r="E248" s="15">
        <f t="shared" si="19"/>
        <v>57.881000000000007</v>
      </c>
      <c r="F248" s="14"/>
      <c r="G248" s="15">
        <f t="shared" si="18"/>
        <v>0</v>
      </c>
      <c r="H248" s="14">
        <v>1</v>
      </c>
      <c r="I248" s="15">
        <f t="shared" si="20"/>
        <v>173.75</v>
      </c>
      <c r="J248" s="14"/>
      <c r="K248" s="13">
        <v>43433</v>
      </c>
    </row>
    <row r="249" spans="1:11" ht="12.6" customHeight="1" x14ac:dyDescent="0.2">
      <c r="A249" s="13">
        <v>43466</v>
      </c>
      <c r="B249" s="19"/>
      <c r="C249" s="15">
        <v>1.25</v>
      </c>
      <c r="D249" s="15"/>
      <c r="E249" s="15">
        <f t="shared" si="19"/>
        <v>59.131000000000007</v>
      </c>
      <c r="F249" s="14"/>
      <c r="G249" s="15">
        <f t="shared" si="18"/>
        <v>1.25</v>
      </c>
      <c r="H249" s="14"/>
      <c r="I249" s="15">
        <f t="shared" si="20"/>
        <v>175</v>
      </c>
      <c r="J249" s="14"/>
      <c r="K249" s="13"/>
    </row>
    <row r="250" spans="1:11" ht="12.6" customHeight="1" x14ac:dyDescent="0.2">
      <c r="A250" s="13"/>
      <c r="B250" s="19" t="s">
        <v>45</v>
      </c>
      <c r="C250" s="15"/>
      <c r="D250" s="14"/>
      <c r="E250" s="15">
        <f t="shared" si="19"/>
        <v>59.131000000000007</v>
      </c>
      <c r="F250" s="14"/>
      <c r="G250" s="15">
        <f t="shared" si="18"/>
        <v>0</v>
      </c>
      <c r="H250" s="14"/>
      <c r="I250" s="15">
        <f t="shared" si="20"/>
        <v>175</v>
      </c>
      <c r="J250" s="14"/>
      <c r="K250" s="13">
        <v>43483</v>
      </c>
    </row>
    <row r="251" spans="1:11" ht="12.6" customHeight="1" x14ac:dyDescent="0.2">
      <c r="A251" s="13">
        <v>43586</v>
      </c>
      <c r="B251" s="19"/>
      <c r="C251" s="15">
        <v>5</v>
      </c>
      <c r="D251" s="14"/>
      <c r="E251" s="15">
        <f t="shared" si="19"/>
        <v>64.131</v>
      </c>
      <c r="F251" s="14"/>
      <c r="G251" s="15">
        <f t="shared" si="18"/>
        <v>5</v>
      </c>
      <c r="H251" s="14"/>
      <c r="I251" s="15">
        <f t="shared" si="20"/>
        <v>180</v>
      </c>
      <c r="J251" s="14"/>
      <c r="K251" s="13"/>
    </row>
    <row r="252" spans="1:11" ht="12.6" customHeight="1" x14ac:dyDescent="0.2">
      <c r="A252" s="13"/>
      <c r="B252" s="19" t="s">
        <v>47</v>
      </c>
      <c r="C252" s="15"/>
      <c r="D252" s="14"/>
      <c r="E252" s="15">
        <f t="shared" si="19"/>
        <v>64.131</v>
      </c>
      <c r="F252" s="14"/>
      <c r="G252" s="15">
        <f t="shared" si="18"/>
        <v>0</v>
      </c>
      <c r="H252" s="14">
        <v>1</v>
      </c>
      <c r="I252" s="15">
        <f t="shared" si="20"/>
        <v>179</v>
      </c>
      <c r="J252" s="14"/>
      <c r="K252" s="13">
        <v>43609</v>
      </c>
    </row>
    <row r="253" spans="1:11" ht="12.6" customHeight="1" x14ac:dyDescent="0.2">
      <c r="A253" s="13">
        <v>43617</v>
      </c>
      <c r="B253" s="19"/>
      <c r="C253" s="15">
        <v>1.25</v>
      </c>
      <c r="D253" s="14"/>
      <c r="E253" s="15">
        <f t="shared" si="19"/>
        <v>65.381</v>
      </c>
      <c r="F253" s="14"/>
      <c r="G253" s="15">
        <f t="shared" si="18"/>
        <v>1.25</v>
      </c>
      <c r="H253" s="14"/>
      <c r="I253" s="15">
        <f t="shared" si="20"/>
        <v>180.25</v>
      </c>
      <c r="J253" s="14"/>
      <c r="K253" s="13"/>
    </row>
    <row r="254" spans="1:11" ht="12.6" customHeight="1" x14ac:dyDescent="0.2">
      <c r="A254" s="13"/>
      <c r="B254" s="19" t="s">
        <v>166</v>
      </c>
      <c r="C254" s="15"/>
      <c r="D254" s="14"/>
      <c r="E254" s="15">
        <f t="shared" si="19"/>
        <v>65.381</v>
      </c>
      <c r="F254" s="14"/>
      <c r="G254" s="15">
        <f t="shared" si="18"/>
        <v>0</v>
      </c>
      <c r="H254" s="14"/>
      <c r="I254" s="15">
        <f t="shared" si="20"/>
        <v>180.25</v>
      </c>
      <c r="J254" s="14"/>
      <c r="K254" s="16" t="s">
        <v>1182</v>
      </c>
    </row>
    <row r="255" spans="1:11" ht="12.6" customHeight="1" x14ac:dyDescent="0.2">
      <c r="A255" s="13">
        <v>43800</v>
      </c>
      <c r="B255" s="19"/>
      <c r="C255" s="15">
        <v>7.5</v>
      </c>
      <c r="D255" s="14"/>
      <c r="E255" s="15">
        <f t="shared" si="19"/>
        <v>72.881</v>
      </c>
      <c r="F255" s="14"/>
      <c r="G255" s="15">
        <f t="shared" si="18"/>
        <v>7.5</v>
      </c>
      <c r="H255" s="14"/>
      <c r="I255" s="15">
        <f t="shared" si="20"/>
        <v>187.75</v>
      </c>
      <c r="J255" s="14"/>
      <c r="K255" s="16"/>
    </row>
    <row r="256" spans="1:11" ht="12.6" customHeight="1" x14ac:dyDescent="0.2">
      <c r="A256" s="19"/>
      <c r="B256" s="19"/>
      <c r="C256" s="36" t="s">
        <v>23</v>
      </c>
      <c r="D256" s="36">
        <f>SUM(D230:D255)</f>
        <v>16.018999999999998</v>
      </c>
      <c r="E256" s="36"/>
      <c r="F256" s="37"/>
      <c r="G256" s="36">
        <f>SUM(G230:G255)</f>
        <v>30</v>
      </c>
      <c r="H256" s="36">
        <f>SUM(H230:H255)</f>
        <v>14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GOZAR, SOFIA A.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MAY 01, 2000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65</v>
      </c>
      <c r="C265" s="15"/>
      <c r="D265" s="14">
        <v>5</v>
      </c>
      <c r="E265" s="15">
        <f>E255+C265-D265</f>
        <v>67.881</v>
      </c>
      <c r="F265" s="14"/>
      <c r="G265" s="15">
        <f>C265</f>
        <v>0</v>
      </c>
      <c r="H265" s="14"/>
      <c r="I265" s="15">
        <f>I255+G265-H265</f>
        <v>187.75</v>
      </c>
      <c r="J265" s="14"/>
      <c r="K265" s="16" t="s">
        <v>1183</v>
      </c>
    </row>
    <row r="266" spans="1:11" ht="12.6" customHeight="1" x14ac:dyDescent="0.2">
      <c r="A266" s="13">
        <v>44136</v>
      </c>
      <c r="B266" s="19"/>
      <c r="C266" s="15">
        <v>13.75</v>
      </c>
      <c r="D266" s="14"/>
      <c r="E266" s="15">
        <f>E265+C266-D266</f>
        <v>81.631</v>
      </c>
      <c r="F266" s="14"/>
      <c r="G266" s="15">
        <f t="shared" ref="G266:G290" si="21">C266</f>
        <v>13.75</v>
      </c>
      <c r="H266" s="14"/>
      <c r="I266" s="15">
        <f>I265+G266-H266</f>
        <v>201.5</v>
      </c>
      <c r="J266" s="14"/>
      <c r="K266" s="13"/>
    </row>
    <row r="267" spans="1:11" ht="12.6" customHeight="1" x14ac:dyDescent="0.2">
      <c r="A267" s="13"/>
      <c r="B267" s="19" t="s">
        <v>90</v>
      </c>
      <c r="C267" s="15"/>
      <c r="D267" s="14"/>
      <c r="E267" s="15">
        <f t="shared" ref="E267:E290" si="22">E266+C267-D267</f>
        <v>81.631</v>
      </c>
      <c r="F267" s="14"/>
      <c r="G267" s="15">
        <f t="shared" si="21"/>
        <v>0</v>
      </c>
      <c r="H267" s="14"/>
      <c r="I267" s="15">
        <f t="shared" ref="I267:I290" si="23">I266+G267-H267</f>
        <v>201.5</v>
      </c>
      <c r="J267" s="14"/>
      <c r="K267" s="13" t="s">
        <v>1184</v>
      </c>
    </row>
    <row r="268" spans="1:11" ht="12.6" customHeight="1" x14ac:dyDescent="0.2">
      <c r="A268" s="13"/>
      <c r="B268" s="19" t="s">
        <v>195</v>
      </c>
      <c r="C268" s="15"/>
      <c r="D268" s="14"/>
      <c r="E268" s="15">
        <f t="shared" si="22"/>
        <v>81.631</v>
      </c>
      <c r="F268" s="14"/>
      <c r="G268" s="15">
        <f t="shared" si="21"/>
        <v>0</v>
      </c>
      <c r="H268" s="14"/>
      <c r="I268" s="15">
        <f t="shared" si="23"/>
        <v>201.5</v>
      </c>
      <c r="J268" s="14"/>
      <c r="K268" s="16" t="s">
        <v>1185</v>
      </c>
    </row>
    <row r="269" spans="1:11" ht="12.6" customHeight="1" x14ac:dyDescent="0.2">
      <c r="A269" s="13">
        <v>44197</v>
      </c>
      <c r="B269" s="19"/>
      <c r="C269" s="15">
        <v>2.5</v>
      </c>
      <c r="D269" s="14"/>
      <c r="E269" s="15">
        <f t="shared" si="22"/>
        <v>84.131</v>
      </c>
      <c r="F269" s="14"/>
      <c r="G269" s="15">
        <f t="shared" si="21"/>
        <v>2.5</v>
      </c>
      <c r="H269" s="14"/>
      <c r="I269" s="15">
        <f t="shared" si="23"/>
        <v>204</v>
      </c>
      <c r="J269" s="14"/>
      <c r="K269" s="13"/>
    </row>
    <row r="270" spans="1:11" ht="12.6" customHeight="1" x14ac:dyDescent="0.2">
      <c r="A270" s="13"/>
      <c r="B270" s="19"/>
      <c r="C270" s="15"/>
      <c r="D270" s="14">
        <v>3.3000000000000002E-2</v>
      </c>
      <c r="E270" s="15">
        <f t="shared" si="22"/>
        <v>84.097999999999999</v>
      </c>
      <c r="F270" s="14"/>
      <c r="G270" s="15">
        <f t="shared" si="21"/>
        <v>0</v>
      </c>
      <c r="H270" s="14"/>
      <c r="I270" s="15">
        <f t="shared" si="23"/>
        <v>204</v>
      </c>
      <c r="J270" s="14"/>
      <c r="K270" s="16" t="s">
        <v>762</v>
      </c>
    </row>
    <row r="271" spans="1:11" ht="12.6" customHeight="1" x14ac:dyDescent="0.2">
      <c r="A271" s="13">
        <v>44228</v>
      </c>
      <c r="B271" s="19"/>
      <c r="C271" s="15">
        <v>1.25</v>
      </c>
      <c r="D271" s="14"/>
      <c r="E271" s="15">
        <f t="shared" si="22"/>
        <v>85.347999999999999</v>
      </c>
      <c r="F271" s="14"/>
      <c r="G271" s="15">
        <f t="shared" si="21"/>
        <v>1.25</v>
      </c>
      <c r="H271" s="14"/>
      <c r="I271" s="15">
        <f t="shared" si="23"/>
        <v>205.25</v>
      </c>
      <c r="J271" s="14"/>
      <c r="K271" s="13"/>
    </row>
    <row r="272" spans="1:11" ht="12.6" customHeight="1" x14ac:dyDescent="0.2">
      <c r="A272" s="13"/>
      <c r="B272" s="19" t="s">
        <v>52</v>
      </c>
      <c r="C272" s="15"/>
      <c r="D272" s="14"/>
      <c r="E272" s="15">
        <f t="shared" si="22"/>
        <v>85.347999999999999</v>
      </c>
      <c r="F272" s="14"/>
      <c r="G272" s="15">
        <f t="shared" si="21"/>
        <v>0</v>
      </c>
      <c r="H272" s="14">
        <v>2</v>
      </c>
      <c r="I272" s="15">
        <f t="shared" si="23"/>
        <v>203.25</v>
      </c>
      <c r="J272" s="14"/>
      <c r="K272" s="13" t="s">
        <v>1186</v>
      </c>
    </row>
    <row r="273" spans="1:11" ht="12.6" customHeight="1" x14ac:dyDescent="0.2">
      <c r="A273" s="13">
        <v>44470</v>
      </c>
      <c r="B273" s="19"/>
      <c r="C273" s="15">
        <v>10</v>
      </c>
      <c r="D273" s="14"/>
      <c r="E273" s="15">
        <f t="shared" si="22"/>
        <v>95.347999999999999</v>
      </c>
      <c r="F273" s="14"/>
      <c r="G273" s="15">
        <f t="shared" si="21"/>
        <v>10</v>
      </c>
      <c r="H273" s="14"/>
      <c r="I273" s="15">
        <f t="shared" si="23"/>
        <v>213.25</v>
      </c>
      <c r="J273" s="14"/>
      <c r="K273" s="16"/>
    </row>
    <row r="274" spans="1:11" ht="12.6" customHeight="1" x14ac:dyDescent="0.2">
      <c r="A274" s="13"/>
      <c r="B274" s="19" t="s">
        <v>67</v>
      </c>
      <c r="C274" s="15"/>
      <c r="D274" s="14"/>
      <c r="E274" s="15">
        <f t="shared" si="22"/>
        <v>95.347999999999999</v>
      </c>
      <c r="F274" s="14"/>
      <c r="G274" s="15">
        <f t="shared" si="21"/>
        <v>0</v>
      </c>
      <c r="H274" s="14">
        <v>3</v>
      </c>
      <c r="I274" s="15">
        <f t="shared" si="23"/>
        <v>210.25</v>
      </c>
      <c r="J274" s="14"/>
      <c r="K274" s="16" t="s">
        <v>1187</v>
      </c>
    </row>
    <row r="275" spans="1:11" ht="12.6" customHeight="1" x14ac:dyDescent="0.2">
      <c r="A275" s="13">
        <v>44531</v>
      </c>
      <c r="B275" s="19"/>
      <c r="C275" s="15">
        <v>2.5</v>
      </c>
      <c r="D275" s="14"/>
      <c r="E275" s="15">
        <f t="shared" si="22"/>
        <v>97.847999999999999</v>
      </c>
      <c r="F275" s="14"/>
      <c r="G275" s="15">
        <f t="shared" si="21"/>
        <v>2.5</v>
      </c>
      <c r="H275" s="14"/>
      <c r="I275" s="15">
        <f t="shared" si="23"/>
        <v>212.75</v>
      </c>
      <c r="J275" s="14"/>
      <c r="K275" s="13"/>
    </row>
    <row r="276" spans="1:11" ht="12.6" customHeight="1" x14ac:dyDescent="0.2">
      <c r="A276" s="13"/>
      <c r="B276" s="19" t="s">
        <v>90</v>
      </c>
      <c r="C276" s="15"/>
      <c r="D276" s="14"/>
      <c r="E276" s="15">
        <f t="shared" si="22"/>
        <v>97.847999999999999</v>
      </c>
      <c r="F276" s="14"/>
      <c r="G276" s="15">
        <f t="shared" si="21"/>
        <v>0</v>
      </c>
      <c r="H276" s="14"/>
      <c r="I276" s="15">
        <f t="shared" si="23"/>
        <v>212.75</v>
      </c>
      <c r="J276" s="14"/>
      <c r="K276" s="13" t="s">
        <v>1188</v>
      </c>
    </row>
    <row r="277" spans="1:11" ht="12.6" customHeight="1" x14ac:dyDescent="0.2">
      <c r="A277" s="13"/>
      <c r="B277" s="19" t="s">
        <v>57</v>
      </c>
      <c r="C277" s="15"/>
      <c r="D277" s="14">
        <v>1</v>
      </c>
      <c r="E277" s="15">
        <f t="shared" si="22"/>
        <v>96.847999999999999</v>
      </c>
      <c r="F277" s="14"/>
      <c r="G277" s="15">
        <f t="shared" si="21"/>
        <v>0</v>
      </c>
      <c r="H277" s="14"/>
      <c r="I277" s="15">
        <f t="shared" si="23"/>
        <v>212.75</v>
      </c>
      <c r="J277" s="14"/>
      <c r="K277" s="13">
        <v>44554</v>
      </c>
    </row>
    <row r="278" spans="1:11" ht="12.6" customHeight="1" x14ac:dyDescent="0.2">
      <c r="A278" s="13"/>
      <c r="B278" s="19" t="s">
        <v>205</v>
      </c>
      <c r="C278" s="15"/>
      <c r="D278" s="14"/>
      <c r="E278" s="15">
        <f t="shared" si="22"/>
        <v>96.847999999999999</v>
      </c>
      <c r="F278" s="14"/>
      <c r="G278" s="15">
        <f t="shared" si="21"/>
        <v>0</v>
      </c>
      <c r="H278" s="14"/>
      <c r="I278" s="15">
        <f t="shared" si="23"/>
        <v>212.75</v>
      </c>
      <c r="J278" s="14"/>
      <c r="K278" s="13" t="s">
        <v>1189</v>
      </c>
    </row>
    <row r="279" spans="1:11" ht="12.6" customHeight="1" x14ac:dyDescent="0.2">
      <c r="A279" s="13">
        <v>44682</v>
      </c>
      <c r="B279" s="19"/>
      <c r="C279" s="15">
        <v>6.25</v>
      </c>
      <c r="D279" s="14"/>
      <c r="E279" s="15">
        <f t="shared" si="22"/>
        <v>103.098</v>
      </c>
      <c r="F279" s="14"/>
      <c r="G279" s="15">
        <f t="shared" si="21"/>
        <v>6.25</v>
      </c>
      <c r="H279" s="14"/>
      <c r="I279" s="15">
        <f t="shared" si="23"/>
        <v>219</v>
      </c>
      <c r="J279" s="14"/>
      <c r="K279" s="13"/>
    </row>
    <row r="280" spans="1:11" ht="12.6" customHeight="1" x14ac:dyDescent="0.2">
      <c r="A280" s="13"/>
      <c r="B280" s="19" t="s">
        <v>52</v>
      </c>
      <c r="C280" s="15"/>
      <c r="D280" s="14"/>
      <c r="E280" s="15">
        <f t="shared" si="22"/>
        <v>103.098</v>
      </c>
      <c r="F280" s="14"/>
      <c r="G280" s="15">
        <f t="shared" si="21"/>
        <v>0</v>
      </c>
      <c r="H280" s="14">
        <v>2</v>
      </c>
      <c r="I280" s="15">
        <f t="shared" si="23"/>
        <v>217</v>
      </c>
      <c r="J280" s="14"/>
      <c r="K280" s="13" t="s">
        <v>1190</v>
      </c>
    </row>
    <row r="281" spans="1:11" ht="12.6" customHeight="1" x14ac:dyDescent="0.2">
      <c r="A281" s="13"/>
      <c r="B281" s="19" t="s">
        <v>47</v>
      </c>
      <c r="C281" s="15"/>
      <c r="D281" s="14"/>
      <c r="E281" s="15">
        <f t="shared" si="22"/>
        <v>103.098</v>
      </c>
      <c r="F281" s="14"/>
      <c r="G281" s="15">
        <f t="shared" si="21"/>
        <v>0</v>
      </c>
      <c r="H281" s="14">
        <v>1</v>
      </c>
      <c r="I281" s="15">
        <f t="shared" si="23"/>
        <v>216</v>
      </c>
      <c r="J281" s="14"/>
      <c r="K281" s="13">
        <v>44704</v>
      </c>
    </row>
    <row r="282" spans="1:11" ht="12.6" customHeight="1" x14ac:dyDescent="0.2">
      <c r="A282" s="13">
        <v>44713</v>
      </c>
      <c r="B282" s="19"/>
      <c r="C282" s="15">
        <v>1.25</v>
      </c>
      <c r="D282" s="15"/>
      <c r="E282" s="15">
        <f t="shared" si="22"/>
        <v>104.348</v>
      </c>
      <c r="F282" s="14"/>
      <c r="G282" s="15">
        <f t="shared" si="21"/>
        <v>1.25</v>
      </c>
      <c r="H282" s="14"/>
      <c r="I282" s="15">
        <f t="shared" si="23"/>
        <v>217.25</v>
      </c>
      <c r="J282" s="14"/>
      <c r="K282" s="13"/>
    </row>
    <row r="283" spans="1:11" ht="12.6" customHeight="1" x14ac:dyDescent="0.2">
      <c r="A283" s="13"/>
      <c r="B283" s="19" t="s">
        <v>47</v>
      </c>
      <c r="C283" s="15"/>
      <c r="D283" s="14"/>
      <c r="E283" s="15">
        <f t="shared" si="22"/>
        <v>104.348</v>
      </c>
      <c r="F283" s="14"/>
      <c r="G283" s="15">
        <f t="shared" si="21"/>
        <v>0</v>
      </c>
      <c r="H283" s="14">
        <v>1</v>
      </c>
      <c r="I283" s="15">
        <f t="shared" si="23"/>
        <v>216.25</v>
      </c>
      <c r="J283" s="14"/>
      <c r="K283" s="13">
        <v>44722</v>
      </c>
    </row>
    <row r="284" spans="1:11" ht="12.6" customHeight="1" x14ac:dyDescent="0.2">
      <c r="A284" s="13">
        <v>44835</v>
      </c>
      <c r="B284" s="19"/>
      <c r="C284" s="15">
        <v>5</v>
      </c>
      <c r="D284" s="15"/>
      <c r="E284" s="15">
        <f t="shared" si="22"/>
        <v>109.348</v>
      </c>
      <c r="F284" s="14"/>
      <c r="G284" s="15">
        <f t="shared" si="21"/>
        <v>5</v>
      </c>
      <c r="H284" s="14"/>
      <c r="I284" s="15">
        <f t="shared" si="23"/>
        <v>221.25</v>
      </c>
      <c r="J284" s="14"/>
      <c r="K284" s="13"/>
    </row>
    <row r="285" spans="1:11" ht="12.6" customHeight="1" x14ac:dyDescent="0.2">
      <c r="A285" s="13"/>
      <c r="B285" s="19" t="s">
        <v>90</v>
      </c>
      <c r="C285" s="15"/>
      <c r="D285" s="14"/>
      <c r="E285" s="15">
        <f t="shared" si="22"/>
        <v>109.348</v>
      </c>
      <c r="F285" s="14"/>
      <c r="G285" s="15">
        <f t="shared" si="21"/>
        <v>0</v>
      </c>
      <c r="H285" s="14"/>
      <c r="I285" s="15">
        <f t="shared" si="23"/>
        <v>221.25</v>
      </c>
      <c r="J285" s="14"/>
      <c r="K285" s="16" t="s">
        <v>1191</v>
      </c>
    </row>
    <row r="286" spans="1:11" ht="12.6" customHeight="1" x14ac:dyDescent="0.2">
      <c r="A286" s="13">
        <v>44896</v>
      </c>
      <c r="B286" s="19"/>
      <c r="C286" s="15">
        <v>2.5</v>
      </c>
      <c r="D286" s="14"/>
      <c r="E286" s="15">
        <f t="shared" si="22"/>
        <v>111.848</v>
      </c>
      <c r="F286" s="14"/>
      <c r="G286" s="15">
        <f t="shared" si="21"/>
        <v>2.5</v>
      </c>
      <c r="H286" s="14"/>
      <c r="I286" s="15">
        <f t="shared" si="23"/>
        <v>223.75</v>
      </c>
      <c r="J286" s="14"/>
      <c r="K286" s="13"/>
    </row>
    <row r="287" spans="1:11" ht="12.6" customHeight="1" x14ac:dyDescent="0.2">
      <c r="A287" s="13"/>
      <c r="B287" s="19" t="s">
        <v>65</v>
      </c>
      <c r="C287" s="15"/>
      <c r="D287" s="14">
        <v>5</v>
      </c>
      <c r="E287" s="15">
        <f t="shared" si="22"/>
        <v>106.848</v>
      </c>
      <c r="F287" s="14"/>
      <c r="G287" s="15">
        <f t="shared" si="21"/>
        <v>0</v>
      </c>
      <c r="H287" s="14"/>
      <c r="I287" s="15">
        <f t="shared" si="23"/>
        <v>223.75</v>
      </c>
      <c r="J287" s="14"/>
      <c r="K287" s="13" t="s">
        <v>1192</v>
      </c>
    </row>
    <row r="288" spans="1:11" ht="12.6" customHeight="1" x14ac:dyDescent="0.2">
      <c r="A288" s="13">
        <v>44986</v>
      </c>
      <c r="B288" s="19"/>
      <c r="C288" s="15">
        <v>3.75</v>
      </c>
      <c r="D288" s="14"/>
      <c r="E288" s="15">
        <f t="shared" si="22"/>
        <v>110.598</v>
      </c>
      <c r="F288" s="14"/>
      <c r="G288" s="15">
        <f t="shared" si="21"/>
        <v>3.75</v>
      </c>
      <c r="H288" s="14"/>
      <c r="I288" s="15">
        <f t="shared" si="23"/>
        <v>227.5</v>
      </c>
      <c r="J288" s="14"/>
      <c r="K288" s="13"/>
    </row>
    <row r="289" spans="1:11" ht="12.6" customHeight="1" x14ac:dyDescent="0.2">
      <c r="A289" s="13"/>
      <c r="B289" s="19" t="s">
        <v>166</v>
      </c>
      <c r="C289" s="15"/>
      <c r="D289" s="14"/>
      <c r="E289" s="15">
        <f t="shared" si="22"/>
        <v>110.598</v>
      </c>
      <c r="F289" s="14"/>
      <c r="G289" s="15">
        <f t="shared" si="21"/>
        <v>0</v>
      </c>
      <c r="H289" s="14"/>
      <c r="I289" s="15">
        <f t="shared" si="23"/>
        <v>227.5</v>
      </c>
      <c r="J289" s="14"/>
      <c r="K289" s="13" t="s">
        <v>1193</v>
      </c>
    </row>
    <row r="290" spans="1:11" ht="12.6" customHeight="1" x14ac:dyDescent="0.2">
      <c r="A290" s="13">
        <v>45017</v>
      </c>
      <c r="B290" s="19"/>
      <c r="C290" s="15">
        <v>1.25</v>
      </c>
      <c r="D290" s="14"/>
      <c r="E290" s="15">
        <f t="shared" si="22"/>
        <v>111.848</v>
      </c>
      <c r="F290" s="14"/>
      <c r="G290" s="15">
        <f t="shared" si="21"/>
        <v>1.25</v>
      </c>
      <c r="H290" s="14"/>
      <c r="I290" s="15">
        <f t="shared" si="23"/>
        <v>228.75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50</v>
      </c>
      <c r="D291" s="36">
        <f>SUM(D265:D290)</f>
        <v>11.033000000000001</v>
      </c>
      <c r="E291" s="36"/>
      <c r="F291" s="37"/>
      <c r="G291" s="36">
        <f>SUM(G265:G290)</f>
        <v>50</v>
      </c>
      <c r="H291" s="36">
        <f>SUM(H265:H290)</f>
        <v>9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GOZAR, SOFIA A.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MAY 01, 2000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 t="s">
        <v>1194</v>
      </c>
      <c r="C304" s="15"/>
      <c r="D304" s="14"/>
      <c r="E304" s="15">
        <f>E290+C304-D304</f>
        <v>111.848</v>
      </c>
      <c r="F304" s="14"/>
      <c r="G304" s="15">
        <f>C304</f>
        <v>0</v>
      </c>
      <c r="H304" s="14"/>
      <c r="I304" s="15">
        <f>I290+G304-H304</f>
        <v>228.75</v>
      </c>
      <c r="J304" s="14"/>
      <c r="K304" s="13">
        <v>45035</v>
      </c>
    </row>
    <row r="305" spans="1:11" ht="12.6" customHeight="1" x14ac:dyDescent="0.2">
      <c r="A305" s="13">
        <v>45139</v>
      </c>
      <c r="B305" s="19"/>
      <c r="C305" s="15">
        <v>5</v>
      </c>
      <c r="D305" s="14"/>
      <c r="E305" s="15">
        <f>E304+C305-D305</f>
        <v>116.848</v>
      </c>
      <c r="F305" s="14"/>
      <c r="G305" s="15">
        <f t="shared" ref="G305:G329" si="24">C305</f>
        <v>5</v>
      </c>
      <c r="H305" s="14"/>
      <c r="I305" s="15">
        <f>I304+G305-H305</f>
        <v>233.75</v>
      </c>
      <c r="J305" s="14"/>
      <c r="K305" s="13"/>
    </row>
    <row r="306" spans="1:11" ht="12.6" customHeight="1" x14ac:dyDescent="0.2">
      <c r="A306" s="13"/>
      <c r="B306" s="19" t="s">
        <v>47</v>
      </c>
      <c r="C306" s="15"/>
      <c r="D306" s="14"/>
      <c r="E306" s="15">
        <f t="shared" ref="E306:E329" si="25">E305+C306-D306</f>
        <v>116.848</v>
      </c>
      <c r="F306" s="14"/>
      <c r="G306" s="15">
        <f t="shared" si="24"/>
        <v>0</v>
      </c>
      <c r="H306" s="14">
        <v>1</v>
      </c>
      <c r="I306" s="15">
        <f t="shared" ref="I306:I329" si="26">I305+G306-H306</f>
        <v>232.75</v>
      </c>
      <c r="J306" s="14"/>
      <c r="K306" s="13">
        <v>45156</v>
      </c>
    </row>
    <row r="307" spans="1:11" ht="12.6" customHeight="1" x14ac:dyDescent="0.2">
      <c r="A307" s="13">
        <v>45170</v>
      </c>
      <c r="B307" s="19"/>
      <c r="C307" s="15">
        <v>1.25</v>
      </c>
      <c r="D307" s="14"/>
      <c r="E307" s="15">
        <f t="shared" si="25"/>
        <v>118.098</v>
      </c>
      <c r="F307" s="14"/>
      <c r="G307" s="15">
        <f t="shared" si="24"/>
        <v>1.25</v>
      </c>
      <c r="H307" s="14"/>
      <c r="I307" s="15">
        <f t="shared" si="26"/>
        <v>234</v>
      </c>
      <c r="J307" s="14"/>
      <c r="K307" s="16"/>
    </row>
    <row r="308" spans="1:11" ht="12.6" customHeight="1" x14ac:dyDescent="0.2">
      <c r="A308" s="13"/>
      <c r="B308" s="19" t="s">
        <v>47</v>
      </c>
      <c r="C308" s="15"/>
      <c r="D308" s="14"/>
      <c r="E308" s="15">
        <f t="shared" si="25"/>
        <v>118.098</v>
      </c>
      <c r="F308" s="14"/>
      <c r="G308" s="15">
        <f t="shared" si="24"/>
        <v>0</v>
      </c>
      <c r="H308" s="14">
        <v>1</v>
      </c>
      <c r="I308" s="15">
        <f t="shared" si="26"/>
        <v>233</v>
      </c>
      <c r="J308" s="14"/>
      <c r="K308" s="13">
        <v>45187</v>
      </c>
    </row>
    <row r="309" spans="1:11" ht="12.6" customHeight="1" x14ac:dyDescent="0.2">
      <c r="A309" s="13">
        <v>45200</v>
      </c>
      <c r="B309" s="19"/>
      <c r="C309" s="15">
        <v>1.25</v>
      </c>
      <c r="D309" s="14"/>
      <c r="E309" s="15">
        <f t="shared" si="25"/>
        <v>119.348</v>
      </c>
      <c r="F309" s="14"/>
      <c r="G309" s="15">
        <f t="shared" si="24"/>
        <v>1.25</v>
      </c>
      <c r="H309" s="14"/>
      <c r="I309" s="15">
        <f t="shared" si="26"/>
        <v>234.25</v>
      </c>
      <c r="J309" s="14"/>
      <c r="K309" s="13"/>
    </row>
    <row r="310" spans="1:11" ht="12.6" customHeight="1" x14ac:dyDescent="0.2">
      <c r="A310" s="13"/>
      <c r="B310" s="19" t="s">
        <v>95</v>
      </c>
      <c r="C310" s="15"/>
      <c r="D310" s="14">
        <v>3</v>
      </c>
      <c r="E310" s="15">
        <f t="shared" si="25"/>
        <v>116.348</v>
      </c>
      <c r="F310" s="14"/>
      <c r="G310" s="15">
        <f t="shared" si="24"/>
        <v>0</v>
      </c>
      <c r="H310" s="14"/>
      <c r="I310" s="15">
        <f t="shared" si="26"/>
        <v>234.25</v>
      </c>
      <c r="J310" s="14"/>
      <c r="K310" s="13" t="s">
        <v>1195</v>
      </c>
    </row>
    <row r="311" spans="1:11" ht="12.6" customHeight="1" x14ac:dyDescent="0.2">
      <c r="A311" s="13"/>
      <c r="B311" s="19" t="s">
        <v>95</v>
      </c>
      <c r="C311" s="15"/>
      <c r="D311" s="14">
        <v>3</v>
      </c>
      <c r="E311" s="15">
        <f t="shared" si="25"/>
        <v>113.348</v>
      </c>
      <c r="F311" s="14"/>
      <c r="G311" s="15">
        <f t="shared" si="24"/>
        <v>0</v>
      </c>
      <c r="H311" s="14"/>
      <c r="I311" s="15">
        <f t="shared" si="26"/>
        <v>234.25</v>
      </c>
      <c r="J311" s="14"/>
      <c r="K311" s="13" t="s">
        <v>1196</v>
      </c>
    </row>
    <row r="312" spans="1:11" ht="12.6" customHeight="1" x14ac:dyDescent="0.2">
      <c r="A312" s="13">
        <v>45292</v>
      </c>
      <c r="B312" s="19"/>
      <c r="C312" s="15">
        <v>3.75</v>
      </c>
      <c r="D312" s="14"/>
      <c r="E312" s="15">
        <f t="shared" si="25"/>
        <v>117.098</v>
      </c>
      <c r="F312" s="14"/>
      <c r="G312" s="15">
        <f t="shared" si="24"/>
        <v>3.75</v>
      </c>
      <c r="H312" s="14"/>
      <c r="I312" s="15">
        <f t="shared" si="26"/>
        <v>238</v>
      </c>
      <c r="J312" s="14"/>
      <c r="K312" s="16"/>
    </row>
    <row r="313" spans="1:11" ht="12.6" customHeight="1" x14ac:dyDescent="0.2">
      <c r="A313" s="13"/>
      <c r="B313" s="19" t="s">
        <v>626</v>
      </c>
      <c r="C313" s="15"/>
      <c r="D313" s="14">
        <v>0.01</v>
      </c>
      <c r="E313" s="15">
        <f t="shared" si="25"/>
        <v>117.08799999999999</v>
      </c>
      <c r="F313" s="14"/>
      <c r="G313" s="15">
        <f t="shared" si="24"/>
        <v>0</v>
      </c>
      <c r="H313" s="14"/>
      <c r="I313" s="15">
        <f t="shared" si="26"/>
        <v>238</v>
      </c>
      <c r="J313" s="14"/>
      <c r="K313" s="16" t="s">
        <v>791</v>
      </c>
    </row>
    <row r="314" spans="1:11" ht="12.6" customHeight="1" x14ac:dyDescent="0.2">
      <c r="A314" s="13">
        <v>45383</v>
      </c>
      <c r="B314" s="19"/>
      <c r="C314" s="15">
        <v>3.75</v>
      </c>
      <c r="D314" s="14"/>
      <c r="E314" s="15">
        <f t="shared" si="25"/>
        <v>120.83799999999999</v>
      </c>
      <c r="F314" s="14"/>
      <c r="G314" s="15">
        <f t="shared" si="24"/>
        <v>3.75</v>
      </c>
      <c r="H314" s="14"/>
      <c r="I314" s="15">
        <f t="shared" si="26"/>
        <v>241.75</v>
      </c>
      <c r="J314" s="14"/>
      <c r="K314" s="16"/>
    </row>
    <row r="315" spans="1:11" ht="12.6" customHeight="1" x14ac:dyDescent="0.2">
      <c r="A315" s="13"/>
      <c r="B315" s="19" t="s">
        <v>47</v>
      </c>
      <c r="C315" s="15"/>
      <c r="D315" s="14"/>
      <c r="E315" s="15">
        <f t="shared" si="25"/>
        <v>120.83799999999999</v>
      </c>
      <c r="F315" s="14"/>
      <c r="G315" s="15">
        <f t="shared" si="24"/>
        <v>0</v>
      </c>
      <c r="H315" s="14">
        <v>1</v>
      </c>
      <c r="I315" s="15">
        <f t="shared" si="26"/>
        <v>240.75</v>
      </c>
      <c r="J315" s="14"/>
      <c r="K315" s="13">
        <v>45398</v>
      </c>
    </row>
    <row r="316" spans="1:11" ht="12.6" customHeight="1" x14ac:dyDescent="0.2">
      <c r="A316" s="13">
        <v>45413</v>
      </c>
      <c r="B316" s="19"/>
      <c r="C316" s="15">
        <v>1.25</v>
      </c>
      <c r="D316" s="14"/>
      <c r="E316" s="15">
        <f t="shared" si="25"/>
        <v>122.08799999999999</v>
      </c>
      <c r="F316" s="14"/>
      <c r="G316" s="15">
        <f t="shared" si="24"/>
        <v>1.25</v>
      </c>
      <c r="H316" s="14"/>
      <c r="I316" s="15">
        <f t="shared" si="26"/>
        <v>242</v>
      </c>
      <c r="J316" s="14"/>
      <c r="K316" s="13"/>
    </row>
    <row r="317" spans="1:11" ht="12.6" customHeight="1" x14ac:dyDescent="0.2">
      <c r="A317" s="13"/>
      <c r="B317" s="19" t="s">
        <v>90</v>
      </c>
      <c r="C317" s="15"/>
      <c r="D317" s="14"/>
      <c r="E317" s="15">
        <f t="shared" si="25"/>
        <v>122.08799999999999</v>
      </c>
      <c r="F317" s="14"/>
      <c r="G317" s="15">
        <f t="shared" si="24"/>
        <v>0</v>
      </c>
      <c r="H317" s="14"/>
      <c r="I317" s="15">
        <f t="shared" si="26"/>
        <v>242</v>
      </c>
      <c r="J317" s="14"/>
      <c r="K317" s="13" t="s">
        <v>1197</v>
      </c>
    </row>
    <row r="318" spans="1:11" ht="12.6" customHeight="1" x14ac:dyDescent="0.2">
      <c r="A318" s="13">
        <v>45566</v>
      </c>
      <c r="B318" s="19"/>
      <c r="C318" s="15">
        <v>6.25</v>
      </c>
      <c r="D318" s="14"/>
      <c r="E318" s="15">
        <f t="shared" si="25"/>
        <v>128.33799999999999</v>
      </c>
      <c r="F318" s="14"/>
      <c r="G318" s="15">
        <f t="shared" si="24"/>
        <v>6.25</v>
      </c>
      <c r="H318" s="14"/>
      <c r="I318" s="15">
        <f t="shared" si="26"/>
        <v>248.25</v>
      </c>
      <c r="J318" s="14"/>
      <c r="K318" s="13"/>
    </row>
    <row r="319" spans="1:11" ht="12.6" customHeight="1" x14ac:dyDescent="0.2">
      <c r="A319" s="13"/>
      <c r="B319" s="19" t="s">
        <v>47</v>
      </c>
      <c r="C319" s="15"/>
      <c r="D319" s="14"/>
      <c r="E319" s="15">
        <f t="shared" si="25"/>
        <v>128.33799999999999</v>
      </c>
      <c r="F319" s="14"/>
      <c r="G319" s="15">
        <f t="shared" si="24"/>
        <v>0</v>
      </c>
      <c r="H319" s="14">
        <v>1</v>
      </c>
      <c r="I319" s="15">
        <f t="shared" si="26"/>
        <v>247.25</v>
      </c>
      <c r="J319" s="14"/>
      <c r="K319" s="13">
        <v>45576</v>
      </c>
    </row>
    <row r="320" spans="1:11" ht="12.6" customHeight="1" x14ac:dyDescent="0.2">
      <c r="A320" s="13">
        <v>45627</v>
      </c>
      <c r="B320" s="19"/>
      <c r="C320" s="15">
        <v>2.5</v>
      </c>
      <c r="D320" s="14"/>
      <c r="E320" s="15">
        <f t="shared" si="25"/>
        <v>130.83799999999999</v>
      </c>
      <c r="F320" s="14"/>
      <c r="G320" s="15">
        <f t="shared" si="24"/>
        <v>2.5</v>
      </c>
      <c r="H320" s="14"/>
      <c r="I320" s="15">
        <f t="shared" si="26"/>
        <v>249.75</v>
      </c>
      <c r="J320" s="14"/>
      <c r="K320" s="13"/>
    </row>
    <row r="321" spans="1:11" ht="12.6" customHeight="1" x14ac:dyDescent="0.2">
      <c r="A321" s="13"/>
      <c r="B321" s="19" t="s">
        <v>65</v>
      </c>
      <c r="C321" s="15"/>
      <c r="D321" s="15">
        <v>5</v>
      </c>
      <c r="E321" s="15">
        <f t="shared" si="25"/>
        <v>125.83799999999999</v>
      </c>
      <c r="F321" s="14"/>
      <c r="G321" s="15">
        <f t="shared" si="24"/>
        <v>0</v>
      </c>
      <c r="H321" s="14"/>
      <c r="I321" s="15">
        <f t="shared" si="26"/>
        <v>249.75</v>
      </c>
      <c r="J321" s="14"/>
      <c r="K321" s="13" t="s">
        <v>1198</v>
      </c>
    </row>
    <row r="322" spans="1:11" ht="12.6" customHeight="1" x14ac:dyDescent="0.2">
      <c r="A322" s="13"/>
      <c r="B322" s="19" t="s">
        <v>52</v>
      </c>
      <c r="C322" s="15"/>
      <c r="D322" s="14"/>
      <c r="E322" s="15">
        <f t="shared" si="25"/>
        <v>125.83799999999999</v>
      </c>
      <c r="F322" s="14"/>
      <c r="G322" s="15">
        <f t="shared" si="24"/>
        <v>0</v>
      </c>
      <c r="H322" s="14">
        <v>2</v>
      </c>
      <c r="I322" s="15">
        <f t="shared" si="26"/>
        <v>247.75</v>
      </c>
      <c r="J322" s="14"/>
      <c r="K322" s="16" t="s">
        <v>1199</v>
      </c>
    </row>
    <row r="323" spans="1:11" ht="12.6" customHeight="1" x14ac:dyDescent="0.2">
      <c r="A323" s="13">
        <v>45717</v>
      </c>
      <c r="B323" s="19"/>
      <c r="C323" s="15">
        <v>3.75</v>
      </c>
      <c r="D323" s="15"/>
      <c r="E323" s="15">
        <f t="shared" si="25"/>
        <v>129.58799999999999</v>
      </c>
      <c r="F323" s="14"/>
      <c r="G323" s="15">
        <f t="shared" si="24"/>
        <v>3.75</v>
      </c>
      <c r="H323" s="14"/>
      <c r="I323" s="15">
        <f t="shared" si="26"/>
        <v>251.5</v>
      </c>
      <c r="J323" s="14"/>
      <c r="K323" s="13"/>
    </row>
    <row r="324" spans="1:11" ht="12.6" customHeight="1" x14ac:dyDescent="0.2">
      <c r="A324" s="13"/>
      <c r="B324" s="19" t="s">
        <v>45</v>
      </c>
      <c r="C324" s="15"/>
      <c r="D324" s="14"/>
      <c r="E324" s="15">
        <f t="shared" si="25"/>
        <v>129.58799999999999</v>
      </c>
      <c r="F324" s="14"/>
      <c r="G324" s="15">
        <f t="shared" si="24"/>
        <v>0</v>
      </c>
      <c r="H324" s="14"/>
      <c r="I324" s="15">
        <f t="shared" si="26"/>
        <v>251.5</v>
      </c>
      <c r="J324" s="14"/>
      <c r="K324" s="13">
        <v>45744</v>
      </c>
    </row>
    <row r="325" spans="1:11" ht="12.6" customHeight="1" x14ac:dyDescent="0.2">
      <c r="A325" s="13">
        <v>45748</v>
      </c>
      <c r="B325" s="19"/>
      <c r="C325" s="15">
        <v>1.25</v>
      </c>
      <c r="D325" s="14"/>
      <c r="E325" s="15">
        <f t="shared" si="25"/>
        <v>130.83799999999999</v>
      </c>
      <c r="F325" s="14"/>
      <c r="G325" s="15">
        <f t="shared" si="24"/>
        <v>1.25</v>
      </c>
      <c r="H325" s="14"/>
      <c r="I325" s="15">
        <f t="shared" si="26"/>
        <v>252.75</v>
      </c>
      <c r="J325" s="14"/>
      <c r="K325" s="13"/>
    </row>
    <row r="326" spans="1:11" ht="12.6" customHeight="1" x14ac:dyDescent="0.2">
      <c r="A326" s="13"/>
      <c r="B326" s="19" t="s">
        <v>1201</v>
      </c>
      <c r="C326" s="15"/>
      <c r="D326" s="14">
        <v>13</v>
      </c>
      <c r="E326" s="15">
        <f t="shared" si="25"/>
        <v>117.83799999999999</v>
      </c>
      <c r="F326" s="14"/>
      <c r="G326" s="15">
        <f t="shared" si="24"/>
        <v>0</v>
      </c>
      <c r="H326" s="14"/>
      <c r="I326" s="15">
        <f t="shared" si="26"/>
        <v>252.75</v>
      </c>
      <c r="J326" s="14"/>
      <c r="K326" s="13" t="s">
        <v>1200</v>
      </c>
    </row>
    <row r="327" spans="1:11" ht="12.6" customHeight="1" x14ac:dyDescent="0.2">
      <c r="A327" s="13">
        <v>45839</v>
      </c>
      <c r="B327" s="19"/>
      <c r="C327" s="15">
        <v>3.75</v>
      </c>
      <c r="D327" s="14"/>
      <c r="E327" s="15">
        <f t="shared" si="25"/>
        <v>121.58799999999999</v>
      </c>
      <c r="F327" s="14"/>
      <c r="G327" s="15">
        <f t="shared" si="24"/>
        <v>3.75</v>
      </c>
      <c r="H327" s="14"/>
      <c r="I327" s="15">
        <f t="shared" si="26"/>
        <v>256.5</v>
      </c>
      <c r="J327" s="14"/>
      <c r="K327" s="13"/>
    </row>
    <row r="328" spans="1:11" ht="12.6" customHeight="1" x14ac:dyDescent="0.2">
      <c r="A328" s="13"/>
      <c r="B328" s="19" t="s">
        <v>47</v>
      </c>
      <c r="C328" s="15"/>
      <c r="D328" s="14"/>
      <c r="E328" s="15">
        <f t="shared" si="25"/>
        <v>121.58799999999999</v>
      </c>
      <c r="F328" s="14"/>
      <c r="G328" s="15">
        <f t="shared" si="24"/>
        <v>0</v>
      </c>
      <c r="H328" s="14">
        <v>1</v>
      </c>
      <c r="I328" s="15">
        <f t="shared" si="26"/>
        <v>255.5</v>
      </c>
      <c r="J328" s="14"/>
      <c r="K328" s="13">
        <v>45817</v>
      </c>
    </row>
    <row r="329" spans="1:11" ht="12.6" customHeight="1" x14ac:dyDescent="0.2">
      <c r="A329" s="13">
        <v>46023</v>
      </c>
      <c r="B329" s="19"/>
      <c r="C329" s="15">
        <v>7.5</v>
      </c>
      <c r="D329" s="14"/>
      <c r="E329" s="15">
        <f t="shared" si="25"/>
        <v>129.08799999999999</v>
      </c>
      <c r="F329" s="14"/>
      <c r="G329" s="15">
        <f t="shared" si="24"/>
        <v>7.5</v>
      </c>
      <c r="H329" s="14"/>
      <c r="I329" s="15">
        <f t="shared" si="26"/>
        <v>263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41.25</v>
      </c>
      <c r="D330" s="36">
        <f>SUM(D304:D329)</f>
        <v>24.009999999999998</v>
      </c>
      <c r="E330" s="36"/>
      <c r="F330" s="37"/>
      <c r="G330" s="36">
        <f>SUM(G304:G329)</f>
        <v>41.25</v>
      </c>
      <c r="H330" s="36">
        <f>SUM(H304:H329)</f>
        <v>7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GOZAR, SOFIA A.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MAY 01, 2000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>
        <v>46113</v>
      </c>
      <c r="B339" s="19"/>
      <c r="C339" s="15">
        <v>3.75</v>
      </c>
      <c r="D339" s="14"/>
      <c r="E339" s="15">
        <f>E329+C339-D339</f>
        <v>132.83799999999999</v>
      </c>
      <c r="F339" s="14"/>
      <c r="G339" s="15">
        <f>C339</f>
        <v>3.75</v>
      </c>
      <c r="H339" s="14"/>
      <c r="I339" s="15">
        <f>I329+G339-H339</f>
        <v>266.75</v>
      </c>
      <c r="J339" s="14"/>
      <c r="K339" s="16"/>
    </row>
    <row r="340" spans="1:11" ht="12.6" customHeight="1" x14ac:dyDescent="0.2">
      <c r="A340" s="13">
        <v>46388</v>
      </c>
      <c r="B340" s="19"/>
      <c r="C340" s="15">
        <v>11.25</v>
      </c>
      <c r="D340" s="14"/>
      <c r="E340" s="15">
        <f>E339+C340-D340</f>
        <v>144.08799999999999</v>
      </c>
      <c r="F340" s="14"/>
      <c r="G340" s="15">
        <f t="shared" ref="G340:G364" si="27">C340</f>
        <v>11.25</v>
      </c>
      <c r="H340" s="14"/>
      <c r="I340" s="15">
        <f>I339+G340-H340</f>
        <v>278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144.08799999999999</v>
      </c>
      <c r="F341" s="14"/>
      <c r="G341" s="15">
        <f t="shared" si="27"/>
        <v>0</v>
      </c>
      <c r="H341" s="14"/>
      <c r="I341" s="15">
        <f t="shared" ref="I341:I364" si="29">I340+G341-H341</f>
        <v>278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144.08799999999999</v>
      </c>
      <c r="F342" s="14"/>
      <c r="G342" s="15">
        <f t="shared" si="27"/>
        <v>0</v>
      </c>
      <c r="H342" s="14"/>
      <c r="I342" s="15">
        <f t="shared" si="29"/>
        <v>278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144.08799999999999</v>
      </c>
      <c r="F343" s="14"/>
      <c r="G343" s="15">
        <f t="shared" si="27"/>
        <v>0</v>
      </c>
      <c r="H343" s="14"/>
      <c r="I343" s="15">
        <f t="shared" si="29"/>
        <v>278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144.08799999999999</v>
      </c>
      <c r="F344" s="14"/>
      <c r="G344" s="15">
        <f t="shared" si="27"/>
        <v>0</v>
      </c>
      <c r="H344" s="14"/>
      <c r="I344" s="15">
        <f t="shared" si="29"/>
        <v>278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144.08799999999999</v>
      </c>
      <c r="F345" s="14"/>
      <c r="G345" s="15">
        <f t="shared" si="27"/>
        <v>0</v>
      </c>
      <c r="H345" s="14"/>
      <c r="I345" s="15">
        <f t="shared" si="29"/>
        <v>278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144.08799999999999</v>
      </c>
      <c r="F346" s="14"/>
      <c r="G346" s="15">
        <f t="shared" si="27"/>
        <v>0</v>
      </c>
      <c r="H346" s="14"/>
      <c r="I346" s="15">
        <f t="shared" si="29"/>
        <v>278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144.08799999999999</v>
      </c>
      <c r="F347" s="14"/>
      <c r="G347" s="15">
        <f t="shared" si="27"/>
        <v>0</v>
      </c>
      <c r="H347" s="14"/>
      <c r="I347" s="15">
        <f t="shared" si="29"/>
        <v>278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144.08799999999999</v>
      </c>
      <c r="F348" s="14"/>
      <c r="G348" s="15">
        <f t="shared" si="27"/>
        <v>0</v>
      </c>
      <c r="H348" s="14"/>
      <c r="I348" s="15">
        <f t="shared" si="29"/>
        <v>278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144.08799999999999</v>
      </c>
      <c r="F349" s="14"/>
      <c r="G349" s="15">
        <f t="shared" si="27"/>
        <v>0</v>
      </c>
      <c r="H349" s="14"/>
      <c r="I349" s="15">
        <f t="shared" si="29"/>
        <v>278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144.08799999999999</v>
      </c>
      <c r="F350" s="14"/>
      <c r="G350" s="15">
        <f t="shared" si="27"/>
        <v>0</v>
      </c>
      <c r="H350" s="14"/>
      <c r="I350" s="15">
        <f t="shared" si="29"/>
        <v>278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144.08799999999999</v>
      </c>
      <c r="F351" s="14"/>
      <c r="G351" s="15">
        <f t="shared" si="27"/>
        <v>0</v>
      </c>
      <c r="H351" s="14"/>
      <c r="I351" s="15">
        <f t="shared" si="29"/>
        <v>278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144.08799999999999</v>
      </c>
      <c r="F352" s="14"/>
      <c r="G352" s="15">
        <f t="shared" si="27"/>
        <v>0</v>
      </c>
      <c r="H352" s="14"/>
      <c r="I352" s="15">
        <f t="shared" si="29"/>
        <v>278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144.08799999999999</v>
      </c>
      <c r="F353" s="14"/>
      <c r="G353" s="15">
        <f t="shared" si="27"/>
        <v>0</v>
      </c>
      <c r="H353" s="14"/>
      <c r="I353" s="15">
        <f t="shared" si="29"/>
        <v>278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144.08799999999999</v>
      </c>
      <c r="F354" s="14"/>
      <c r="G354" s="15">
        <f t="shared" si="27"/>
        <v>0</v>
      </c>
      <c r="H354" s="14"/>
      <c r="I354" s="15">
        <f t="shared" si="29"/>
        <v>278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144.08799999999999</v>
      </c>
      <c r="F355" s="14"/>
      <c r="G355" s="15">
        <f t="shared" si="27"/>
        <v>0</v>
      </c>
      <c r="H355" s="14"/>
      <c r="I355" s="15">
        <f t="shared" si="29"/>
        <v>278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144.08799999999999</v>
      </c>
      <c r="F356" s="14"/>
      <c r="G356" s="15">
        <f t="shared" si="27"/>
        <v>0</v>
      </c>
      <c r="H356" s="14"/>
      <c r="I356" s="15">
        <f t="shared" si="29"/>
        <v>278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144.08799999999999</v>
      </c>
      <c r="F357" s="14"/>
      <c r="G357" s="15">
        <f t="shared" si="27"/>
        <v>0</v>
      </c>
      <c r="H357" s="14"/>
      <c r="I357" s="15">
        <f t="shared" si="29"/>
        <v>278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144.08799999999999</v>
      </c>
      <c r="F358" s="14"/>
      <c r="G358" s="15">
        <f t="shared" si="27"/>
        <v>0</v>
      </c>
      <c r="H358" s="14"/>
      <c r="I358" s="15">
        <f t="shared" si="29"/>
        <v>278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144.08799999999999</v>
      </c>
      <c r="F359" s="14"/>
      <c r="G359" s="15">
        <f t="shared" si="27"/>
        <v>0</v>
      </c>
      <c r="H359" s="14"/>
      <c r="I359" s="15">
        <f t="shared" si="29"/>
        <v>278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144.08799999999999</v>
      </c>
      <c r="F360" s="14"/>
      <c r="G360" s="15">
        <f t="shared" si="27"/>
        <v>0</v>
      </c>
      <c r="H360" s="14"/>
      <c r="I360" s="15">
        <f t="shared" si="29"/>
        <v>278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144.08799999999999</v>
      </c>
      <c r="F361" s="14"/>
      <c r="G361" s="15">
        <f t="shared" si="27"/>
        <v>0</v>
      </c>
      <c r="H361" s="14"/>
      <c r="I361" s="15">
        <f t="shared" si="29"/>
        <v>278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144.08799999999999</v>
      </c>
      <c r="F362" s="14"/>
      <c r="G362" s="15">
        <f t="shared" si="27"/>
        <v>0</v>
      </c>
      <c r="H362" s="14"/>
      <c r="I362" s="15">
        <f t="shared" si="29"/>
        <v>278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144.08799999999999</v>
      </c>
      <c r="F363" s="14"/>
      <c r="G363" s="15">
        <f t="shared" si="27"/>
        <v>0</v>
      </c>
      <c r="H363" s="14"/>
      <c r="I363" s="15">
        <f t="shared" si="29"/>
        <v>278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144.08799999999999</v>
      </c>
      <c r="F364" s="14"/>
      <c r="G364" s="15">
        <f t="shared" si="27"/>
        <v>0</v>
      </c>
      <c r="H364" s="14"/>
      <c r="I364" s="15">
        <f t="shared" si="29"/>
        <v>278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15</v>
      </c>
      <c r="D365" s="36">
        <f>SUM(D339:D364)</f>
        <v>0</v>
      </c>
      <c r="E365" s="36"/>
      <c r="F365" s="37"/>
      <c r="G365" s="36">
        <f>SUM(G339:G364)</f>
        <v>15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GOZAR, SOFIA A.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MAY 01, 2000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144.08799999999999</v>
      </c>
      <c r="F378" s="14"/>
      <c r="G378" s="15">
        <f>C378</f>
        <v>0</v>
      </c>
      <c r="H378" s="14"/>
      <c r="I378" s="15">
        <f>I364+G378-H378</f>
        <v>278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144.08799999999999</v>
      </c>
      <c r="F379" s="14"/>
      <c r="G379" s="15">
        <f t="shared" ref="G379:G403" si="30">C379</f>
        <v>0</v>
      </c>
      <c r="H379" s="14"/>
      <c r="I379" s="15">
        <f>I378+G379-H379</f>
        <v>278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144.08799999999999</v>
      </c>
      <c r="F380" s="14"/>
      <c r="G380" s="15">
        <f t="shared" si="30"/>
        <v>0</v>
      </c>
      <c r="H380" s="14"/>
      <c r="I380" s="15">
        <f t="shared" ref="I380:I403" si="32">I379+G380-H380</f>
        <v>278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144.08799999999999</v>
      </c>
      <c r="F381" s="14"/>
      <c r="G381" s="15">
        <f t="shared" si="30"/>
        <v>0</v>
      </c>
      <c r="H381" s="14"/>
      <c r="I381" s="15">
        <f t="shared" si="32"/>
        <v>278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144.08799999999999</v>
      </c>
      <c r="F382" s="14"/>
      <c r="G382" s="15">
        <f t="shared" si="30"/>
        <v>0</v>
      </c>
      <c r="H382" s="14"/>
      <c r="I382" s="15">
        <f t="shared" si="32"/>
        <v>278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144.08799999999999</v>
      </c>
      <c r="F383" s="14"/>
      <c r="G383" s="15">
        <f t="shared" si="30"/>
        <v>0</v>
      </c>
      <c r="H383" s="14"/>
      <c r="I383" s="15">
        <f t="shared" si="32"/>
        <v>278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144.08799999999999</v>
      </c>
      <c r="F384" s="14"/>
      <c r="G384" s="15">
        <f t="shared" si="30"/>
        <v>0</v>
      </c>
      <c r="H384" s="14"/>
      <c r="I384" s="15">
        <f t="shared" si="32"/>
        <v>278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144.08799999999999</v>
      </c>
      <c r="F385" s="14"/>
      <c r="G385" s="15">
        <f t="shared" si="30"/>
        <v>0</v>
      </c>
      <c r="H385" s="14"/>
      <c r="I385" s="15">
        <f t="shared" si="32"/>
        <v>278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144.08799999999999</v>
      </c>
      <c r="F386" s="14"/>
      <c r="G386" s="15">
        <f t="shared" si="30"/>
        <v>0</v>
      </c>
      <c r="H386" s="14"/>
      <c r="I386" s="15">
        <f t="shared" si="32"/>
        <v>278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144.08799999999999</v>
      </c>
      <c r="F387" s="14"/>
      <c r="G387" s="15">
        <f t="shared" si="30"/>
        <v>0</v>
      </c>
      <c r="H387" s="14"/>
      <c r="I387" s="15">
        <f t="shared" si="32"/>
        <v>278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144.08799999999999</v>
      </c>
      <c r="F388" s="14"/>
      <c r="G388" s="15">
        <f t="shared" si="30"/>
        <v>0</v>
      </c>
      <c r="H388" s="14"/>
      <c r="I388" s="15">
        <f t="shared" si="32"/>
        <v>278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144.08799999999999</v>
      </c>
      <c r="F389" s="14"/>
      <c r="G389" s="15">
        <f t="shared" si="30"/>
        <v>0</v>
      </c>
      <c r="H389" s="14"/>
      <c r="I389" s="15">
        <f t="shared" si="32"/>
        <v>278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144.08799999999999</v>
      </c>
      <c r="F390" s="14"/>
      <c r="G390" s="15">
        <f t="shared" si="30"/>
        <v>0</v>
      </c>
      <c r="H390" s="14"/>
      <c r="I390" s="15">
        <f t="shared" si="32"/>
        <v>278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144.08799999999999</v>
      </c>
      <c r="F391" s="14"/>
      <c r="G391" s="15">
        <f t="shared" si="30"/>
        <v>0</v>
      </c>
      <c r="H391" s="14"/>
      <c r="I391" s="15">
        <f t="shared" si="32"/>
        <v>278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144.08799999999999</v>
      </c>
      <c r="F392" s="14"/>
      <c r="G392" s="15">
        <f t="shared" si="30"/>
        <v>0</v>
      </c>
      <c r="H392" s="14"/>
      <c r="I392" s="15">
        <f t="shared" si="32"/>
        <v>278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144.08799999999999</v>
      </c>
      <c r="F393" s="14"/>
      <c r="G393" s="15">
        <f t="shared" si="30"/>
        <v>0</v>
      </c>
      <c r="H393" s="14"/>
      <c r="I393" s="15">
        <f t="shared" si="32"/>
        <v>278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144.08799999999999</v>
      </c>
      <c r="F394" s="14"/>
      <c r="G394" s="15">
        <f t="shared" si="30"/>
        <v>0</v>
      </c>
      <c r="H394" s="14"/>
      <c r="I394" s="15">
        <f t="shared" si="32"/>
        <v>278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144.08799999999999</v>
      </c>
      <c r="F395" s="14"/>
      <c r="G395" s="15">
        <f t="shared" si="30"/>
        <v>0</v>
      </c>
      <c r="H395" s="14"/>
      <c r="I395" s="15">
        <f t="shared" si="32"/>
        <v>278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144.08799999999999</v>
      </c>
      <c r="F396" s="14"/>
      <c r="G396" s="15">
        <f t="shared" si="30"/>
        <v>0</v>
      </c>
      <c r="H396" s="14"/>
      <c r="I396" s="15">
        <f t="shared" si="32"/>
        <v>278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144.08799999999999</v>
      </c>
      <c r="F397" s="14"/>
      <c r="G397" s="15">
        <f t="shared" si="30"/>
        <v>0</v>
      </c>
      <c r="H397" s="14"/>
      <c r="I397" s="15">
        <f t="shared" si="32"/>
        <v>278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144.08799999999999</v>
      </c>
      <c r="F398" s="14"/>
      <c r="G398" s="15">
        <f t="shared" si="30"/>
        <v>0</v>
      </c>
      <c r="H398" s="14"/>
      <c r="I398" s="15">
        <f t="shared" si="32"/>
        <v>278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144.08799999999999</v>
      </c>
      <c r="F399" s="14"/>
      <c r="G399" s="15">
        <f t="shared" si="30"/>
        <v>0</v>
      </c>
      <c r="H399" s="14"/>
      <c r="I399" s="15">
        <f t="shared" si="32"/>
        <v>278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144.08799999999999</v>
      </c>
      <c r="F400" s="14"/>
      <c r="G400" s="15">
        <f t="shared" si="30"/>
        <v>0</v>
      </c>
      <c r="H400" s="14"/>
      <c r="I400" s="15">
        <f t="shared" si="32"/>
        <v>278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144.08799999999999</v>
      </c>
      <c r="F401" s="14"/>
      <c r="G401" s="15">
        <f t="shared" si="30"/>
        <v>0</v>
      </c>
      <c r="H401" s="14"/>
      <c r="I401" s="15">
        <f t="shared" si="32"/>
        <v>278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144.08799999999999</v>
      </c>
      <c r="F402" s="14"/>
      <c r="G402" s="15">
        <f t="shared" si="30"/>
        <v>0</v>
      </c>
      <c r="H402" s="14"/>
      <c r="I402" s="15">
        <f t="shared" si="32"/>
        <v>278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144.08799999999999</v>
      </c>
      <c r="F403" s="14"/>
      <c r="G403" s="15">
        <f t="shared" si="30"/>
        <v>0</v>
      </c>
      <c r="H403" s="14"/>
      <c r="I403" s="15">
        <f t="shared" si="32"/>
        <v>278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GOZAR, SOFIA A.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MAY 01, 2000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144.08799999999999</v>
      </c>
      <c r="F413" s="14"/>
      <c r="G413" s="15">
        <f>C413</f>
        <v>0</v>
      </c>
      <c r="H413" s="14"/>
      <c r="I413" s="15">
        <f>I403+G413-H413</f>
        <v>278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144.08799999999999</v>
      </c>
      <c r="F414" s="14"/>
      <c r="G414" s="15">
        <f t="shared" ref="G414:G438" si="33">C414</f>
        <v>0</v>
      </c>
      <c r="H414" s="14"/>
      <c r="I414" s="15">
        <f>I413+G414-H414</f>
        <v>278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144.08799999999999</v>
      </c>
      <c r="F415" s="14"/>
      <c r="G415" s="15">
        <f t="shared" si="33"/>
        <v>0</v>
      </c>
      <c r="H415" s="14"/>
      <c r="I415" s="15">
        <f t="shared" ref="I415:I438" si="35">I414+G415-H415</f>
        <v>278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144.08799999999999</v>
      </c>
      <c r="F416" s="14"/>
      <c r="G416" s="15">
        <f t="shared" si="33"/>
        <v>0</v>
      </c>
      <c r="H416" s="14"/>
      <c r="I416" s="15">
        <f t="shared" si="35"/>
        <v>278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144.08799999999999</v>
      </c>
      <c r="F417" s="14"/>
      <c r="G417" s="15">
        <f t="shared" si="33"/>
        <v>0</v>
      </c>
      <c r="H417" s="14"/>
      <c r="I417" s="15">
        <f t="shared" si="35"/>
        <v>278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144.08799999999999</v>
      </c>
      <c r="F418" s="14"/>
      <c r="G418" s="15">
        <f t="shared" si="33"/>
        <v>0</v>
      </c>
      <c r="H418" s="14"/>
      <c r="I418" s="15">
        <f t="shared" si="35"/>
        <v>278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144.08799999999999</v>
      </c>
      <c r="F419" s="14"/>
      <c r="G419" s="15">
        <f t="shared" si="33"/>
        <v>0</v>
      </c>
      <c r="H419" s="14"/>
      <c r="I419" s="15">
        <f t="shared" si="35"/>
        <v>278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144.08799999999999</v>
      </c>
      <c r="F420" s="14"/>
      <c r="G420" s="15">
        <f t="shared" si="33"/>
        <v>0</v>
      </c>
      <c r="H420" s="14"/>
      <c r="I420" s="15">
        <f t="shared" si="35"/>
        <v>278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144.08799999999999</v>
      </c>
      <c r="F421" s="14"/>
      <c r="G421" s="15">
        <f t="shared" si="33"/>
        <v>0</v>
      </c>
      <c r="H421" s="14"/>
      <c r="I421" s="15">
        <f t="shared" si="35"/>
        <v>278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144.08799999999999</v>
      </c>
      <c r="F422" s="14"/>
      <c r="G422" s="15">
        <f t="shared" si="33"/>
        <v>0</v>
      </c>
      <c r="H422" s="14"/>
      <c r="I422" s="15">
        <f t="shared" si="35"/>
        <v>278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144.08799999999999</v>
      </c>
      <c r="F423" s="14"/>
      <c r="G423" s="15">
        <f t="shared" si="33"/>
        <v>0</v>
      </c>
      <c r="H423" s="14"/>
      <c r="I423" s="15">
        <f t="shared" si="35"/>
        <v>278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144.08799999999999</v>
      </c>
      <c r="F424" s="14"/>
      <c r="G424" s="15">
        <f t="shared" si="33"/>
        <v>0</v>
      </c>
      <c r="H424" s="14"/>
      <c r="I424" s="15">
        <f t="shared" si="35"/>
        <v>278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144.08799999999999</v>
      </c>
      <c r="F425" s="14"/>
      <c r="G425" s="15">
        <f t="shared" si="33"/>
        <v>0</v>
      </c>
      <c r="H425" s="14"/>
      <c r="I425" s="15">
        <f t="shared" si="35"/>
        <v>278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144.08799999999999</v>
      </c>
      <c r="F426" s="14"/>
      <c r="G426" s="15">
        <f t="shared" si="33"/>
        <v>0</v>
      </c>
      <c r="H426" s="14"/>
      <c r="I426" s="15">
        <f t="shared" si="35"/>
        <v>278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144.08799999999999</v>
      </c>
      <c r="F427" s="14"/>
      <c r="G427" s="15">
        <f t="shared" si="33"/>
        <v>0</v>
      </c>
      <c r="H427" s="14"/>
      <c r="I427" s="15">
        <f t="shared" si="35"/>
        <v>278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144.08799999999999</v>
      </c>
      <c r="F428" s="14"/>
      <c r="G428" s="15">
        <f t="shared" si="33"/>
        <v>0</v>
      </c>
      <c r="H428" s="14"/>
      <c r="I428" s="15">
        <f t="shared" si="35"/>
        <v>278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144.08799999999999</v>
      </c>
      <c r="F429" s="14"/>
      <c r="G429" s="15">
        <f t="shared" si="33"/>
        <v>0</v>
      </c>
      <c r="H429" s="14"/>
      <c r="I429" s="15">
        <f t="shared" si="35"/>
        <v>278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144.08799999999999</v>
      </c>
      <c r="F430" s="14"/>
      <c r="G430" s="15">
        <f t="shared" si="33"/>
        <v>0</v>
      </c>
      <c r="H430" s="14"/>
      <c r="I430" s="15">
        <f t="shared" si="35"/>
        <v>278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144.08799999999999</v>
      </c>
      <c r="F431" s="14"/>
      <c r="G431" s="15">
        <f t="shared" si="33"/>
        <v>0</v>
      </c>
      <c r="H431" s="14"/>
      <c r="I431" s="15">
        <f t="shared" si="35"/>
        <v>278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144.08799999999999</v>
      </c>
      <c r="F432" s="14"/>
      <c r="G432" s="15">
        <f t="shared" si="33"/>
        <v>0</v>
      </c>
      <c r="H432" s="14"/>
      <c r="I432" s="15">
        <f t="shared" si="35"/>
        <v>278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144.08799999999999</v>
      </c>
      <c r="F433" s="14"/>
      <c r="G433" s="15">
        <f t="shared" si="33"/>
        <v>0</v>
      </c>
      <c r="H433" s="14"/>
      <c r="I433" s="15">
        <f t="shared" si="35"/>
        <v>278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144.08799999999999</v>
      </c>
      <c r="F434" s="14"/>
      <c r="G434" s="15">
        <f t="shared" si="33"/>
        <v>0</v>
      </c>
      <c r="H434" s="14"/>
      <c r="I434" s="15">
        <f t="shared" si="35"/>
        <v>278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144.08799999999999</v>
      </c>
      <c r="F435" s="14"/>
      <c r="G435" s="15">
        <f t="shared" si="33"/>
        <v>0</v>
      </c>
      <c r="H435" s="14"/>
      <c r="I435" s="15">
        <f t="shared" si="35"/>
        <v>278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144.08799999999999</v>
      </c>
      <c r="F436" s="14"/>
      <c r="G436" s="15">
        <f t="shared" si="33"/>
        <v>0</v>
      </c>
      <c r="H436" s="14"/>
      <c r="I436" s="15">
        <f t="shared" si="35"/>
        <v>278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144.08799999999999</v>
      </c>
      <c r="F437" s="14"/>
      <c r="G437" s="15">
        <f t="shared" si="33"/>
        <v>0</v>
      </c>
      <c r="H437" s="14"/>
      <c r="I437" s="15">
        <f t="shared" si="35"/>
        <v>278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144.08799999999999</v>
      </c>
      <c r="F438" s="14"/>
      <c r="G438" s="15">
        <f t="shared" si="33"/>
        <v>0</v>
      </c>
      <c r="H438" s="14"/>
      <c r="I438" s="15">
        <f t="shared" si="35"/>
        <v>278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GOZAR, SOFIA A.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MAY 01, 2000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144.08799999999999</v>
      </c>
      <c r="F452" s="14"/>
      <c r="G452" s="15">
        <f>C452</f>
        <v>0</v>
      </c>
      <c r="H452" s="14"/>
      <c r="I452" s="15">
        <f>I438+G452-H452</f>
        <v>278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144.08799999999999</v>
      </c>
      <c r="F453" s="14"/>
      <c r="G453" s="15">
        <f t="shared" ref="G453:G477" si="36">C453</f>
        <v>0</v>
      </c>
      <c r="H453" s="14"/>
      <c r="I453" s="15">
        <f>I452+G453-H453</f>
        <v>278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144.08799999999999</v>
      </c>
      <c r="F454" s="14"/>
      <c r="G454" s="15">
        <f t="shared" si="36"/>
        <v>0</v>
      </c>
      <c r="H454" s="14"/>
      <c r="I454" s="15">
        <f t="shared" ref="I454:I477" si="38">I453+G454-H454</f>
        <v>278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144.08799999999999</v>
      </c>
      <c r="F455" s="14"/>
      <c r="G455" s="15">
        <f t="shared" si="36"/>
        <v>0</v>
      </c>
      <c r="H455" s="14"/>
      <c r="I455" s="15">
        <f t="shared" si="38"/>
        <v>278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144.08799999999999</v>
      </c>
      <c r="F456" s="14"/>
      <c r="G456" s="15">
        <f t="shared" si="36"/>
        <v>0</v>
      </c>
      <c r="H456" s="14"/>
      <c r="I456" s="15">
        <f t="shared" si="38"/>
        <v>278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144.08799999999999</v>
      </c>
      <c r="F457" s="14"/>
      <c r="G457" s="15">
        <f t="shared" si="36"/>
        <v>0</v>
      </c>
      <c r="H457" s="14"/>
      <c r="I457" s="15">
        <f t="shared" si="38"/>
        <v>278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144.08799999999999</v>
      </c>
      <c r="F458" s="14"/>
      <c r="G458" s="15">
        <f t="shared" si="36"/>
        <v>0</v>
      </c>
      <c r="H458" s="14"/>
      <c r="I458" s="15">
        <f t="shared" si="38"/>
        <v>278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144.08799999999999</v>
      </c>
      <c r="F459" s="14"/>
      <c r="G459" s="15">
        <f t="shared" si="36"/>
        <v>0</v>
      </c>
      <c r="H459" s="14"/>
      <c r="I459" s="15">
        <f t="shared" si="38"/>
        <v>278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144.08799999999999</v>
      </c>
      <c r="F460" s="14"/>
      <c r="G460" s="15">
        <f t="shared" si="36"/>
        <v>0</v>
      </c>
      <c r="H460" s="14"/>
      <c r="I460" s="15">
        <f t="shared" si="38"/>
        <v>278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144.08799999999999</v>
      </c>
      <c r="F461" s="14"/>
      <c r="G461" s="15">
        <f t="shared" si="36"/>
        <v>0</v>
      </c>
      <c r="H461" s="14"/>
      <c r="I461" s="15">
        <f t="shared" si="38"/>
        <v>278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144.08799999999999</v>
      </c>
      <c r="F462" s="14"/>
      <c r="G462" s="15">
        <f t="shared" si="36"/>
        <v>0</v>
      </c>
      <c r="H462" s="14"/>
      <c r="I462" s="15">
        <f t="shared" si="38"/>
        <v>278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144.08799999999999</v>
      </c>
      <c r="F463" s="14"/>
      <c r="G463" s="15">
        <f t="shared" si="36"/>
        <v>0</v>
      </c>
      <c r="H463" s="14"/>
      <c r="I463" s="15">
        <f t="shared" si="38"/>
        <v>278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144.08799999999999</v>
      </c>
      <c r="F464" s="14"/>
      <c r="G464" s="15">
        <f t="shared" si="36"/>
        <v>0</v>
      </c>
      <c r="H464" s="14"/>
      <c r="I464" s="15">
        <f t="shared" si="38"/>
        <v>278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144.08799999999999</v>
      </c>
      <c r="F465" s="14"/>
      <c r="G465" s="15">
        <f t="shared" si="36"/>
        <v>0</v>
      </c>
      <c r="H465" s="14"/>
      <c r="I465" s="15">
        <f t="shared" si="38"/>
        <v>278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144.08799999999999</v>
      </c>
      <c r="F466" s="14"/>
      <c r="G466" s="15">
        <f t="shared" si="36"/>
        <v>0</v>
      </c>
      <c r="H466" s="14"/>
      <c r="I466" s="15">
        <f t="shared" si="38"/>
        <v>278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144.08799999999999</v>
      </c>
      <c r="F467" s="14"/>
      <c r="G467" s="15">
        <f t="shared" si="36"/>
        <v>0</v>
      </c>
      <c r="H467" s="14"/>
      <c r="I467" s="15">
        <f t="shared" si="38"/>
        <v>278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144.08799999999999</v>
      </c>
      <c r="F468" s="14"/>
      <c r="G468" s="15">
        <f t="shared" si="36"/>
        <v>0</v>
      </c>
      <c r="H468" s="14"/>
      <c r="I468" s="15">
        <f t="shared" si="38"/>
        <v>278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144.08799999999999</v>
      </c>
      <c r="F469" s="14"/>
      <c r="G469" s="15">
        <f t="shared" si="36"/>
        <v>0</v>
      </c>
      <c r="H469" s="14"/>
      <c r="I469" s="15">
        <f t="shared" si="38"/>
        <v>278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144.08799999999999</v>
      </c>
      <c r="F470" s="14"/>
      <c r="G470" s="15">
        <f t="shared" si="36"/>
        <v>0</v>
      </c>
      <c r="H470" s="14"/>
      <c r="I470" s="15">
        <f t="shared" si="38"/>
        <v>278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144.08799999999999</v>
      </c>
      <c r="F471" s="14"/>
      <c r="G471" s="15">
        <f t="shared" si="36"/>
        <v>0</v>
      </c>
      <c r="H471" s="14"/>
      <c r="I471" s="15">
        <f t="shared" si="38"/>
        <v>278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144.08799999999999</v>
      </c>
      <c r="F472" s="14"/>
      <c r="G472" s="15">
        <f t="shared" si="36"/>
        <v>0</v>
      </c>
      <c r="H472" s="14"/>
      <c r="I472" s="15">
        <f t="shared" si="38"/>
        <v>278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144.08799999999999</v>
      </c>
      <c r="F473" s="14"/>
      <c r="G473" s="15">
        <f t="shared" si="36"/>
        <v>0</v>
      </c>
      <c r="H473" s="14"/>
      <c r="I473" s="15">
        <f t="shared" si="38"/>
        <v>278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144.08799999999999</v>
      </c>
      <c r="F474" s="14"/>
      <c r="G474" s="15">
        <f t="shared" si="36"/>
        <v>0</v>
      </c>
      <c r="H474" s="14"/>
      <c r="I474" s="15">
        <f t="shared" si="38"/>
        <v>278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144.08799999999999</v>
      </c>
      <c r="F475" s="14"/>
      <c r="G475" s="15">
        <f t="shared" si="36"/>
        <v>0</v>
      </c>
      <c r="H475" s="14"/>
      <c r="I475" s="15">
        <f t="shared" si="38"/>
        <v>278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144.08799999999999</v>
      </c>
      <c r="F476" s="14"/>
      <c r="G476" s="15">
        <f t="shared" si="36"/>
        <v>0</v>
      </c>
      <c r="H476" s="14"/>
      <c r="I476" s="15">
        <f t="shared" si="38"/>
        <v>278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144.08799999999999</v>
      </c>
      <c r="F477" s="14"/>
      <c r="G477" s="15">
        <f t="shared" si="36"/>
        <v>0</v>
      </c>
      <c r="H477" s="14"/>
      <c r="I477" s="15">
        <f t="shared" si="38"/>
        <v>278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GOZAR, SOFIA A.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MAY 01, 2000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144.08799999999999</v>
      </c>
      <c r="F487" s="14"/>
      <c r="G487" s="15"/>
      <c r="H487" s="14"/>
      <c r="I487" s="15">
        <f>I477+G487-H487</f>
        <v>278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144.08799999999999</v>
      </c>
      <c r="F488" s="14"/>
      <c r="G488" s="15"/>
      <c r="H488" s="14"/>
      <c r="I488" s="15">
        <f>I487+G488-H488</f>
        <v>278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144.08799999999999</v>
      </c>
      <c r="F489" s="14"/>
      <c r="G489" s="15"/>
      <c r="H489" s="14"/>
      <c r="I489" s="15">
        <f t="shared" ref="I489:I512" si="40">I488+G489-H489</f>
        <v>278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144.08799999999999</v>
      </c>
      <c r="F490" s="14"/>
      <c r="G490" s="15"/>
      <c r="H490" s="14"/>
      <c r="I490" s="15">
        <f t="shared" si="40"/>
        <v>278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144.08799999999999</v>
      </c>
      <c r="F491" s="14"/>
      <c r="G491" s="15"/>
      <c r="H491" s="14"/>
      <c r="I491" s="15">
        <f t="shared" si="40"/>
        <v>278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144.08799999999999</v>
      </c>
      <c r="F492" s="14"/>
      <c r="G492" s="15"/>
      <c r="H492" s="14"/>
      <c r="I492" s="15">
        <f t="shared" si="40"/>
        <v>278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144.08799999999999</v>
      </c>
      <c r="F493" s="14"/>
      <c r="G493" s="15"/>
      <c r="H493" s="14"/>
      <c r="I493" s="15">
        <f t="shared" si="40"/>
        <v>278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144.08799999999999</v>
      </c>
      <c r="F494" s="14"/>
      <c r="G494" s="15"/>
      <c r="H494" s="14"/>
      <c r="I494" s="15">
        <f t="shared" si="40"/>
        <v>278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144.08799999999999</v>
      </c>
      <c r="F495" s="14"/>
      <c r="G495" s="15"/>
      <c r="H495" s="14"/>
      <c r="I495" s="15">
        <f t="shared" si="40"/>
        <v>278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144.08799999999999</v>
      </c>
      <c r="F496" s="14"/>
      <c r="G496" s="15"/>
      <c r="H496" s="14"/>
      <c r="I496" s="15">
        <f t="shared" si="40"/>
        <v>278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144.08799999999999</v>
      </c>
      <c r="F497" s="14"/>
      <c r="G497" s="15"/>
      <c r="H497" s="14"/>
      <c r="I497" s="15">
        <f t="shared" si="40"/>
        <v>278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144.08799999999999</v>
      </c>
      <c r="F498" s="14"/>
      <c r="G498" s="15"/>
      <c r="H498" s="14"/>
      <c r="I498" s="15">
        <f t="shared" si="40"/>
        <v>278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144.08799999999999</v>
      </c>
      <c r="F499" s="14"/>
      <c r="G499" s="15"/>
      <c r="H499" s="14"/>
      <c r="I499" s="15">
        <f t="shared" si="40"/>
        <v>278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144.08799999999999</v>
      </c>
      <c r="F500" s="14"/>
      <c r="G500" s="15"/>
      <c r="H500" s="14"/>
      <c r="I500" s="15">
        <f t="shared" si="40"/>
        <v>278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144.08799999999999</v>
      </c>
      <c r="F501" s="14"/>
      <c r="G501" s="15"/>
      <c r="H501" s="14"/>
      <c r="I501" s="15">
        <f t="shared" si="40"/>
        <v>278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144.08799999999999</v>
      </c>
      <c r="F502" s="14"/>
      <c r="G502" s="15"/>
      <c r="H502" s="14"/>
      <c r="I502" s="15">
        <f t="shared" si="40"/>
        <v>278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144.08799999999999</v>
      </c>
      <c r="F503" s="14"/>
      <c r="G503" s="15"/>
      <c r="H503" s="14"/>
      <c r="I503" s="15">
        <f t="shared" si="40"/>
        <v>278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144.08799999999999</v>
      </c>
      <c r="F504" s="14"/>
      <c r="G504" s="15"/>
      <c r="H504" s="14"/>
      <c r="I504" s="15">
        <f t="shared" si="40"/>
        <v>278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144.08799999999999</v>
      </c>
      <c r="F505" s="14"/>
      <c r="G505" s="15"/>
      <c r="H505" s="14"/>
      <c r="I505" s="15">
        <f t="shared" si="40"/>
        <v>278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144.08799999999999</v>
      </c>
      <c r="F506" s="14"/>
      <c r="G506" s="15"/>
      <c r="H506" s="14"/>
      <c r="I506" s="15">
        <f t="shared" si="40"/>
        <v>278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144.08799999999999</v>
      </c>
      <c r="F507" s="14"/>
      <c r="G507" s="15"/>
      <c r="H507" s="14"/>
      <c r="I507" s="15">
        <f t="shared" si="40"/>
        <v>278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144.08799999999999</v>
      </c>
      <c r="F508" s="14"/>
      <c r="G508" s="15"/>
      <c r="H508" s="14"/>
      <c r="I508" s="15">
        <f t="shared" si="40"/>
        <v>278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144.08799999999999</v>
      </c>
      <c r="F509" s="14"/>
      <c r="G509" s="15"/>
      <c r="H509" s="14"/>
      <c r="I509" s="15">
        <f t="shared" si="40"/>
        <v>278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144.08799999999999</v>
      </c>
      <c r="F510" s="14"/>
      <c r="G510" s="15"/>
      <c r="H510" s="14"/>
      <c r="I510" s="15">
        <f t="shared" si="40"/>
        <v>278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144.08799999999999</v>
      </c>
      <c r="F511" s="14"/>
      <c r="G511" s="15"/>
      <c r="H511" s="14"/>
      <c r="I511" s="15">
        <f t="shared" si="40"/>
        <v>278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144.08799999999999</v>
      </c>
      <c r="F512" s="14"/>
      <c r="G512" s="15"/>
      <c r="H512" s="14"/>
      <c r="I512" s="15">
        <f t="shared" si="40"/>
        <v>278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GOZAR, SOFIA A.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MAY 01, 2000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144.08799999999999</v>
      </c>
      <c r="F526" s="14"/>
      <c r="G526" s="15"/>
      <c r="H526" s="14"/>
      <c r="I526" s="15">
        <f>I512+G526-H526</f>
        <v>278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144.08799999999999</v>
      </c>
      <c r="F527" s="14"/>
      <c r="G527" s="15"/>
      <c r="H527" s="14"/>
      <c r="I527" s="15">
        <f>I526+G527-H527</f>
        <v>278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144.08799999999999</v>
      </c>
      <c r="F528" s="14"/>
      <c r="G528" s="15"/>
      <c r="H528" s="14"/>
      <c r="I528" s="15">
        <f t="shared" ref="I528:I551" si="42">I527+G528-H528</f>
        <v>278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144.08799999999999</v>
      </c>
      <c r="F529" s="14"/>
      <c r="G529" s="15"/>
      <c r="H529" s="14"/>
      <c r="I529" s="15">
        <f t="shared" si="42"/>
        <v>278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144.08799999999999</v>
      </c>
      <c r="F530" s="14"/>
      <c r="G530" s="15"/>
      <c r="H530" s="14"/>
      <c r="I530" s="15">
        <f t="shared" si="42"/>
        <v>278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144.08799999999999</v>
      </c>
      <c r="F531" s="14"/>
      <c r="G531" s="15"/>
      <c r="H531" s="14"/>
      <c r="I531" s="15">
        <f t="shared" si="42"/>
        <v>278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144.08799999999999</v>
      </c>
      <c r="F532" s="14"/>
      <c r="G532" s="15"/>
      <c r="H532" s="14"/>
      <c r="I532" s="15">
        <f t="shared" si="42"/>
        <v>278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144.08799999999999</v>
      </c>
      <c r="F533" s="14"/>
      <c r="G533" s="15"/>
      <c r="H533" s="14"/>
      <c r="I533" s="15">
        <f t="shared" si="42"/>
        <v>278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144.08799999999999</v>
      </c>
      <c r="F534" s="14"/>
      <c r="G534" s="15"/>
      <c r="H534" s="14"/>
      <c r="I534" s="15">
        <f t="shared" si="42"/>
        <v>278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144.08799999999999</v>
      </c>
      <c r="F535" s="14"/>
      <c r="G535" s="15"/>
      <c r="H535" s="14"/>
      <c r="I535" s="15">
        <f t="shared" si="42"/>
        <v>278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144.08799999999999</v>
      </c>
      <c r="F536" s="14"/>
      <c r="G536" s="15"/>
      <c r="H536" s="14"/>
      <c r="I536" s="15">
        <f t="shared" si="42"/>
        <v>278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144.08799999999999</v>
      </c>
      <c r="F537" s="14"/>
      <c r="G537" s="15"/>
      <c r="H537" s="14"/>
      <c r="I537" s="15">
        <f t="shared" si="42"/>
        <v>278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144.08799999999999</v>
      </c>
      <c r="F538" s="14"/>
      <c r="G538" s="15"/>
      <c r="H538" s="14"/>
      <c r="I538" s="15">
        <f t="shared" si="42"/>
        <v>278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144.08799999999999</v>
      </c>
      <c r="F539" s="14"/>
      <c r="G539" s="15"/>
      <c r="H539" s="14"/>
      <c r="I539" s="15">
        <f t="shared" si="42"/>
        <v>278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144.08799999999999</v>
      </c>
      <c r="F540" s="14"/>
      <c r="G540" s="15"/>
      <c r="H540" s="14"/>
      <c r="I540" s="15">
        <f t="shared" si="42"/>
        <v>278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144.08799999999999</v>
      </c>
      <c r="F541" s="14"/>
      <c r="G541" s="15"/>
      <c r="H541" s="14"/>
      <c r="I541" s="15">
        <f t="shared" si="42"/>
        <v>278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144.08799999999999</v>
      </c>
      <c r="F542" s="14"/>
      <c r="G542" s="15"/>
      <c r="H542" s="14"/>
      <c r="I542" s="15">
        <f t="shared" si="42"/>
        <v>278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144.08799999999999</v>
      </c>
      <c r="F543" s="14"/>
      <c r="G543" s="15"/>
      <c r="H543" s="14"/>
      <c r="I543" s="15">
        <f t="shared" si="42"/>
        <v>278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144.08799999999999</v>
      </c>
      <c r="F544" s="14"/>
      <c r="G544" s="15"/>
      <c r="H544" s="14"/>
      <c r="I544" s="15">
        <f t="shared" si="42"/>
        <v>278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144.08799999999999</v>
      </c>
      <c r="F545" s="14"/>
      <c r="G545" s="15"/>
      <c r="H545" s="14"/>
      <c r="I545" s="15">
        <f t="shared" si="42"/>
        <v>278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144.08799999999999</v>
      </c>
      <c r="F546" s="14"/>
      <c r="G546" s="15"/>
      <c r="H546" s="14"/>
      <c r="I546" s="15">
        <f t="shared" si="42"/>
        <v>278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144.08799999999999</v>
      </c>
      <c r="F547" s="14"/>
      <c r="G547" s="15"/>
      <c r="H547" s="14"/>
      <c r="I547" s="15">
        <f t="shared" si="42"/>
        <v>278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144.08799999999999</v>
      </c>
      <c r="F548" s="14"/>
      <c r="G548" s="15"/>
      <c r="H548" s="14"/>
      <c r="I548" s="15">
        <f t="shared" si="42"/>
        <v>278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144.08799999999999</v>
      </c>
      <c r="F549" s="14"/>
      <c r="G549" s="15"/>
      <c r="H549" s="14"/>
      <c r="I549" s="15">
        <f t="shared" si="42"/>
        <v>278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144.08799999999999</v>
      </c>
      <c r="F550" s="14"/>
      <c r="G550" s="15"/>
      <c r="H550" s="14"/>
      <c r="I550" s="15">
        <f t="shared" si="42"/>
        <v>278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144.08799999999999</v>
      </c>
      <c r="F551" s="14"/>
      <c r="G551" s="15"/>
      <c r="H551" s="14"/>
      <c r="I551" s="15">
        <f t="shared" si="42"/>
        <v>278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 t="e">
        <f>SUM(C552+C513+C478+C439+C404+C365+C330+C291+C256+C217+C182+C143+C108+C69+C34)</f>
        <v>#VALUE!</v>
      </c>
      <c r="D556" s="46">
        <f>SUM(D552+D513+D478+D439+D404+D365+D330+D291+D256+D217+D182+D143+D108+D69+D34)</f>
        <v>255.91199999999998</v>
      </c>
      <c r="E556" s="46"/>
      <c r="G556" s="26">
        <f>SUM(G552+G513+G478+G439+G404+G365+G330+G291+G256+G217+G182+G143+G108+G69+G34)</f>
        <v>400</v>
      </c>
      <c r="H556" s="46">
        <f>SUM(H552+H513+H478+H439+H404+H365+H330+H291+H256+H217+H182+H143+H108+H69+H34)</f>
        <v>122</v>
      </c>
      <c r="I556" s="46"/>
      <c r="K556" s="28">
        <v>319.875</v>
      </c>
    </row>
    <row r="557" spans="1:11" ht="12.6" customHeight="1" x14ac:dyDescent="0.2">
      <c r="K557" s="47">
        <f>G556-K556</f>
        <v>80.125</v>
      </c>
    </row>
    <row r="566" spans="2:11" ht="12.6" customHeight="1" x14ac:dyDescent="0.2">
      <c r="B566" s="3" t="s">
        <v>33</v>
      </c>
      <c r="E566" s="46"/>
      <c r="F566" s="48" t="e">
        <f>C556</f>
        <v>#VALUE!</v>
      </c>
      <c r="H566" s="48" t="e">
        <f>F566</f>
        <v>#VALUE!</v>
      </c>
    </row>
    <row r="567" spans="2:11" ht="12.6" customHeight="1" x14ac:dyDescent="0.2">
      <c r="B567" s="3" t="s">
        <v>34</v>
      </c>
      <c r="E567" s="46"/>
      <c r="F567" s="48">
        <f>D556</f>
        <v>255.91199999999998</v>
      </c>
      <c r="H567" s="48">
        <f>H556</f>
        <v>122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 t="e">
        <f>SUM(F566-F567)</f>
        <v>#VALUE!</v>
      </c>
      <c r="G570" s="50"/>
      <c r="H570" s="53" t="e">
        <f>SUM(H566-H567)</f>
        <v>#VALUE!</v>
      </c>
      <c r="I570" s="54" t="e">
        <f>SUM(H570+F570)</f>
        <v>#VALUE!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 t="e">
        <f>I570</f>
        <v>#VALUE!</v>
      </c>
      <c r="D573" s="97"/>
      <c r="E573" s="100">
        <v>4.8192699999999998E-2</v>
      </c>
      <c r="F573" s="100"/>
      <c r="H573" s="101" t="e">
        <f>B573*C573*E573</f>
        <v>#VALUE!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9"/>
  <sheetViews>
    <sheetView topLeftCell="A226" zoomScale="200" zoomScaleNormal="200" workbookViewId="0">
      <selection activeCell="C230" sqref="C230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917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918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41278</v>
      </c>
      <c r="B7" s="14" t="s">
        <v>44</v>
      </c>
      <c r="C7" s="15">
        <v>0.25</v>
      </c>
      <c r="D7" s="14"/>
      <c r="E7" s="15">
        <f>C7+D7</f>
        <v>0.25</v>
      </c>
      <c r="F7" s="14"/>
      <c r="G7" s="15">
        <f>C7</f>
        <v>0.25</v>
      </c>
      <c r="H7" s="14"/>
      <c r="I7" s="15">
        <f>G7+H7</f>
        <v>0.25</v>
      </c>
      <c r="J7" s="14"/>
      <c r="K7" s="16"/>
    </row>
    <row r="8" spans="1:11" ht="12.6" customHeight="1" x14ac:dyDescent="0.2">
      <c r="A8" s="13">
        <v>41282</v>
      </c>
      <c r="B8" s="17"/>
      <c r="C8" s="15">
        <v>5</v>
      </c>
      <c r="D8" s="18"/>
      <c r="E8" s="15">
        <f>E7+C8-D8</f>
        <v>5.25</v>
      </c>
      <c r="F8" s="14"/>
      <c r="G8" s="15">
        <f t="shared" ref="G8:G33" si="0">C8</f>
        <v>5</v>
      </c>
      <c r="H8" s="14"/>
      <c r="I8" s="15">
        <f>I7+G8-H8</f>
        <v>5.25</v>
      </c>
      <c r="J8" s="14"/>
      <c r="K8" s="16"/>
    </row>
    <row r="9" spans="1:11" ht="12.6" customHeight="1" x14ac:dyDescent="0.2">
      <c r="A9" s="13"/>
      <c r="B9" s="17" t="s">
        <v>47</v>
      </c>
      <c r="C9" s="15"/>
      <c r="D9" s="14"/>
      <c r="E9" s="15">
        <f t="shared" ref="E9:E33" si="1">E8+C9-D9</f>
        <v>5.25</v>
      </c>
      <c r="F9" s="14"/>
      <c r="G9" s="15">
        <f t="shared" si="0"/>
        <v>0</v>
      </c>
      <c r="H9" s="14">
        <v>1</v>
      </c>
      <c r="I9" s="15">
        <f t="shared" ref="I9:I34" si="2">I8+G9-H9</f>
        <v>4.25</v>
      </c>
      <c r="J9" s="14"/>
      <c r="K9" s="16" t="s">
        <v>919</v>
      </c>
    </row>
    <row r="10" spans="1:11" ht="12.6" customHeight="1" x14ac:dyDescent="0.2">
      <c r="A10" s="13">
        <v>41286</v>
      </c>
      <c r="B10" s="19"/>
      <c r="C10" s="15">
        <v>5</v>
      </c>
      <c r="D10" s="14"/>
      <c r="E10" s="15">
        <f t="shared" si="1"/>
        <v>10.25</v>
      </c>
      <c r="F10" s="14"/>
      <c r="G10" s="15">
        <f t="shared" si="0"/>
        <v>5</v>
      </c>
      <c r="H10" s="14"/>
      <c r="I10" s="15">
        <f t="shared" si="2"/>
        <v>9.25</v>
      </c>
      <c r="J10" s="14"/>
      <c r="K10" s="13"/>
    </row>
    <row r="11" spans="1:11" ht="12.6" customHeight="1" x14ac:dyDescent="0.2">
      <c r="A11" s="13"/>
      <c r="B11" s="17" t="s">
        <v>65</v>
      </c>
      <c r="C11" s="15"/>
      <c r="D11" s="14">
        <v>5</v>
      </c>
      <c r="E11" s="15">
        <f t="shared" si="1"/>
        <v>5.25</v>
      </c>
      <c r="F11" s="14"/>
      <c r="G11" s="15">
        <f t="shared" si="0"/>
        <v>0</v>
      </c>
      <c r="H11" s="14"/>
      <c r="I11" s="15">
        <f t="shared" si="2"/>
        <v>9.25</v>
      </c>
      <c r="J11" s="14"/>
      <c r="K11" s="20" t="s">
        <v>920</v>
      </c>
    </row>
    <row r="12" spans="1:11" ht="12.6" customHeight="1" x14ac:dyDescent="0.2">
      <c r="A12" s="13">
        <v>41643</v>
      </c>
      <c r="B12" s="19"/>
      <c r="C12" s="15">
        <v>5</v>
      </c>
      <c r="D12" s="14"/>
      <c r="E12" s="15">
        <f t="shared" si="1"/>
        <v>10.25</v>
      </c>
      <c r="F12" s="14"/>
      <c r="G12" s="15">
        <f t="shared" si="0"/>
        <v>5</v>
      </c>
      <c r="H12" s="14"/>
      <c r="I12" s="15">
        <f t="shared" si="2"/>
        <v>14.25</v>
      </c>
      <c r="J12" s="14"/>
      <c r="K12" s="13"/>
    </row>
    <row r="13" spans="1:11" ht="12.6" customHeight="1" x14ac:dyDescent="0.2">
      <c r="A13" s="13"/>
      <c r="B13" s="17" t="s">
        <v>248</v>
      </c>
      <c r="C13" s="15"/>
      <c r="D13" s="14"/>
      <c r="E13" s="15">
        <f t="shared" si="1"/>
        <v>10.25</v>
      </c>
      <c r="F13" s="14"/>
      <c r="G13" s="15">
        <f t="shared" si="0"/>
        <v>0</v>
      </c>
      <c r="H13" s="14">
        <v>2.5</v>
      </c>
      <c r="I13" s="15">
        <f t="shared" si="2"/>
        <v>11.75</v>
      </c>
      <c r="J13" s="14"/>
      <c r="K13" s="13" t="s">
        <v>921</v>
      </c>
    </row>
    <row r="14" spans="1:11" ht="12.6" customHeight="1" x14ac:dyDescent="0.2">
      <c r="A14" s="13">
        <v>41650</v>
      </c>
      <c r="B14" s="17"/>
      <c r="C14" s="15">
        <v>8.75</v>
      </c>
      <c r="D14" s="14"/>
      <c r="E14" s="15">
        <f t="shared" si="1"/>
        <v>19</v>
      </c>
      <c r="F14" s="14"/>
      <c r="G14" s="15">
        <f t="shared" si="0"/>
        <v>8.75</v>
      </c>
      <c r="H14" s="14"/>
      <c r="I14" s="15">
        <f t="shared" si="2"/>
        <v>20.5</v>
      </c>
      <c r="J14" s="14"/>
      <c r="K14" s="13"/>
    </row>
    <row r="15" spans="1:11" ht="12.6" customHeight="1" x14ac:dyDescent="0.2">
      <c r="A15" s="13"/>
      <c r="B15" s="17" t="s">
        <v>57</v>
      </c>
      <c r="C15" s="15"/>
      <c r="D15" s="14">
        <v>1</v>
      </c>
      <c r="E15" s="15">
        <f t="shared" si="1"/>
        <v>18</v>
      </c>
      <c r="F15" s="14"/>
      <c r="G15" s="15">
        <f t="shared" si="0"/>
        <v>0</v>
      </c>
      <c r="H15" s="14"/>
      <c r="I15" s="15">
        <f t="shared" si="2"/>
        <v>20.5</v>
      </c>
      <c r="J15" s="14"/>
      <c r="K15" s="13" t="s">
        <v>469</v>
      </c>
    </row>
    <row r="16" spans="1:11" ht="12.6" customHeight="1" x14ac:dyDescent="0.2">
      <c r="A16" s="13"/>
      <c r="B16" s="19" t="s">
        <v>45</v>
      </c>
      <c r="C16" s="15"/>
      <c r="D16" s="14"/>
      <c r="E16" s="15">
        <f t="shared" si="1"/>
        <v>18</v>
      </c>
      <c r="F16" s="14"/>
      <c r="G16" s="15">
        <f t="shared" si="0"/>
        <v>0</v>
      </c>
      <c r="H16" s="14"/>
      <c r="I16" s="15">
        <f t="shared" si="2"/>
        <v>20.5</v>
      </c>
      <c r="J16" s="14"/>
      <c r="K16" s="13" t="s">
        <v>922</v>
      </c>
    </row>
    <row r="17" spans="1:11" ht="12.6" customHeight="1" x14ac:dyDescent="0.2">
      <c r="A17" s="13">
        <v>41651</v>
      </c>
      <c r="B17" s="17"/>
      <c r="C17" s="15">
        <v>1.25</v>
      </c>
      <c r="D17" s="14"/>
      <c r="E17" s="15">
        <f t="shared" si="1"/>
        <v>19.25</v>
      </c>
      <c r="F17" s="14"/>
      <c r="G17" s="15">
        <f t="shared" si="0"/>
        <v>1.25</v>
      </c>
      <c r="H17" s="14"/>
      <c r="I17" s="15">
        <f t="shared" si="2"/>
        <v>21.75</v>
      </c>
      <c r="J17" s="14"/>
      <c r="K17" s="13"/>
    </row>
    <row r="18" spans="1:11" ht="12.6" customHeight="1" x14ac:dyDescent="0.2">
      <c r="A18" s="13"/>
      <c r="B18" s="17" t="s">
        <v>65</v>
      </c>
      <c r="C18" s="15"/>
      <c r="D18" s="14"/>
      <c r="E18" s="15">
        <f t="shared" si="1"/>
        <v>19.25</v>
      </c>
      <c r="F18" s="14"/>
      <c r="G18" s="15">
        <f t="shared" si="0"/>
        <v>0</v>
      </c>
      <c r="H18" s="14"/>
      <c r="I18" s="15">
        <f t="shared" si="2"/>
        <v>21.75</v>
      </c>
      <c r="J18" s="14"/>
      <c r="K18" s="13" t="s">
        <v>924</v>
      </c>
    </row>
    <row r="19" spans="1:11" ht="12.6" customHeight="1" x14ac:dyDescent="0.2">
      <c r="A19" s="13">
        <v>42008</v>
      </c>
      <c r="B19" s="17"/>
      <c r="C19" s="15">
        <v>5</v>
      </c>
      <c r="D19" s="14"/>
      <c r="E19" s="15">
        <f t="shared" si="1"/>
        <v>24.25</v>
      </c>
      <c r="F19" s="14"/>
      <c r="G19" s="15">
        <f t="shared" si="0"/>
        <v>5</v>
      </c>
      <c r="H19" s="14"/>
      <c r="I19" s="15">
        <f t="shared" si="2"/>
        <v>26.75</v>
      </c>
      <c r="J19" s="14"/>
      <c r="K19" s="13"/>
    </row>
    <row r="20" spans="1:11" ht="12.6" customHeight="1" x14ac:dyDescent="0.2">
      <c r="A20" s="13"/>
      <c r="B20" s="19" t="s">
        <v>166</v>
      </c>
      <c r="C20" s="15"/>
      <c r="D20" s="21"/>
      <c r="E20" s="15">
        <f t="shared" si="1"/>
        <v>24.25</v>
      </c>
      <c r="F20" s="14"/>
      <c r="G20" s="15">
        <f t="shared" si="0"/>
        <v>0</v>
      </c>
      <c r="H20" s="14"/>
      <c r="I20" s="15">
        <f t="shared" si="2"/>
        <v>26.75</v>
      </c>
      <c r="J20" s="14"/>
      <c r="K20" s="13" t="s">
        <v>925</v>
      </c>
    </row>
    <row r="21" spans="1:11" ht="12.6" customHeight="1" x14ac:dyDescent="0.2">
      <c r="A21" s="13"/>
      <c r="B21" s="19" t="s">
        <v>52</v>
      </c>
      <c r="C21" s="15"/>
      <c r="D21" s="14"/>
      <c r="E21" s="15">
        <f t="shared" si="1"/>
        <v>24.25</v>
      </c>
      <c r="F21" s="14"/>
      <c r="G21" s="15">
        <f t="shared" si="0"/>
        <v>0</v>
      </c>
      <c r="H21" s="14">
        <v>2</v>
      </c>
      <c r="I21" s="15">
        <f t="shared" si="2"/>
        <v>24.75</v>
      </c>
      <c r="J21" s="14"/>
      <c r="K21" s="13" t="s">
        <v>926</v>
      </c>
    </row>
    <row r="22" spans="1:11" ht="12.6" customHeight="1" x14ac:dyDescent="0.2">
      <c r="A22" s="13">
        <v>42012</v>
      </c>
      <c r="B22" s="17"/>
      <c r="C22" s="15">
        <v>5</v>
      </c>
      <c r="D22" s="14"/>
      <c r="E22" s="15">
        <f t="shared" si="1"/>
        <v>29.25</v>
      </c>
      <c r="F22" s="14"/>
      <c r="G22" s="15">
        <f t="shared" si="0"/>
        <v>5</v>
      </c>
      <c r="H22" s="14"/>
      <c r="I22" s="15">
        <f t="shared" si="2"/>
        <v>29.75</v>
      </c>
      <c r="J22" s="14"/>
      <c r="K22" s="13"/>
    </row>
    <row r="23" spans="1:11" ht="12.6" customHeight="1" x14ac:dyDescent="0.2">
      <c r="A23" s="13"/>
      <c r="B23" s="17" t="s">
        <v>47</v>
      </c>
      <c r="C23" s="15"/>
      <c r="D23" s="14"/>
      <c r="E23" s="15">
        <f t="shared" si="1"/>
        <v>29.25</v>
      </c>
      <c r="F23" s="14"/>
      <c r="G23" s="15">
        <f t="shared" si="0"/>
        <v>0</v>
      </c>
      <c r="H23" s="14">
        <v>1</v>
      </c>
      <c r="I23" s="15">
        <f t="shared" si="2"/>
        <v>28.75</v>
      </c>
      <c r="J23" s="14"/>
      <c r="K23" s="13">
        <v>42071</v>
      </c>
    </row>
    <row r="24" spans="1:11" ht="12.6" customHeight="1" x14ac:dyDescent="0.2">
      <c r="A24" s="13">
        <v>42013</v>
      </c>
      <c r="B24" s="19"/>
      <c r="C24" s="15">
        <v>1.25</v>
      </c>
      <c r="D24" s="14"/>
      <c r="E24" s="15">
        <f t="shared" si="1"/>
        <v>30.5</v>
      </c>
      <c r="F24" s="14"/>
      <c r="G24" s="15">
        <f t="shared" si="0"/>
        <v>1.25</v>
      </c>
      <c r="H24" s="14"/>
      <c r="I24" s="15">
        <f t="shared" si="2"/>
        <v>30</v>
      </c>
      <c r="J24" s="14"/>
      <c r="K24" s="13"/>
    </row>
    <row r="25" spans="1:11" ht="12.6" customHeight="1" x14ac:dyDescent="0.2">
      <c r="A25" s="13"/>
      <c r="B25" s="17" t="s">
        <v>271</v>
      </c>
      <c r="C25" s="15"/>
      <c r="D25" s="14"/>
      <c r="E25" s="15">
        <f t="shared" si="1"/>
        <v>30.5</v>
      </c>
      <c r="F25" s="14"/>
      <c r="G25" s="15">
        <f t="shared" si="0"/>
        <v>0</v>
      </c>
      <c r="H25" s="14">
        <v>5</v>
      </c>
      <c r="I25" s="15">
        <f t="shared" si="2"/>
        <v>25</v>
      </c>
      <c r="J25" s="14"/>
      <c r="K25" s="13" t="s">
        <v>927</v>
      </c>
    </row>
    <row r="26" spans="1:11" ht="12.6" customHeight="1" x14ac:dyDescent="0.2">
      <c r="A26" s="13">
        <v>42015</v>
      </c>
      <c r="B26" s="19"/>
      <c r="C26" s="15">
        <v>2.5</v>
      </c>
      <c r="D26" s="14"/>
      <c r="E26" s="15">
        <f t="shared" si="1"/>
        <v>33</v>
      </c>
      <c r="F26" s="14"/>
      <c r="G26" s="15">
        <f t="shared" si="0"/>
        <v>2.5</v>
      </c>
      <c r="H26" s="14"/>
      <c r="I26" s="15">
        <f t="shared" si="2"/>
        <v>27.5</v>
      </c>
      <c r="J26" s="14"/>
      <c r="K26" s="13"/>
    </row>
    <row r="27" spans="1:11" ht="12.6" customHeight="1" x14ac:dyDescent="0.2">
      <c r="A27" s="13"/>
      <c r="B27" s="17" t="s">
        <v>929</v>
      </c>
      <c r="C27" s="15"/>
      <c r="D27" s="14"/>
      <c r="E27" s="15">
        <f t="shared" si="1"/>
        <v>33</v>
      </c>
      <c r="F27" s="14"/>
      <c r="G27" s="15">
        <f t="shared" si="0"/>
        <v>0</v>
      </c>
      <c r="H27" s="14">
        <v>4.5</v>
      </c>
      <c r="I27" s="15">
        <f t="shared" si="2"/>
        <v>23</v>
      </c>
      <c r="J27" s="14"/>
      <c r="K27" s="86" t="s">
        <v>928</v>
      </c>
    </row>
    <row r="28" spans="1:11" ht="12.6" customHeight="1" x14ac:dyDescent="0.2">
      <c r="A28" s="13">
        <v>42016</v>
      </c>
      <c r="B28" s="19"/>
      <c r="C28" s="15">
        <v>1.25</v>
      </c>
      <c r="D28" s="14"/>
      <c r="E28" s="15">
        <f t="shared" si="1"/>
        <v>34.25</v>
      </c>
      <c r="F28" s="14"/>
      <c r="G28" s="15">
        <f t="shared" si="0"/>
        <v>1.25</v>
      </c>
      <c r="H28" s="14"/>
      <c r="I28" s="15">
        <f t="shared" si="2"/>
        <v>24.25</v>
      </c>
      <c r="J28" s="14"/>
      <c r="K28" s="13"/>
    </row>
    <row r="29" spans="1:11" ht="12.6" customHeight="1" x14ac:dyDescent="0.2">
      <c r="A29" s="13"/>
      <c r="B29" s="19" t="s">
        <v>52</v>
      </c>
      <c r="C29" s="15"/>
      <c r="D29" s="14"/>
      <c r="E29" s="15">
        <f t="shared" si="1"/>
        <v>34.25</v>
      </c>
      <c r="F29" s="14"/>
      <c r="G29" s="15">
        <f t="shared" si="0"/>
        <v>0</v>
      </c>
      <c r="H29" s="14">
        <v>2</v>
      </c>
      <c r="I29" s="15">
        <f t="shared" si="2"/>
        <v>22.25</v>
      </c>
      <c r="J29" s="14"/>
      <c r="K29" s="13" t="s">
        <v>930</v>
      </c>
    </row>
    <row r="30" spans="1:11" ht="12.6" customHeight="1" x14ac:dyDescent="0.2">
      <c r="A30" s="13">
        <v>42370</v>
      </c>
      <c r="B30" s="19"/>
      <c r="C30" s="15">
        <v>1.25</v>
      </c>
      <c r="D30" s="14"/>
      <c r="E30" s="15">
        <f t="shared" si="1"/>
        <v>35.5</v>
      </c>
      <c r="F30" s="14"/>
      <c r="G30" s="15">
        <f t="shared" si="0"/>
        <v>1.25</v>
      </c>
      <c r="H30" s="14"/>
      <c r="I30" s="15">
        <f t="shared" si="2"/>
        <v>23.5</v>
      </c>
      <c r="J30" s="14"/>
      <c r="K30" s="16"/>
    </row>
    <row r="31" spans="1:11" ht="12.6" customHeight="1" x14ac:dyDescent="0.2">
      <c r="A31" s="13"/>
      <c r="B31" s="19" t="s">
        <v>932</v>
      </c>
      <c r="C31" s="15"/>
      <c r="D31" s="14"/>
      <c r="E31" s="15">
        <f t="shared" si="1"/>
        <v>35.5</v>
      </c>
      <c r="F31" s="22"/>
      <c r="G31" s="15">
        <f t="shared" si="0"/>
        <v>0</v>
      </c>
      <c r="H31" s="22"/>
      <c r="I31" s="15">
        <f t="shared" si="2"/>
        <v>23.5</v>
      </c>
      <c r="J31" s="22"/>
      <c r="K31" s="23" t="s">
        <v>931</v>
      </c>
    </row>
    <row r="32" spans="1:11" ht="12.6" customHeight="1" x14ac:dyDescent="0.2">
      <c r="A32" s="13"/>
      <c r="B32" s="17" t="s">
        <v>47</v>
      </c>
      <c r="C32" s="15"/>
      <c r="D32" s="14"/>
      <c r="E32" s="15">
        <f t="shared" si="1"/>
        <v>35.5</v>
      </c>
      <c r="F32" s="22"/>
      <c r="G32" s="15">
        <f t="shared" si="0"/>
        <v>0</v>
      </c>
      <c r="H32" s="22">
        <v>1</v>
      </c>
      <c r="I32" s="15">
        <f t="shared" si="2"/>
        <v>22.5</v>
      </c>
      <c r="J32" s="22"/>
      <c r="K32" s="23" t="s">
        <v>933</v>
      </c>
    </row>
    <row r="33" spans="1:11" ht="12.6" customHeight="1" x14ac:dyDescent="0.2">
      <c r="A33" s="13"/>
      <c r="B33" s="17"/>
      <c r="C33" s="15"/>
      <c r="D33" s="14">
        <v>1.6459999999999999</v>
      </c>
      <c r="E33" s="15">
        <f t="shared" si="1"/>
        <v>33.853999999999999</v>
      </c>
      <c r="F33" s="22"/>
      <c r="G33" s="15">
        <f t="shared" si="0"/>
        <v>0</v>
      </c>
      <c r="H33" s="22"/>
      <c r="I33" s="15">
        <f t="shared" si="2"/>
        <v>22.5</v>
      </c>
      <c r="J33" s="22"/>
      <c r="K33" s="16" t="s">
        <v>488</v>
      </c>
    </row>
    <row r="34" spans="1:11" ht="12.6" customHeight="1" x14ac:dyDescent="0.2">
      <c r="A34" s="24" t="s">
        <v>15</v>
      </c>
      <c r="B34" s="24"/>
      <c r="C34" s="25">
        <f>SUM(C7:C33)</f>
        <v>41.5</v>
      </c>
      <c r="D34" s="25">
        <f>SUM(D9:D33)</f>
        <v>7.6459999999999999</v>
      </c>
      <c r="E34" s="25"/>
      <c r="F34" s="22"/>
      <c r="G34" s="25">
        <f>SUM(G7:G33)</f>
        <v>41.5</v>
      </c>
      <c r="H34" s="25">
        <f>SUM(H7:H33)</f>
        <v>19</v>
      </c>
      <c r="I34" s="15">
        <f t="shared" si="2"/>
        <v>45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MARIA LEA D. DIMAANO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MARCH 25, 2013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>
        <v>42371</v>
      </c>
      <c r="B43" s="17"/>
      <c r="C43" s="15">
        <v>1.25</v>
      </c>
      <c r="D43" s="14"/>
      <c r="E43" s="15">
        <f>E33+C43-D43</f>
        <v>35.103999999999999</v>
      </c>
      <c r="F43" s="14"/>
      <c r="G43" s="15">
        <f>C43</f>
        <v>1.25</v>
      </c>
      <c r="H43" s="14"/>
      <c r="I43" s="15">
        <f>I33+G43-H43</f>
        <v>23.75</v>
      </c>
      <c r="J43" s="14"/>
      <c r="K43" s="13"/>
    </row>
    <row r="44" spans="1:11" ht="12.6" customHeight="1" x14ac:dyDescent="0.2">
      <c r="A44" s="13"/>
      <c r="B44" s="19" t="s">
        <v>67</v>
      </c>
      <c r="C44" s="15"/>
      <c r="D44" s="14"/>
      <c r="E44" s="15">
        <f>E43+C44-D44</f>
        <v>35.103999999999999</v>
      </c>
      <c r="F44" s="14"/>
      <c r="G44" s="15">
        <f t="shared" ref="G44:G68" si="3">C44</f>
        <v>0</v>
      </c>
      <c r="H44" s="14">
        <v>3</v>
      </c>
      <c r="I44" s="15">
        <f>I43+G44-H44</f>
        <v>20.75</v>
      </c>
      <c r="J44" s="14"/>
      <c r="K44" s="13" t="s">
        <v>934</v>
      </c>
    </row>
    <row r="45" spans="1:11" ht="12.6" customHeight="1" x14ac:dyDescent="0.2">
      <c r="A45" s="13">
        <v>42463</v>
      </c>
      <c r="B45" s="19"/>
      <c r="C45" s="15">
        <v>1.25</v>
      </c>
      <c r="D45" s="14"/>
      <c r="E45" s="15">
        <f t="shared" ref="E45:E68" si="4">E44+C45-D45</f>
        <v>36.353999999999999</v>
      </c>
      <c r="F45" s="14"/>
      <c r="G45" s="15">
        <f t="shared" si="3"/>
        <v>1.25</v>
      </c>
      <c r="H45" s="14"/>
      <c r="I45" s="15">
        <f t="shared" ref="I45:I68" si="5">I44+G45-H45</f>
        <v>22</v>
      </c>
      <c r="J45" s="14"/>
      <c r="K45" s="13"/>
    </row>
    <row r="46" spans="1:11" ht="12.6" customHeight="1" x14ac:dyDescent="0.2">
      <c r="A46" s="13"/>
      <c r="B46" s="19" t="s">
        <v>45</v>
      </c>
      <c r="C46" s="15"/>
      <c r="D46" s="14"/>
      <c r="E46" s="15">
        <f t="shared" si="4"/>
        <v>36.353999999999999</v>
      </c>
      <c r="F46" s="14"/>
      <c r="G46" s="15">
        <f t="shared" si="3"/>
        <v>0</v>
      </c>
      <c r="H46" s="14"/>
      <c r="I46" s="15">
        <f t="shared" si="5"/>
        <v>22</v>
      </c>
      <c r="J46" s="14"/>
      <c r="K46" s="13" t="s">
        <v>935</v>
      </c>
    </row>
    <row r="47" spans="1:11" ht="12.6" customHeight="1" x14ac:dyDescent="0.2">
      <c r="A47" s="13">
        <v>42373</v>
      </c>
      <c r="B47" s="19"/>
      <c r="C47" s="15">
        <v>1.25</v>
      </c>
      <c r="D47" s="14"/>
      <c r="E47" s="15">
        <f t="shared" si="4"/>
        <v>37.603999999999999</v>
      </c>
      <c r="F47" s="14"/>
      <c r="G47" s="15">
        <f t="shared" si="3"/>
        <v>1.25</v>
      </c>
      <c r="H47" s="14"/>
      <c r="I47" s="15">
        <f t="shared" si="5"/>
        <v>23.25</v>
      </c>
      <c r="J47" s="14"/>
      <c r="K47" s="13"/>
    </row>
    <row r="48" spans="1:11" ht="12.6" customHeight="1" x14ac:dyDescent="0.2">
      <c r="A48" s="13"/>
      <c r="B48" s="19" t="s">
        <v>45</v>
      </c>
      <c r="C48" s="15"/>
      <c r="D48" s="14"/>
      <c r="E48" s="15">
        <f t="shared" si="4"/>
        <v>37.603999999999999</v>
      </c>
      <c r="F48" s="14"/>
      <c r="G48" s="15">
        <f t="shared" si="3"/>
        <v>0</v>
      </c>
      <c r="H48" s="14"/>
      <c r="I48" s="15">
        <f t="shared" si="5"/>
        <v>23.25</v>
      </c>
      <c r="J48" s="14"/>
      <c r="K48" s="13" t="s">
        <v>936</v>
      </c>
    </row>
    <row r="49" spans="1:11" ht="12.6" customHeight="1" x14ac:dyDescent="0.2">
      <c r="A49" s="13">
        <v>42374</v>
      </c>
      <c r="B49" s="19"/>
      <c r="C49" s="15">
        <v>1.25</v>
      </c>
      <c r="D49" s="14"/>
      <c r="E49" s="15">
        <f t="shared" si="4"/>
        <v>38.853999999999999</v>
      </c>
      <c r="F49" s="14"/>
      <c r="G49" s="15">
        <f t="shared" si="3"/>
        <v>1.25</v>
      </c>
      <c r="H49" s="14"/>
      <c r="I49" s="15">
        <f t="shared" si="5"/>
        <v>24.5</v>
      </c>
      <c r="J49" s="14"/>
      <c r="K49" s="13"/>
    </row>
    <row r="50" spans="1:11" ht="12.6" customHeight="1" x14ac:dyDescent="0.2">
      <c r="A50" s="13"/>
      <c r="B50" s="19" t="s">
        <v>52</v>
      </c>
      <c r="C50" s="15"/>
      <c r="D50" s="14"/>
      <c r="E50" s="15">
        <f t="shared" si="4"/>
        <v>38.853999999999999</v>
      </c>
      <c r="F50" s="14"/>
      <c r="G50" s="15">
        <f t="shared" si="3"/>
        <v>0</v>
      </c>
      <c r="H50" s="14">
        <v>2</v>
      </c>
      <c r="I50" s="15">
        <f t="shared" si="5"/>
        <v>22.5</v>
      </c>
      <c r="J50" s="14"/>
      <c r="K50" s="13" t="s">
        <v>937</v>
      </c>
    </row>
    <row r="51" spans="1:11" ht="12.6" customHeight="1" x14ac:dyDescent="0.2">
      <c r="A51" s="13">
        <v>42376</v>
      </c>
      <c r="B51" s="17"/>
      <c r="C51" s="15">
        <v>2.5</v>
      </c>
      <c r="D51" s="14"/>
      <c r="E51" s="15">
        <f t="shared" si="4"/>
        <v>41.353999999999999</v>
      </c>
      <c r="F51" s="14"/>
      <c r="G51" s="15">
        <f t="shared" si="3"/>
        <v>2.5</v>
      </c>
      <c r="H51" s="14"/>
      <c r="I51" s="15">
        <f t="shared" si="5"/>
        <v>25</v>
      </c>
      <c r="J51" s="14"/>
      <c r="K51" s="16"/>
    </row>
    <row r="52" spans="1:11" ht="12.6" customHeight="1" x14ac:dyDescent="0.2">
      <c r="A52" s="13"/>
      <c r="B52" s="17" t="s">
        <v>47</v>
      </c>
      <c r="C52" s="15"/>
      <c r="D52" s="14"/>
      <c r="E52" s="15">
        <f t="shared" si="4"/>
        <v>41.353999999999999</v>
      </c>
      <c r="F52" s="14"/>
      <c r="G52" s="15">
        <f t="shared" si="3"/>
        <v>0</v>
      </c>
      <c r="H52" s="14">
        <v>1</v>
      </c>
      <c r="I52" s="15">
        <f t="shared" si="5"/>
        <v>24</v>
      </c>
      <c r="J52" s="14"/>
      <c r="K52" s="13">
        <v>42376</v>
      </c>
    </row>
    <row r="53" spans="1:11" ht="12.6" customHeight="1" x14ac:dyDescent="0.2">
      <c r="A53" s="13">
        <v>42377</v>
      </c>
      <c r="B53" s="19"/>
      <c r="C53" s="15">
        <v>1.25</v>
      </c>
      <c r="D53" s="14"/>
      <c r="E53" s="15">
        <f t="shared" si="4"/>
        <v>42.603999999999999</v>
      </c>
      <c r="F53" s="14"/>
      <c r="G53" s="15">
        <f t="shared" si="3"/>
        <v>1.25</v>
      </c>
      <c r="H53" s="14"/>
      <c r="I53" s="15">
        <f t="shared" si="5"/>
        <v>25.25</v>
      </c>
      <c r="J53" s="14"/>
      <c r="K53" s="13"/>
    </row>
    <row r="54" spans="1:11" ht="12.6" customHeight="1" x14ac:dyDescent="0.2">
      <c r="A54" s="13"/>
      <c r="B54" s="17" t="s">
        <v>47</v>
      </c>
      <c r="C54" s="15"/>
      <c r="D54" s="14"/>
      <c r="E54" s="15">
        <f t="shared" si="4"/>
        <v>42.603999999999999</v>
      </c>
      <c r="F54" s="14"/>
      <c r="G54" s="15">
        <f t="shared" si="3"/>
        <v>0</v>
      </c>
      <c r="H54" s="14">
        <v>1</v>
      </c>
      <c r="I54" s="15">
        <f t="shared" si="5"/>
        <v>24.25</v>
      </c>
      <c r="J54" s="14"/>
      <c r="K54" s="13">
        <v>42498</v>
      </c>
    </row>
    <row r="55" spans="1:11" ht="12.6" customHeight="1" x14ac:dyDescent="0.2">
      <c r="A55" s="13">
        <v>42378</v>
      </c>
      <c r="B55" s="19"/>
      <c r="C55" s="15">
        <v>1.25</v>
      </c>
      <c r="D55" s="14"/>
      <c r="E55" s="15">
        <f t="shared" si="4"/>
        <v>43.853999999999999</v>
      </c>
      <c r="F55" s="14"/>
      <c r="G55" s="15">
        <f t="shared" si="3"/>
        <v>1.25</v>
      </c>
      <c r="H55" s="14"/>
      <c r="I55" s="15">
        <f t="shared" si="5"/>
        <v>25.5</v>
      </c>
      <c r="J55" s="14"/>
      <c r="K55" s="13"/>
    </row>
    <row r="56" spans="1:11" ht="12.6" customHeight="1" x14ac:dyDescent="0.2">
      <c r="A56" s="13"/>
      <c r="B56" s="19" t="s">
        <v>67</v>
      </c>
      <c r="C56" s="15"/>
      <c r="D56" s="14"/>
      <c r="E56" s="15">
        <f t="shared" si="4"/>
        <v>43.853999999999999</v>
      </c>
      <c r="F56" s="14"/>
      <c r="G56" s="15">
        <f t="shared" si="3"/>
        <v>0</v>
      </c>
      <c r="H56" s="14">
        <v>3</v>
      </c>
      <c r="I56" s="15">
        <f t="shared" si="5"/>
        <v>22.5</v>
      </c>
      <c r="J56" s="14"/>
      <c r="K56" s="16" t="s">
        <v>938</v>
      </c>
    </row>
    <row r="57" spans="1:11" ht="12.6" customHeight="1" x14ac:dyDescent="0.2">
      <c r="A57" s="13">
        <v>42379</v>
      </c>
      <c r="B57" s="19"/>
      <c r="C57" s="15">
        <v>1.25</v>
      </c>
      <c r="D57" s="14"/>
      <c r="E57" s="15">
        <f t="shared" si="4"/>
        <v>45.103999999999999</v>
      </c>
      <c r="F57" s="14"/>
      <c r="G57" s="15">
        <f t="shared" si="3"/>
        <v>1.25</v>
      </c>
      <c r="H57" s="14"/>
      <c r="I57" s="15">
        <f t="shared" si="5"/>
        <v>23.75</v>
      </c>
      <c r="J57" s="14"/>
      <c r="K57" s="13"/>
    </row>
    <row r="58" spans="1:11" ht="12.6" customHeight="1" x14ac:dyDescent="0.2">
      <c r="A58" s="13"/>
      <c r="B58" s="17" t="s">
        <v>47</v>
      </c>
      <c r="C58" s="15"/>
      <c r="D58" s="14"/>
      <c r="E58" s="15">
        <f t="shared" si="4"/>
        <v>45.103999999999999</v>
      </c>
      <c r="F58" s="14"/>
      <c r="G58" s="15">
        <f t="shared" si="3"/>
        <v>0</v>
      </c>
      <c r="H58" s="14">
        <v>1</v>
      </c>
      <c r="I58" s="15">
        <f t="shared" si="5"/>
        <v>22.75</v>
      </c>
      <c r="J58" s="14"/>
      <c r="K58" s="13" t="s">
        <v>939</v>
      </c>
    </row>
    <row r="59" spans="1:11" ht="12.6" customHeight="1" x14ac:dyDescent="0.2">
      <c r="A59" s="13">
        <v>42381</v>
      </c>
      <c r="B59" s="19"/>
      <c r="C59" s="15">
        <v>2.5</v>
      </c>
      <c r="D59" s="14"/>
      <c r="E59" s="15">
        <f t="shared" si="4"/>
        <v>47.603999999999999</v>
      </c>
      <c r="F59" s="14"/>
      <c r="G59" s="15">
        <f t="shared" si="3"/>
        <v>2.5</v>
      </c>
      <c r="H59" s="14"/>
      <c r="I59" s="15">
        <f t="shared" si="5"/>
        <v>25.25</v>
      </c>
      <c r="J59" s="14"/>
      <c r="K59" s="13"/>
    </row>
    <row r="60" spans="1:11" ht="12.6" customHeight="1" x14ac:dyDescent="0.2">
      <c r="A60" s="13"/>
      <c r="B60" s="19" t="s">
        <v>65</v>
      </c>
      <c r="C60" s="15"/>
      <c r="D60" s="14">
        <v>5</v>
      </c>
      <c r="E60" s="15">
        <f t="shared" si="4"/>
        <v>42.603999999999999</v>
      </c>
      <c r="F60" s="14"/>
      <c r="G60" s="15">
        <f t="shared" si="3"/>
        <v>0</v>
      </c>
      <c r="H60" s="14"/>
      <c r="I60" s="15">
        <f t="shared" si="5"/>
        <v>25.25</v>
      </c>
      <c r="J60" s="14"/>
      <c r="K60" s="13" t="s">
        <v>940</v>
      </c>
    </row>
    <row r="61" spans="1:11" ht="12.6" customHeight="1" x14ac:dyDescent="0.2">
      <c r="A61" s="13">
        <v>42736</v>
      </c>
      <c r="B61" s="19"/>
      <c r="C61" s="15">
        <v>1.25</v>
      </c>
      <c r="D61" s="14"/>
      <c r="E61" s="15">
        <f t="shared" si="4"/>
        <v>43.853999999999999</v>
      </c>
      <c r="F61" s="14"/>
      <c r="G61" s="15">
        <f t="shared" si="3"/>
        <v>1.25</v>
      </c>
      <c r="H61" s="14"/>
      <c r="I61" s="15">
        <f t="shared" si="5"/>
        <v>26.5</v>
      </c>
      <c r="J61" s="14"/>
      <c r="K61" s="13"/>
    </row>
    <row r="62" spans="1:11" ht="12.6" customHeight="1" x14ac:dyDescent="0.2">
      <c r="A62" s="13"/>
      <c r="B62" s="17"/>
      <c r="C62" s="15"/>
      <c r="D62" s="14">
        <v>4.9420000000000002</v>
      </c>
      <c r="E62" s="15">
        <f t="shared" si="4"/>
        <v>38.911999999999999</v>
      </c>
      <c r="F62" s="14"/>
      <c r="G62" s="15">
        <f t="shared" si="3"/>
        <v>0</v>
      </c>
      <c r="H62" s="14"/>
      <c r="I62" s="15">
        <f t="shared" si="5"/>
        <v>26.5</v>
      </c>
      <c r="J62" s="14"/>
      <c r="K62" s="16" t="s">
        <v>498</v>
      </c>
    </row>
    <row r="63" spans="1:11" ht="12.6" customHeight="1" x14ac:dyDescent="0.2">
      <c r="A63" s="13">
        <v>42738</v>
      </c>
      <c r="B63" s="19"/>
      <c r="C63" s="15">
        <v>2.5</v>
      </c>
      <c r="D63" s="14"/>
      <c r="E63" s="15">
        <f t="shared" si="4"/>
        <v>41.411999999999999</v>
      </c>
      <c r="F63" s="14"/>
      <c r="G63" s="15">
        <f t="shared" si="3"/>
        <v>2.5</v>
      </c>
      <c r="H63" s="14"/>
      <c r="I63" s="15">
        <f t="shared" si="5"/>
        <v>29</v>
      </c>
      <c r="J63" s="14"/>
      <c r="K63" s="13"/>
    </row>
    <row r="64" spans="1:11" ht="12.6" customHeight="1" x14ac:dyDescent="0.2">
      <c r="A64" s="29"/>
      <c r="B64" s="19" t="s">
        <v>52</v>
      </c>
      <c r="C64" s="15"/>
      <c r="D64" s="14"/>
      <c r="E64" s="15">
        <f t="shared" si="4"/>
        <v>41.411999999999999</v>
      </c>
      <c r="F64" s="14"/>
      <c r="G64" s="15">
        <f>C64</f>
        <v>0</v>
      </c>
      <c r="H64" s="14">
        <v>2</v>
      </c>
      <c r="I64" s="15">
        <f t="shared" si="5"/>
        <v>27</v>
      </c>
      <c r="J64" s="14"/>
      <c r="K64" s="29" t="s">
        <v>941</v>
      </c>
    </row>
    <row r="65" spans="1:11" ht="12.6" customHeight="1" x14ac:dyDescent="0.2">
      <c r="A65" s="13"/>
      <c r="B65" s="17" t="s">
        <v>47</v>
      </c>
      <c r="C65" s="15"/>
      <c r="D65" s="21"/>
      <c r="E65" s="15">
        <f t="shared" si="4"/>
        <v>41.411999999999999</v>
      </c>
      <c r="F65" s="14"/>
      <c r="G65" s="15">
        <f t="shared" si="3"/>
        <v>0</v>
      </c>
      <c r="H65" s="14">
        <v>1</v>
      </c>
      <c r="I65" s="15">
        <f t="shared" si="5"/>
        <v>26</v>
      </c>
      <c r="J65" s="14"/>
      <c r="K65" s="13">
        <v>42919</v>
      </c>
    </row>
    <row r="66" spans="1:11" ht="12.6" customHeight="1" x14ac:dyDescent="0.2">
      <c r="A66" s="13">
        <v>42740</v>
      </c>
      <c r="B66" s="19"/>
      <c r="C66" s="15">
        <v>2.5</v>
      </c>
      <c r="D66" s="14"/>
      <c r="E66" s="15">
        <f t="shared" si="4"/>
        <v>43.911999999999999</v>
      </c>
      <c r="F66" s="14"/>
      <c r="G66" s="15">
        <f t="shared" si="3"/>
        <v>2.5</v>
      </c>
      <c r="H66" s="14"/>
      <c r="I66" s="15">
        <f t="shared" si="5"/>
        <v>28.5</v>
      </c>
      <c r="J66" s="14"/>
      <c r="K66" s="13"/>
    </row>
    <row r="67" spans="1:11" ht="12.6" customHeight="1" x14ac:dyDescent="0.2">
      <c r="A67" s="30"/>
      <c r="B67" s="19" t="s">
        <v>52</v>
      </c>
      <c r="C67" s="15"/>
      <c r="D67" s="14"/>
      <c r="E67" s="15">
        <f t="shared" si="4"/>
        <v>43.911999999999999</v>
      </c>
      <c r="F67" s="14"/>
      <c r="G67" s="15">
        <f t="shared" si="3"/>
        <v>0</v>
      </c>
      <c r="H67" s="31">
        <v>2</v>
      </c>
      <c r="I67" s="15">
        <f t="shared" si="5"/>
        <v>26.5</v>
      </c>
      <c r="J67" s="31"/>
      <c r="K67" s="30" t="s">
        <v>942</v>
      </c>
    </row>
    <row r="68" spans="1:11" ht="12.6" customHeight="1" x14ac:dyDescent="0.2">
      <c r="A68" s="13">
        <v>42743</v>
      </c>
      <c r="B68" s="19"/>
      <c r="C68" s="15">
        <v>3.75</v>
      </c>
      <c r="D68" s="14"/>
      <c r="E68" s="15">
        <f t="shared" si="4"/>
        <v>47.661999999999999</v>
      </c>
      <c r="F68" s="14"/>
      <c r="G68" s="15">
        <f t="shared" si="3"/>
        <v>3.75</v>
      </c>
      <c r="H68" s="14"/>
      <c r="I68" s="15">
        <f t="shared" si="5"/>
        <v>30.25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23.75</v>
      </c>
      <c r="D69" s="15">
        <f>SUM(D43:D68)</f>
        <v>9.9420000000000002</v>
      </c>
      <c r="E69" s="15" t="s">
        <v>17</v>
      </c>
      <c r="F69" s="32"/>
      <c r="G69" s="15">
        <f>SUM(G43:G68)</f>
        <v>23.75</v>
      </c>
      <c r="H69" s="15">
        <f>SUM(H43:H68)</f>
        <v>16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MARIA LEA D. DIMAANO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MARCH 25, 2013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76</v>
      </c>
      <c r="C82" s="15"/>
      <c r="D82" s="14">
        <v>2</v>
      </c>
      <c r="E82" s="15">
        <f>E68+C82-D82</f>
        <v>45.661999999999999</v>
      </c>
      <c r="F82" s="14"/>
      <c r="G82" s="15">
        <f>C82</f>
        <v>0</v>
      </c>
      <c r="H82" s="14"/>
      <c r="I82" s="15">
        <f>I68+G82-H82</f>
        <v>30.25</v>
      </c>
      <c r="J82" s="14"/>
      <c r="K82" s="13" t="s">
        <v>943</v>
      </c>
    </row>
    <row r="83" spans="1:11" ht="12.6" customHeight="1" x14ac:dyDescent="0.2">
      <c r="A83" s="13">
        <v>42746</v>
      </c>
      <c r="B83" s="17"/>
      <c r="C83" s="15">
        <v>3.75</v>
      </c>
      <c r="D83" s="14"/>
      <c r="E83" s="15">
        <f>E82+C83-D83</f>
        <v>49.411999999999999</v>
      </c>
      <c r="F83" s="14"/>
      <c r="G83" s="15">
        <f t="shared" ref="G83:G107" si="6">C83</f>
        <v>3.75</v>
      </c>
      <c r="H83" s="14"/>
      <c r="I83" s="15">
        <f>I82+G83-H83</f>
        <v>34</v>
      </c>
      <c r="J83" s="22"/>
      <c r="K83" s="23"/>
    </row>
    <row r="84" spans="1:11" ht="12.6" customHeight="1" x14ac:dyDescent="0.2">
      <c r="A84" s="13"/>
      <c r="B84" s="19" t="s">
        <v>90</v>
      </c>
      <c r="C84" s="15"/>
      <c r="D84" s="14"/>
      <c r="E84" s="15">
        <f t="shared" ref="E84:E107" si="7">E83+C84-D84</f>
        <v>49.411999999999999</v>
      </c>
      <c r="F84" s="14"/>
      <c r="G84" s="15">
        <f t="shared" si="6"/>
        <v>0</v>
      </c>
      <c r="H84" s="14"/>
      <c r="I84" s="15">
        <f t="shared" ref="I84:I107" si="8">I83+G84-H84</f>
        <v>34</v>
      </c>
      <c r="J84" s="14"/>
      <c r="K84" s="16" t="s">
        <v>944</v>
      </c>
    </row>
    <row r="85" spans="1:11" ht="12.6" customHeight="1" x14ac:dyDescent="0.2">
      <c r="A85" s="13">
        <v>42747</v>
      </c>
      <c r="B85" s="19"/>
      <c r="C85" s="15">
        <v>1.25</v>
      </c>
      <c r="D85" s="14"/>
      <c r="E85" s="15">
        <f t="shared" si="7"/>
        <v>50.661999999999999</v>
      </c>
      <c r="F85" s="14"/>
      <c r="G85" s="15">
        <f t="shared" si="6"/>
        <v>1.25</v>
      </c>
      <c r="H85" s="14"/>
      <c r="I85" s="15">
        <f t="shared" si="8"/>
        <v>35.25</v>
      </c>
      <c r="J85" s="14"/>
      <c r="K85" s="13"/>
    </row>
    <row r="86" spans="1:11" ht="12.6" customHeight="1" x14ac:dyDescent="0.2">
      <c r="A86" s="29"/>
      <c r="B86" s="19" t="s">
        <v>87</v>
      </c>
      <c r="C86" s="15"/>
      <c r="D86" s="14">
        <v>3</v>
      </c>
      <c r="E86" s="15">
        <f t="shared" si="7"/>
        <v>47.661999999999999</v>
      </c>
      <c r="F86" s="14"/>
      <c r="G86" s="15">
        <f t="shared" si="6"/>
        <v>0</v>
      </c>
      <c r="H86" s="14"/>
      <c r="I86" s="15">
        <f t="shared" si="8"/>
        <v>35.25</v>
      </c>
      <c r="J86" s="14"/>
      <c r="K86" s="13" t="s">
        <v>945</v>
      </c>
    </row>
    <row r="87" spans="1:11" ht="12.6" customHeight="1" x14ac:dyDescent="0.2">
      <c r="A87" s="13">
        <v>43101</v>
      </c>
      <c r="B87" s="19"/>
      <c r="C87" s="15">
        <v>1.25</v>
      </c>
      <c r="D87" s="14"/>
      <c r="E87" s="15">
        <f t="shared" si="7"/>
        <v>48.911999999999999</v>
      </c>
      <c r="F87" s="14"/>
      <c r="G87" s="15">
        <f t="shared" si="6"/>
        <v>1.25</v>
      </c>
      <c r="H87" s="14"/>
      <c r="I87" s="15">
        <f t="shared" si="8"/>
        <v>36.5</v>
      </c>
      <c r="J87" s="14"/>
      <c r="K87" s="13"/>
    </row>
    <row r="88" spans="1:11" ht="12.6" customHeight="1" x14ac:dyDescent="0.2">
      <c r="A88" s="13"/>
      <c r="B88" s="17" t="s">
        <v>47</v>
      </c>
      <c r="C88" s="15"/>
      <c r="D88" s="14"/>
      <c r="E88" s="15">
        <f t="shared" si="7"/>
        <v>48.911999999999999</v>
      </c>
      <c r="F88" s="14"/>
      <c r="G88" s="15">
        <f t="shared" si="6"/>
        <v>0</v>
      </c>
      <c r="H88" s="14">
        <v>1</v>
      </c>
      <c r="I88" s="15">
        <f t="shared" si="8"/>
        <v>35.5</v>
      </c>
      <c r="J88" s="14"/>
      <c r="K88" s="13" t="s">
        <v>946</v>
      </c>
    </row>
    <row r="89" spans="1:11" ht="12.6" customHeight="1" x14ac:dyDescent="0.2">
      <c r="A89" s="13"/>
      <c r="B89" s="19"/>
      <c r="C89" s="15"/>
      <c r="D89" s="14">
        <v>2.3919999999999999</v>
      </c>
      <c r="E89" s="15">
        <f t="shared" si="7"/>
        <v>46.519999999999996</v>
      </c>
      <c r="F89" s="14"/>
      <c r="G89" s="15">
        <f t="shared" si="6"/>
        <v>0</v>
      </c>
      <c r="H89" s="14"/>
      <c r="I89" s="15">
        <f t="shared" si="8"/>
        <v>35.5</v>
      </c>
      <c r="J89" s="14"/>
      <c r="K89" s="16" t="s">
        <v>513</v>
      </c>
    </row>
    <row r="90" spans="1:11" ht="12.6" customHeight="1" x14ac:dyDescent="0.2">
      <c r="A90" s="13">
        <v>43105</v>
      </c>
      <c r="B90" s="17"/>
      <c r="C90" s="15">
        <v>5</v>
      </c>
      <c r="D90" s="14"/>
      <c r="E90" s="15">
        <f t="shared" si="7"/>
        <v>51.519999999999996</v>
      </c>
      <c r="F90" s="14"/>
      <c r="G90" s="15">
        <f t="shared" si="6"/>
        <v>5</v>
      </c>
      <c r="H90" s="14"/>
      <c r="I90" s="15">
        <f t="shared" si="8"/>
        <v>40.5</v>
      </c>
      <c r="J90" s="14"/>
      <c r="K90" s="16"/>
    </row>
    <row r="91" spans="1:11" ht="12.6" customHeight="1" x14ac:dyDescent="0.2">
      <c r="A91" s="13"/>
      <c r="B91" s="19" t="s">
        <v>76</v>
      </c>
      <c r="C91" s="15"/>
      <c r="D91" s="14">
        <v>2</v>
      </c>
      <c r="E91" s="15">
        <f t="shared" si="7"/>
        <v>49.519999999999996</v>
      </c>
      <c r="F91" s="14"/>
      <c r="G91" s="15">
        <f t="shared" si="6"/>
        <v>0</v>
      </c>
      <c r="H91" s="14"/>
      <c r="I91" s="15">
        <f t="shared" si="8"/>
        <v>40.5</v>
      </c>
      <c r="J91" s="14"/>
      <c r="K91" s="16" t="s">
        <v>947</v>
      </c>
    </row>
    <row r="92" spans="1:11" ht="12.6" customHeight="1" x14ac:dyDescent="0.2">
      <c r="A92" s="13"/>
      <c r="B92" s="19" t="s">
        <v>52</v>
      </c>
      <c r="C92" s="15"/>
      <c r="D92" s="14"/>
      <c r="E92" s="15">
        <f t="shared" si="7"/>
        <v>49.519999999999996</v>
      </c>
      <c r="F92" s="14"/>
      <c r="G92" s="15">
        <f t="shared" si="6"/>
        <v>0</v>
      </c>
      <c r="H92" s="14">
        <v>2</v>
      </c>
      <c r="I92" s="15">
        <f t="shared" si="8"/>
        <v>38.5</v>
      </c>
      <c r="J92" s="14"/>
      <c r="K92" s="13" t="s">
        <v>948</v>
      </c>
    </row>
    <row r="93" spans="1:11" ht="12.6" customHeight="1" x14ac:dyDescent="0.2">
      <c r="A93" s="13">
        <v>43108</v>
      </c>
      <c r="B93" s="17"/>
      <c r="C93" s="15">
        <v>3.75</v>
      </c>
      <c r="D93" s="14"/>
      <c r="E93" s="15">
        <f t="shared" si="7"/>
        <v>53.269999999999996</v>
      </c>
      <c r="F93" s="14"/>
      <c r="G93" s="15">
        <f t="shared" si="6"/>
        <v>3.75</v>
      </c>
      <c r="H93" s="14"/>
      <c r="I93" s="15">
        <f t="shared" si="8"/>
        <v>42.25</v>
      </c>
      <c r="J93" s="14"/>
      <c r="K93" s="13"/>
    </row>
    <row r="94" spans="1:11" ht="12.6" customHeight="1" x14ac:dyDescent="0.2">
      <c r="A94" s="13"/>
      <c r="B94" s="19" t="s">
        <v>949</v>
      </c>
      <c r="C94" s="15"/>
      <c r="D94" s="14">
        <v>5</v>
      </c>
      <c r="E94" s="15">
        <f t="shared" si="7"/>
        <v>48.269999999999996</v>
      </c>
      <c r="F94" s="14"/>
      <c r="G94" s="15">
        <f t="shared" si="6"/>
        <v>0</v>
      </c>
      <c r="H94" s="14">
        <v>5</v>
      </c>
      <c r="I94" s="15">
        <f t="shared" si="8"/>
        <v>37.25</v>
      </c>
      <c r="J94" s="14"/>
      <c r="K94" s="38" t="s">
        <v>741</v>
      </c>
    </row>
    <row r="95" spans="1:11" ht="12.6" customHeight="1" x14ac:dyDescent="0.2">
      <c r="A95" s="13">
        <v>43110</v>
      </c>
      <c r="B95" s="19"/>
      <c r="C95" s="15">
        <v>2.5</v>
      </c>
      <c r="D95" s="14"/>
      <c r="E95" s="15">
        <f t="shared" si="7"/>
        <v>50.769999999999996</v>
      </c>
      <c r="F95" s="14"/>
      <c r="G95" s="15">
        <f t="shared" si="6"/>
        <v>2.5</v>
      </c>
      <c r="H95" s="14"/>
      <c r="I95" s="15">
        <f t="shared" si="8"/>
        <v>39.75</v>
      </c>
      <c r="J95" s="14"/>
      <c r="K95" s="13"/>
    </row>
    <row r="96" spans="1:11" ht="12.6" customHeight="1" x14ac:dyDescent="0.2">
      <c r="A96" s="13"/>
      <c r="B96" s="19" t="s">
        <v>45</v>
      </c>
      <c r="C96" s="15"/>
      <c r="D96" s="14"/>
      <c r="E96" s="15">
        <f t="shared" si="7"/>
        <v>50.769999999999996</v>
      </c>
      <c r="F96" s="14"/>
      <c r="G96" s="15">
        <f t="shared" si="6"/>
        <v>0</v>
      </c>
      <c r="H96" s="14"/>
      <c r="I96" s="15">
        <f t="shared" si="8"/>
        <v>39.75</v>
      </c>
      <c r="J96" s="14"/>
      <c r="K96" s="13">
        <v>43230</v>
      </c>
    </row>
    <row r="97" spans="1:11" ht="12.6" customHeight="1" x14ac:dyDescent="0.2">
      <c r="A97" s="13"/>
      <c r="B97" s="19" t="s">
        <v>45</v>
      </c>
      <c r="C97" s="15"/>
      <c r="D97" s="14"/>
      <c r="E97" s="15">
        <f t="shared" si="7"/>
        <v>50.769999999999996</v>
      </c>
      <c r="F97" s="14"/>
      <c r="G97" s="15">
        <f t="shared" si="6"/>
        <v>0</v>
      </c>
      <c r="H97" s="14"/>
      <c r="I97" s="15">
        <f t="shared" si="8"/>
        <v>39.75</v>
      </c>
      <c r="J97" s="14"/>
      <c r="K97" s="13" t="s">
        <v>950</v>
      </c>
    </row>
    <row r="98" spans="1:11" ht="12.6" customHeight="1" x14ac:dyDescent="0.2">
      <c r="A98" s="13">
        <v>43111</v>
      </c>
      <c r="B98" s="19"/>
      <c r="C98" s="15">
        <v>1.25</v>
      </c>
      <c r="D98" s="14"/>
      <c r="E98" s="15">
        <f t="shared" si="7"/>
        <v>52.019999999999996</v>
      </c>
      <c r="F98" s="14"/>
      <c r="G98" s="15">
        <f t="shared" si="6"/>
        <v>1.25</v>
      </c>
      <c r="H98" s="14"/>
      <c r="I98" s="15">
        <f t="shared" si="8"/>
        <v>41</v>
      </c>
      <c r="J98" s="14"/>
      <c r="K98" s="16"/>
    </row>
    <row r="99" spans="1:11" ht="12.6" customHeight="1" x14ac:dyDescent="0.2">
      <c r="A99" s="13"/>
      <c r="B99" s="19" t="s">
        <v>105</v>
      </c>
      <c r="C99" s="15"/>
      <c r="D99" s="14">
        <v>4</v>
      </c>
      <c r="E99" s="15">
        <f t="shared" si="7"/>
        <v>48.019999999999996</v>
      </c>
      <c r="F99" s="14"/>
      <c r="G99" s="15">
        <f t="shared" si="6"/>
        <v>0</v>
      </c>
      <c r="H99" s="14"/>
      <c r="I99" s="15">
        <f t="shared" si="8"/>
        <v>41</v>
      </c>
      <c r="J99" s="14"/>
      <c r="K99" s="13" t="s">
        <v>951</v>
      </c>
    </row>
    <row r="100" spans="1:11" ht="12.6" customHeight="1" x14ac:dyDescent="0.2">
      <c r="A100" s="13">
        <v>43466</v>
      </c>
      <c r="B100" s="19"/>
      <c r="C100" s="15">
        <v>2.5</v>
      </c>
      <c r="D100" s="14"/>
      <c r="E100" s="15">
        <f t="shared" si="7"/>
        <v>50.519999999999996</v>
      </c>
      <c r="F100" s="14"/>
      <c r="G100" s="15">
        <f t="shared" si="6"/>
        <v>2.5</v>
      </c>
      <c r="H100" s="14"/>
      <c r="I100" s="15">
        <f t="shared" si="8"/>
        <v>43.5</v>
      </c>
      <c r="J100" s="14"/>
      <c r="K100" s="13"/>
    </row>
    <row r="101" spans="1:11" ht="12.6" customHeight="1" x14ac:dyDescent="0.2">
      <c r="A101" s="13"/>
      <c r="B101" s="19" t="s">
        <v>52</v>
      </c>
      <c r="C101" s="15"/>
      <c r="D101" s="14"/>
      <c r="E101" s="15">
        <f t="shared" si="7"/>
        <v>50.519999999999996</v>
      </c>
      <c r="F101" s="14"/>
      <c r="G101" s="15">
        <f t="shared" si="6"/>
        <v>0</v>
      </c>
      <c r="H101" s="14">
        <v>2</v>
      </c>
      <c r="I101" s="15">
        <f t="shared" si="8"/>
        <v>41.5</v>
      </c>
      <c r="J101" s="14"/>
      <c r="K101" s="13" t="s">
        <v>952</v>
      </c>
    </row>
    <row r="102" spans="1:11" ht="12.6" customHeight="1" x14ac:dyDescent="0.2">
      <c r="A102" s="13">
        <v>43467</v>
      </c>
      <c r="B102" s="19"/>
      <c r="C102" s="15">
        <v>1.25</v>
      </c>
      <c r="D102" s="14"/>
      <c r="E102" s="15">
        <f t="shared" si="7"/>
        <v>51.769999999999996</v>
      </c>
      <c r="F102" s="14"/>
      <c r="G102" s="15">
        <f t="shared" si="6"/>
        <v>1.25</v>
      </c>
      <c r="H102" s="14"/>
      <c r="I102" s="15">
        <f t="shared" si="8"/>
        <v>42.75</v>
      </c>
      <c r="J102" s="14"/>
      <c r="K102" s="13"/>
    </row>
    <row r="103" spans="1:11" ht="12.6" customHeight="1" x14ac:dyDescent="0.2">
      <c r="A103" s="13"/>
      <c r="B103" s="17" t="s">
        <v>47</v>
      </c>
      <c r="C103" s="15"/>
      <c r="D103" s="14"/>
      <c r="E103" s="15">
        <f t="shared" si="7"/>
        <v>51.769999999999996</v>
      </c>
      <c r="F103" s="14"/>
      <c r="G103" s="15">
        <f t="shared" si="6"/>
        <v>0</v>
      </c>
      <c r="H103" s="14">
        <v>1</v>
      </c>
      <c r="I103" s="15">
        <f t="shared" si="8"/>
        <v>41.75</v>
      </c>
      <c r="J103" s="14"/>
      <c r="K103" s="13">
        <v>43648</v>
      </c>
    </row>
    <row r="104" spans="1:11" ht="12.6" customHeight="1" x14ac:dyDescent="0.2">
      <c r="A104" s="13"/>
      <c r="B104" s="19" t="s">
        <v>95</v>
      </c>
      <c r="C104" s="15"/>
      <c r="D104" s="14">
        <v>3</v>
      </c>
      <c r="E104" s="15">
        <f t="shared" si="7"/>
        <v>48.769999999999996</v>
      </c>
      <c r="F104" s="14"/>
      <c r="G104" s="15">
        <f t="shared" si="6"/>
        <v>0</v>
      </c>
      <c r="H104" s="14"/>
      <c r="I104" s="15">
        <f t="shared" si="8"/>
        <v>41.75</v>
      </c>
      <c r="J104" s="14"/>
      <c r="K104" s="13" t="s">
        <v>953</v>
      </c>
    </row>
    <row r="105" spans="1:11" ht="12.6" customHeight="1" x14ac:dyDescent="0.2">
      <c r="A105" s="13"/>
      <c r="B105" s="19"/>
      <c r="C105" s="15"/>
      <c r="D105" s="14">
        <v>9.8000000000000004E-2</v>
      </c>
      <c r="E105" s="15">
        <f t="shared" si="7"/>
        <v>48.671999999999997</v>
      </c>
      <c r="F105" s="14"/>
      <c r="G105" s="15">
        <f t="shared" si="6"/>
        <v>0</v>
      </c>
      <c r="H105" s="14"/>
      <c r="I105" s="15">
        <f t="shared" si="8"/>
        <v>41.75</v>
      </c>
      <c r="J105" s="14"/>
      <c r="K105" s="13" t="s">
        <v>746</v>
      </c>
    </row>
    <row r="106" spans="1:11" ht="12.6" customHeight="1" x14ac:dyDescent="0.2">
      <c r="A106" s="13">
        <v>43475</v>
      </c>
      <c r="B106" s="19"/>
      <c r="C106" s="15">
        <v>10</v>
      </c>
      <c r="D106" s="14"/>
      <c r="E106" s="15">
        <f t="shared" si="7"/>
        <v>58.671999999999997</v>
      </c>
      <c r="F106" s="14"/>
      <c r="G106" s="15">
        <f t="shared" si="6"/>
        <v>10</v>
      </c>
      <c r="H106" s="14"/>
      <c r="I106" s="15">
        <f t="shared" si="8"/>
        <v>51.75</v>
      </c>
      <c r="J106" s="14"/>
      <c r="K106" s="13"/>
    </row>
    <row r="107" spans="1:11" ht="12.6" customHeight="1" x14ac:dyDescent="0.2">
      <c r="A107" s="13"/>
      <c r="B107" s="19" t="s">
        <v>76</v>
      </c>
      <c r="C107" s="15"/>
      <c r="D107" s="14">
        <v>2</v>
      </c>
      <c r="E107" s="15">
        <f t="shared" si="7"/>
        <v>56.671999999999997</v>
      </c>
      <c r="F107" s="14"/>
      <c r="G107" s="15">
        <f t="shared" si="6"/>
        <v>0</v>
      </c>
      <c r="H107" s="14"/>
      <c r="I107" s="15">
        <f t="shared" si="8"/>
        <v>51.75</v>
      </c>
      <c r="J107" s="14"/>
      <c r="K107" s="16" t="s">
        <v>954</v>
      </c>
    </row>
    <row r="108" spans="1:11" ht="12.6" customHeight="1" x14ac:dyDescent="0.2">
      <c r="A108" s="19"/>
      <c r="B108" s="19"/>
      <c r="C108" s="15">
        <f>SUM(C82:C107)</f>
        <v>32.5</v>
      </c>
      <c r="D108" s="15">
        <f>SUM(D82:D107)</f>
        <v>23.49</v>
      </c>
      <c r="E108" s="15"/>
      <c r="F108" s="14"/>
      <c r="G108" s="15">
        <f>SUM(G82:G107)</f>
        <v>32.5</v>
      </c>
      <c r="H108" s="15">
        <f>SUM(H82:H107)</f>
        <v>11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MARIA LEA D. DIMAANO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MARCH 25, 2013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43831</v>
      </c>
      <c r="B117" s="19"/>
      <c r="C117" s="15">
        <v>3.75</v>
      </c>
      <c r="D117" s="14"/>
      <c r="E117" s="15">
        <f>E107+C117-D117</f>
        <v>60.421999999999997</v>
      </c>
      <c r="F117" s="14"/>
      <c r="G117" s="15">
        <f>C117</f>
        <v>3.75</v>
      </c>
      <c r="H117" s="14"/>
      <c r="I117" s="15">
        <f>I107+G117-H117</f>
        <v>55.5</v>
      </c>
      <c r="J117" s="14"/>
      <c r="K117" s="13"/>
    </row>
    <row r="118" spans="1:11" ht="12.6" customHeight="1" x14ac:dyDescent="0.2">
      <c r="A118" s="13"/>
      <c r="B118" s="17"/>
      <c r="C118" s="15"/>
      <c r="D118" s="14">
        <v>2.7E-2</v>
      </c>
      <c r="E118" s="15">
        <f>E117+C118-D118</f>
        <v>60.394999999999996</v>
      </c>
      <c r="F118" s="14"/>
      <c r="G118" s="15">
        <f t="shared" ref="G118:G142" si="9">C118</f>
        <v>0</v>
      </c>
      <c r="H118" s="14"/>
      <c r="I118" s="15">
        <f>I117+G118-H118</f>
        <v>55.5</v>
      </c>
      <c r="J118" s="22"/>
      <c r="K118" s="23" t="s">
        <v>955</v>
      </c>
    </row>
    <row r="119" spans="1:11" ht="12.6" customHeight="1" x14ac:dyDescent="0.2">
      <c r="A119" s="13">
        <v>43833</v>
      </c>
      <c r="B119" s="19"/>
      <c r="C119" s="15">
        <v>2.5</v>
      </c>
      <c r="D119" s="14"/>
      <c r="E119" s="15">
        <f t="shared" ref="E119:E142" si="10">E118+C119-D119</f>
        <v>62.894999999999996</v>
      </c>
      <c r="F119" s="14"/>
      <c r="G119" s="15">
        <f t="shared" si="9"/>
        <v>2.5</v>
      </c>
      <c r="H119" s="14"/>
      <c r="I119" s="15">
        <f t="shared" ref="I119:I142" si="11">I118+G119-H119</f>
        <v>58</v>
      </c>
      <c r="J119" s="14"/>
      <c r="K119" s="16"/>
    </row>
    <row r="120" spans="1:11" ht="12.6" customHeight="1" x14ac:dyDescent="0.2">
      <c r="A120" s="13"/>
      <c r="B120" s="19" t="s">
        <v>45</v>
      </c>
      <c r="C120" s="15"/>
      <c r="D120" s="14"/>
      <c r="E120" s="15">
        <f t="shared" si="10"/>
        <v>62.894999999999996</v>
      </c>
      <c r="F120" s="14"/>
      <c r="G120" s="15">
        <f t="shared" si="9"/>
        <v>0</v>
      </c>
      <c r="H120" s="14"/>
      <c r="I120" s="15">
        <f t="shared" si="11"/>
        <v>58</v>
      </c>
      <c r="J120" s="14"/>
      <c r="K120" s="13">
        <v>43985</v>
      </c>
    </row>
    <row r="121" spans="1:11" ht="12.6" customHeight="1" x14ac:dyDescent="0.2">
      <c r="A121" s="29">
        <v>43837</v>
      </c>
      <c r="B121" s="19"/>
      <c r="C121" s="15">
        <v>5</v>
      </c>
      <c r="D121" s="14"/>
      <c r="E121" s="15">
        <f t="shared" si="10"/>
        <v>67.894999999999996</v>
      </c>
      <c r="F121" s="14"/>
      <c r="G121" s="15">
        <f t="shared" si="9"/>
        <v>5</v>
      </c>
      <c r="H121" s="14"/>
      <c r="I121" s="15">
        <f t="shared" si="11"/>
        <v>63</v>
      </c>
      <c r="J121" s="14"/>
      <c r="K121" s="13"/>
    </row>
    <row r="122" spans="1:11" ht="12.6" customHeight="1" x14ac:dyDescent="0.2">
      <c r="A122" s="13"/>
      <c r="B122" s="19" t="s">
        <v>957</v>
      </c>
      <c r="C122" s="15"/>
      <c r="D122" s="14"/>
      <c r="E122" s="15">
        <f t="shared" si="10"/>
        <v>67.894999999999996</v>
      </c>
      <c r="F122" s="14"/>
      <c r="G122" s="15">
        <f t="shared" si="9"/>
        <v>0</v>
      </c>
      <c r="H122" s="14">
        <v>35</v>
      </c>
      <c r="I122" s="15">
        <f t="shared" si="11"/>
        <v>28</v>
      </c>
      <c r="J122" s="14"/>
      <c r="K122" s="13" t="s">
        <v>956</v>
      </c>
    </row>
    <row r="123" spans="1:11" ht="12.6" customHeight="1" x14ac:dyDescent="0.2">
      <c r="A123" s="13"/>
      <c r="B123" s="17"/>
      <c r="C123" s="15"/>
      <c r="D123" s="14">
        <v>0.95</v>
      </c>
      <c r="E123" s="15">
        <f t="shared" si="10"/>
        <v>66.944999999999993</v>
      </c>
      <c r="F123" s="14"/>
      <c r="G123" s="15">
        <f t="shared" si="9"/>
        <v>0</v>
      </c>
      <c r="H123" s="14"/>
      <c r="I123" s="15">
        <f t="shared" si="11"/>
        <v>28</v>
      </c>
      <c r="J123" s="14"/>
      <c r="K123" s="13" t="s">
        <v>958</v>
      </c>
    </row>
    <row r="124" spans="1:11" ht="12.6" customHeight="1" x14ac:dyDescent="0.2">
      <c r="A124" s="13">
        <v>43842</v>
      </c>
      <c r="B124" s="19"/>
      <c r="C124" s="15">
        <v>6.25</v>
      </c>
      <c r="D124" s="14"/>
      <c r="E124" s="15">
        <f t="shared" si="10"/>
        <v>73.194999999999993</v>
      </c>
      <c r="F124" s="14"/>
      <c r="G124" s="15">
        <f t="shared" si="9"/>
        <v>6.25</v>
      </c>
      <c r="H124" s="14"/>
      <c r="I124" s="15">
        <f t="shared" si="11"/>
        <v>34.25</v>
      </c>
      <c r="J124" s="14"/>
      <c r="K124" s="16"/>
    </row>
    <row r="125" spans="1:11" ht="12.6" customHeight="1" x14ac:dyDescent="0.2">
      <c r="A125" s="13"/>
      <c r="B125" s="17" t="s">
        <v>195</v>
      </c>
      <c r="C125" s="15"/>
      <c r="D125" s="14"/>
      <c r="E125" s="15">
        <f t="shared" si="10"/>
        <v>73.194999999999993</v>
      </c>
      <c r="F125" s="14"/>
      <c r="G125" s="15">
        <f t="shared" si="9"/>
        <v>0</v>
      </c>
      <c r="H125" s="14"/>
      <c r="I125" s="15">
        <f t="shared" si="11"/>
        <v>34.25</v>
      </c>
      <c r="J125" s="14"/>
      <c r="K125" s="16" t="s">
        <v>959</v>
      </c>
    </row>
    <row r="126" spans="1:11" ht="12.6" customHeight="1" x14ac:dyDescent="0.2">
      <c r="A126" s="13">
        <v>44199</v>
      </c>
      <c r="B126" s="17"/>
      <c r="C126" s="15">
        <v>3.75</v>
      </c>
      <c r="D126" s="14"/>
      <c r="E126" s="15">
        <f t="shared" si="10"/>
        <v>76.944999999999993</v>
      </c>
      <c r="F126" s="14"/>
      <c r="G126" s="15">
        <f t="shared" si="9"/>
        <v>3.75</v>
      </c>
      <c r="H126" s="14"/>
      <c r="I126" s="15">
        <f t="shared" si="11"/>
        <v>38</v>
      </c>
      <c r="J126" s="14"/>
      <c r="K126" s="16"/>
    </row>
    <row r="127" spans="1:11" ht="12.6" customHeight="1" x14ac:dyDescent="0.2">
      <c r="A127" s="13"/>
      <c r="B127" s="19" t="s">
        <v>45</v>
      </c>
      <c r="C127" s="15"/>
      <c r="D127" s="14"/>
      <c r="E127" s="15">
        <f t="shared" si="10"/>
        <v>76.944999999999993</v>
      </c>
      <c r="F127" s="14"/>
      <c r="G127" s="15">
        <f t="shared" si="9"/>
        <v>0</v>
      </c>
      <c r="H127" s="14"/>
      <c r="I127" s="15">
        <f t="shared" si="11"/>
        <v>38</v>
      </c>
      <c r="J127" s="14"/>
      <c r="K127" s="13">
        <v>44533</v>
      </c>
    </row>
    <row r="128" spans="1:11" ht="12.6" customHeight="1" x14ac:dyDescent="0.2">
      <c r="A128" s="13">
        <v>44208</v>
      </c>
      <c r="B128" s="17"/>
      <c r="C128" s="15">
        <v>11.25</v>
      </c>
      <c r="D128" s="14"/>
      <c r="E128" s="15">
        <f t="shared" si="10"/>
        <v>88.194999999999993</v>
      </c>
      <c r="F128" s="14"/>
      <c r="G128" s="15">
        <f t="shared" si="9"/>
        <v>11.25</v>
      </c>
      <c r="H128" s="14"/>
      <c r="I128" s="15">
        <f t="shared" si="11"/>
        <v>49.25</v>
      </c>
      <c r="J128" s="14"/>
      <c r="K128" s="13"/>
    </row>
    <row r="129" spans="1:11" ht="12.6" customHeight="1" x14ac:dyDescent="0.2">
      <c r="A129" s="13"/>
      <c r="B129" s="17" t="s">
        <v>195</v>
      </c>
      <c r="C129" s="15"/>
      <c r="D129" s="14"/>
      <c r="E129" s="15">
        <f t="shared" si="10"/>
        <v>88.194999999999993</v>
      </c>
      <c r="F129" s="14"/>
      <c r="G129" s="15">
        <f t="shared" si="9"/>
        <v>0</v>
      </c>
      <c r="H129" s="14"/>
      <c r="I129" s="15">
        <f t="shared" si="11"/>
        <v>49.25</v>
      </c>
      <c r="J129" s="14"/>
      <c r="K129" s="13" t="s">
        <v>197</v>
      </c>
    </row>
    <row r="130" spans="1:11" ht="12.6" customHeight="1" x14ac:dyDescent="0.2">
      <c r="A130" s="13">
        <v>44562</v>
      </c>
      <c r="B130" s="19"/>
      <c r="C130" s="15">
        <v>1.25</v>
      </c>
      <c r="D130" s="14"/>
      <c r="E130" s="15">
        <f t="shared" si="10"/>
        <v>89.444999999999993</v>
      </c>
      <c r="F130" s="14"/>
      <c r="G130" s="15">
        <f t="shared" si="9"/>
        <v>1.25</v>
      </c>
      <c r="H130" s="14"/>
      <c r="I130" s="15">
        <f t="shared" si="11"/>
        <v>50.5</v>
      </c>
      <c r="J130" s="14"/>
      <c r="K130" s="13"/>
    </row>
    <row r="131" spans="1:11" ht="12.6" customHeight="1" x14ac:dyDescent="0.2">
      <c r="A131" s="13"/>
      <c r="B131" s="19" t="s">
        <v>45</v>
      </c>
      <c r="C131" s="15"/>
      <c r="D131" s="14"/>
      <c r="E131" s="15">
        <f t="shared" si="10"/>
        <v>89.444999999999993</v>
      </c>
      <c r="F131" s="14"/>
      <c r="G131" s="15">
        <f t="shared" si="9"/>
        <v>0</v>
      </c>
      <c r="H131" s="14"/>
      <c r="I131" s="15">
        <f t="shared" si="11"/>
        <v>50.5</v>
      </c>
      <c r="J131" s="14"/>
      <c r="K131" s="13">
        <v>44805</v>
      </c>
    </row>
    <row r="132" spans="1:11" ht="12.6" customHeight="1" x14ac:dyDescent="0.2">
      <c r="A132" s="13">
        <v>44564</v>
      </c>
      <c r="B132" s="19"/>
      <c r="C132" s="15">
        <v>2.5</v>
      </c>
      <c r="D132" s="14"/>
      <c r="E132" s="15">
        <f t="shared" si="10"/>
        <v>91.944999999999993</v>
      </c>
      <c r="F132" s="14"/>
      <c r="G132" s="15">
        <f t="shared" si="9"/>
        <v>2.5</v>
      </c>
      <c r="H132" s="14"/>
      <c r="I132" s="15">
        <f t="shared" si="11"/>
        <v>53</v>
      </c>
      <c r="J132" s="14"/>
      <c r="K132" s="13"/>
    </row>
    <row r="133" spans="1:11" ht="12.6" customHeight="1" x14ac:dyDescent="0.2">
      <c r="A133" s="13"/>
      <c r="B133" s="19" t="s">
        <v>45</v>
      </c>
      <c r="C133" s="15"/>
      <c r="D133" s="14"/>
      <c r="E133" s="15">
        <f t="shared" si="10"/>
        <v>91.944999999999993</v>
      </c>
      <c r="F133" s="14"/>
      <c r="G133" s="15">
        <f t="shared" si="9"/>
        <v>0</v>
      </c>
      <c r="H133" s="14"/>
      <c r="I133" s="15">
        <f t="shared" si="11"/>
        <v>53</v>
      </c>
      <c r="J133" s="14"/>
      <c r="K133" s="13">
        <v>44776</v>
      </c>
    </row>
    <row r="134" spans="1:11" ht="12.6" customHeight="1" x14ac:dyDescent="0.2">
      <c r="A134" s="13"/>
      <c r="B134" s="19" t="s">
        <v>67</v>
      </c>
      <c r="C134" s="15"/>
      <c r="D134" s="14"/>
      <c r="E134" s="15">
        <f t="shared" si="10"/>
        <v>91.944999999999993</v>
      </c>
      <c r="F134" s="14"/>
      <c r="G134" s="15">
        <f t="shared" si="9"/>
        <v>0</v>
      </c>
      <c r="H134" s="14">
        <v>3</v>
      </c>
      <c r="I134" s="15">
        <f t="shared" si="11"/>
        <v>50</v>
      </c>
      <c r="J134" s="14"/>
      <c r="K134" s="13" t="s">
        <v>960</v>
      </c>
    </row>
    <row r="135" spans="1:11" ht="12.6" customHeight="1" x14ac:dyDescent="0.2">
      <c r="A135" s="13"/>
      <c r="B135" s="19" t="s">
        <v>271</v>
      </c>
      <c r="C135" s="15"/>
      <c r="D135" s="14"/>
      <c r="E135" s="15">
        <f t="shared" si="10"/>
        <v>91.944999999999993</v>
      </c>
      <c r="F135" s="14"/>
      <c r="G135" s="15">
        <f t="shared" si="9"/>
        <v>0</v>
      </c>
      <c r="H135" s="14">
        <v>5</v>
      </c>
      <c r="I135" s="15">
        <f t="shared" si="11"/>
        <v>45</v>
      </c>
      <c r="J135" s="14"/>
      <c r="K135" s="13" t="s">
        <v>961</v>
      </c>
    </row>
    <row r="136" spans="1:11" ht="12.6" customHeight="1" x14ac:dyDescent="0.2">
      <c r="A136" s="13">
        <v>44568</v>
      </c>
      <c r="B136" s="19"/>
      <c r="C136" s="15">
        <v>5</v>
      </c>
      <c r="D136" s="14"/>
      <c r="E136" s="15">
        <f t="shared" si="10"/>
        <v>96.944999999999993</v>
      </c>
      <c r="F136" s="14"/>
      <c r="G136" s="15">
        <f t="shared" si="9"/>
        <v>5</v>
      </c>
      <c r="H136" s="14"/>
      <c r="I136" s="15">
        <f t="shared" si="11"/>
        <v>50</v>
      </c>
      <c r="J136" s="14"/>
      <c r="K136" s="13"/>
    </row>
    <row r="137" spans="1:11" ht="12.6" customHeight="1" x14ac:dyDescent="0.2">
      <c r="A137" s="13"/>
      <c r="B137" s="19" t="s">
        <v>45</v>
      </c>
      <c r="C137" s="15"/>
      <c r="D137" s="14"/>
      <c r="E137" s="15">
        <f t="shared" si="10"/>
        <v>96.944999999999993</v>
      </c>
      <c r="F137" s="14"/>
      <c r="G137" s="15">
        <f t="shared" si="9"/>
        <v>0</v>
      </c>
      <c r="H137" s="14"/>
      <c r="I137" s="15">
        <f t="shared" si="11"/>
        <v>50</v>
      </c>
      <c r="J137" s="14"/>
      <c r="K137" s="13" t="s">
        <v>962</v>
      </c>
    </row>
    <row r="138" spans="1:11" ht="12.6" customHeight="1" x14ac:dyDescent="0.2">
      <c r="A138" s="13">
        <v>44571</v>
      </c>
      <c r="B138" s="19"/>
      <c r="C138" s="15">
        <v>3.75</v>
      </c>
      <c r="D138" s="14"/>
      <c r="E138" s="15">
        <f t="shared" si="10"/>
        <v>100.69499999999999</v>
      </c>
      <c r="F138" s="14"/>
      <c r="G138" s="15">
        <f t="shared" si="9"/>
        <v>3.75</v>
      </c>
      <c r="H138" s="14"/>
      <c r="I138" s="15">
        <f t="shared" si="11"/>
        <v>53.75</v>
      </c>
      <c r="J138" s="14"/>
      <c r="K138" s="19"/>
    </row>
    <row r="139" spans="1:11" ht="12.6" customHeight="1" x14ac:dyDescent="0.2">
      <c r="A139" s="13"/>
      <c r="B139" s="19" t="s">
        <v>52</v>
      </c>
      <c r="C139" s="15"/>
      <c r="D139" s="14"/>
      <c r="E139" s="15">
        <f t="shared" si="10"/>
        <v>100.69499999999999</v>
      </c>
      <c r="F139" s="14"/>
      <c r="G139" s="15">
        <f t="shared" si="9"/>
        <v>0</v>
      </c>
      <c r="H139" s="14">
        <v>2</v>
      </c>
      <c r="I139" s="15">
        <f t="shared" si="11"/>
        <v>51.75</v>
      </c>
      <c r="J139" s="14"/>
      <c r="K139" s="13" t="s">
        <v>963</v>
      </c>
    </row>
    <row r="140" spans="1:11" ht="12.6" customHeight="1" x14ac:dyDescent="0.2">
      <c r="A140" s="13">
        <v>44572</v>
      </c>
      <c r="B140" s="19"/>
      <c r="C140" s="15">
        <v>1.25</v>
      </c>
      <c r="D140" s="14"/>
      <c r="E140" s="15">
        <f t="shared" si="10"/>
        <v>101.94499999999999</v>
      </c>
      <c r="F140" s="14"/>
      <c r="G140" s="15">
        <f t="shared" si="9"/>
        <v>1.25</v>
      </c>
      <c r="H140" s="14"/>
      <c r="I140" s="15">
        <f t="shared" si="11"/>
        <v>53</v>
      </c>
      <c r="J140" s="14"/>
      <c r="K140" s="13"/>
    </row>
    <row r="141" spans="1:11" ht="12.6" customHeight="1" x14ac:dyDescent="0.2">
      <c r="A141" s="13"/>
      <c r="B141" s="19" t="s">
        <v>965</v>
      </c>
      <c r="C141" s="15"/>
      <c r="D141" s="14">
        <v>5</v>
      </c>
      <c r="E141" s="15">
        <f t="shared" si="10"/>
        <v>96.944999999999993</v>
      </c>
      <c r="F141" s="14"/>
      <c r="G141" s="15">
        <f t="shared" si="9"/>
        <v>0</v>
      </c>
      <c r="H141" s="14"/>
      <c r="I141" s="15">
        <f t="shared" si="11"/>
        <v>53</v>
      </c>
      <c r="J141" s="14"/>
      <c r="K141" s="87" t="s">
        <v>964</v>
      </c>
    </row>
    <row r="142" spans="1:11" ht="12.6" customHeight="1" x14ac:dyDescent="0.2">
      <c r="A142" s="13">
        <v>44927</v>
      </c>
      <c r="B142" s="19"/>
      <c r="C142" s="15">
        <v>2.5</v>
      </c>
      <c r="D142" s="14"/>
      <c r="E142" s="15">
        <f t="shared" si="10"/>
        <v>99.444999999999993</v>
      </c>
      <c r="F142" s="14"/>
      <c r="G142" s="15">
        <f t="shared" si="9"/>
        <v>2.5</v>
      </c>
      <c r="H142" s="14"/>
      <c r="I142" s="15">
        <f t="shared" si="11"/>
        <v>55.5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48.75</v>
      </c>
      <c r="D143" s="15">
        <f>SUM(D117:D142)</f>
        <v>5.9770000000000003</v>
      </c>
      <c r="E143" s="15"/>
      <c r="F143" s="14"/>
      <c r="G143" s="15">
        <f>SUM(G117:G142)</f>
        <v>48.75</v>
      </c>
      <c r="H143" s="15">
        <f>SUM(H117:H142)</f>
        <v>45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MARIA LEA D. DIMAANO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MARCH 25, 2013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45</v>
      </c>
      <c r="C156" s="15"/>
      <c r="D156" s="14"/>
      <c r="E156" s="15">
        <f>E142+C156-D156</f>
        <v>99.444999999999993</v>
      </c>
      <c r="F156" s="14"/>
      <c r="G156" s="15">
        <f>C156</f>
        <v>0</v>
      </c>
      <c r="H156" s="14"/>
      <c r="I156" s="15">
        <f>I142+G156-H156</f>
        <v>55.5</v>
      </c>
      <c r="J156" s="14"/>
      <c r="K156" s="13">
        <v>45047</v>
      </c>
    </row>
    <row r="157" spans="1:11" ht="12.6" customHeight="1" x14ac:dyDescent="0.2">
      <c r="A157" s="13"/>
      <c r="B157" s="19" t="s">
        <v>45</v>
      </c>
      <c r="C157" s="15"/>
      <c r="D157" s="14"/>
      <c r="E157" s="15">
        <f>E156+C157-D157</f>
        <v>99.444999999999993</v>
      </c>
      <c r="F157" s="14"/>
      <c r="G157" s="15">
        <f t="shared" ref="G157:G181" si="12">C157</f>
        <v>0</v>
      </c>
      <c r="H157" s="14"/>
      <c r="I157" s="15">
        <f>I156+G157-H157</f>
        <v>55.5</v>
      </c>
      <c r="J157" s="14"/>
      <c r="K157" s="13" t="s">
        <v>966</v>
      </c>
    </row>
    <row r="158" spans="1:11" ht="12.6" customHeight="1" x14ac:dyDescent="0.2">
      <c r="A158" s="13">
        <v>44928</v>
      </c>
      <c r="B158" s="19"/>
      <c r="C158" s="15">
        <v>1.25</v>
      </c>
      <c r="D158" s="14"/>
      <c r="E158" s="15">
        <f t="shared" ref="E158:E181" si="13">E157+C158-D158</f>
        <v>100.69499999999999</v>
      </c>
      <c r="F158" s="22"/>
      <c r="G158" s="15">
        <f t="shared" si="12"/>
        <v>1.25</v>
      </c>
      <c r="H158" s="34"/>
      <c r="I158" s="15">
        <f t="shared" ref="I158:I181" si="14">I157+G158-H158</f>
        <v>56.75</v>
      </c>
      <c r="J158" s="14"/>
      <c r="K158" s="13"/>
    </row>
    <row r="159" spans="1:11" ht="12.6" customHeight="1" x14ac:dyDescent="0.2">
      <c r="A159" s="13"/>
      <c r="B159" s="19" t="s">
        <v>47</v>
      </c>
      <c r="C159" s="15"/>
      <c r="D159" s="14"/>
      <c r="E159" s="15">
        <f t="shared" si="13"/>
        <v>100.69499999999999</v>
      </c>
      <c r="F159" s="14"/>
      <c r="G159" s="15">
        <f t="shared" si="12"/>
        <v>0</v>
      </c>
      <c r="H159" s="34">
        <v>1</v>
      </c>
      <c r="I159" s="15">
        <f t="shared" si="14"/>
        <v>55.75</v>
      </c>
      <c r="J159" s="14"/>
      <c r="K159" s="13" t="s">
        <v>967</v>
      </c>
    </row>
    <row r="160" spans="1:11" ht="12.6" customHeight="1" x14ac:dyDescent="0.2">
      <c r="A160" s="13"/>
      <c r="B160" s="19" t="s">
        <v>52</v>
      </c>
      <c r="C160" s="15"/>
      <c r="D160" s="14"/>
      <c r="E160" s="15">
        <f t="shared" si="13"/>
        <v>100.69499999999999</v>
      </c>
      <c r="F160" s="14"/>
      <c r="G160" s="15">
        <f t="shared" si="12"/>
        <v>0</v>
      </c>
      <c r="H160" s="34">
        <v>2</v>
      </c>
      <c r="I160" s="15">
        <f t="shared" si="14"/>
        <v>53.75</v>
      </c>
      <c r="J160" s="14"/>
      <c r="K160" s="16" t="s">
        <v>968</v>
      </c>
    </row>
    <row r="161" spans="1:11" ht="12.6" customHeight="1" x14ac:dyDescent="0.2">
      <c r="A161" s="13">
        <v>44929</v>
      </c>
      <c r="B161" s="19"/>
      <c r="C161" s="15">
        <v>1.25</v>
      </c>
      <c r="D161" s="14"/>
      <c r="E161" s="15">
        <f t="shared" si="13"/>
        <v>101.94499999999999</v>
      </c>
      <c r="F161" s="14"/>
      <c r="G161" s="15">
        <f t="shared" si="12"/>
        <v>1.25</v>
      </c>
      <c r="H161" s="34"/>
      <c r="I161" s="15">
        <f t="shared" si="14"/>
        <v>55</v>
      </c>
      <c r="J161" s="14"/>
      <c r="K161" s="13"/>
    </row>
    <row r="162" spans="1:11" ht="12.6" customHeight="1" x14ac:dyDescent="0.2">
      <c r="A162" s="13"/>
      <c r="B162" s="19" t="s">
        <v>45</v>
      </c>
      <c r="C162" s="15"/>
      <c r="D162" s="14"/>
      <c r="E162" s="15">
        <f t="shared" si="13"/>
        <v>101.94499999999999</v>
      </c>
      <c r="F162" s="14"/>
      <c r="G162" s="15">
        <f t="shared" si="12"/>
        <v>0</v>
      </c>
      <c r="H162" s="34"/>
      <c r="I162" s="15">
        <f t="shared" si="14"/>
        <v>55</v>
      </c>
      <c r="J162" s="14"/>
      <c r="K162" s="13">
        <v>45080</v>
      </c>
    </row>
    <row r="163" spans="1:11" ht="12.6" customHeight="1" x14ac:dyDescent="0.2">
      <c r="A163" s="13"/>
      <c r="B163" s="19" t="s">
        <v>67</v>
      </c>
      <c r="C163" s="15"/>
      <c r="D163" s="22"/>
      <c r="E163" s="15">
        <f t="shared" si="13"/>
        <v>101.94499999999999</v>
      </c>
      <c r="F163" s="22"/>
      <c r="G163" s="15">
        <f t="shared" si="12"/>
        <v>0</v>
      </c>
      <c r="H163" s="14">
        <v>3</v>
      </c>
      <c r="I163" s="15">
        <f t="shared" si="14"/>
        <v>52</v>
      </c>
      <c r="J163" s="14"/>
      <c r="K163" s="13" t="s">
        <v>969</v>
      </c>
    </row>
    <row r="164" spans="1:11" ht="12.6" customHeight="1" x14ac:dyDescent="0.2">
      <c r="A164" s="13">
        <v>44931</v>
      </c>
      <c r="B164" s="19"/>
      <c r="C164" s="15">
        <v>2.5</v>
      </c>
      <c r="D164" s="22"/>
      <c r="E164" s="15">
        <f t="shared" si="13"/>
        <v>104.44499999999999</v>
      </c>
      <c r="F164" s="14"/>
      <c r="G164" s="15">
        <f t="shared" si="12"/>
        <v>2.5</v>
      </c>
      <c r="H164" s="34"/>
      <c r="I164" s="15">
        <f t="shared" si="14"/>
        <v>54.5</v>
      </c>
      <c r="J164" s="14"/>
      <c r="K164" s="13"/>
    </row>
    <row r="165" spans="1:11" ht="12.6" customHeight="1" x14ac:dyDescent="0.2">
      <c r="A165" s="13"/>
      <c r="B165" s="19" t="s">
        <v>67</v>
      </c>
      <c r="C165" s="15"/>
      <c r="D165" s="14"/>
      <c r="E165" s="15">
        <f t="shared" si="13"/>
        <v>104.44499999999999</v>
      </c>
      <c r="F165" s="14"/>
      <c r="G165" s="15">
        <f t="shared" si="12"/>
        <v>0</v>
      </c>
      <c r="H165" s="34">
        <v>3</v>
      </c>
      <c r="I165" s="15">
        <f t="shared" si="14"/>
        <v>51.5</v>
      </c>
      <c r="J165" s="14"/>
      <c r="K165" s="13" t="s">
        <v>970</v>
      </c>
    </row>
    <row r="166" spans="1:11" ht="12.6" customHeight="1" x14ac:dyDescent="0.2">
      <c r="A166" s="13">
        <v>44932</v>
      </c>
      <c r="B166" s="19"/>
      <c r="C166" s="15">
        <v>1.25</v>
      </c>
      <c r="D166" s="14"/>
      <c r="E166" s="15">
        <f t="shared" si="13"/>
        <v>105.69499999999999</v>
      </c>
      <c r="F166" s="22"/>
      <c r="G166" s="15">
        <f t="shared" si="12"/>
        <v>1.25</v>
      </c>
      <c r="H166" s="34"/>
      <c r="I166" s="15">
        <f t="shared" si="14"/>
        <v>52.75</v>
      </c>
      <c r="J166" s="14"/>
      <c r="K166" s="13"/>
    </row>
    <row r="167" spans="1:11" ht="12.6" customHeight="1" x14ac:dyDescent="0.2">
      <c r="A167" s="13"/>
      <c r="B167" s="19" t="s">
        <v>52</v>
      </c>
      <c r="C167" s="15"/>
      <c r="D167" s="14"/>
      <c r="E167" s="15">
        <f t="shared" si="13"/>
        <v>105.69499999999999</v>
      </c>
      <c r="F167" s="22"/>
      <c r="G167" s="15">
        <f t="shared" si="12"/>
        <v>0</v>
      </c>
      <c r="H167" s="34">
        <v>2</v>
      </c>
      <c r="I167" s="15">
        <f t="shared" si="14"/>
        <v>50.75</v>
      </c>
      <c r="J167" s="14"/>
      <c r="K167" s="16" t="s">
        <v>971</v>
      </c>
    </row>
    <row r="168" spans="1:11" ht="12.6" customHeight="1" x14ac:dyDescent="0.2">
      <c r="A168" s="13">
        <v>44934</v>
      </c>
      <c r="B168" s="19"/>
      <c r="C168" s="15">
        <v>2.5</v>
      </c>
      <c r="D168" s="14"/>
      <c r="E168" s="15">
        <f t="shared" si="13"/>
        <v>108.19499999999999</v>
      </c>
      <c r="F168" s="14"/>
      <c r="G168" s="15">
        <f t="shared" si="12"/>
        <v>2.5</v>
      </c>
      <c r="H168" s="32"/>
      <c r="I168" s="15">
        <f t="shared" si="14"/>
        <v>53.25</v>
      </c>
      <c r="J168" s="14"/>
      <c r="K168" s="13"/>
    </row>
    <row r="169" spans="1:11" ht="12.6" customHeight="1" x14ac:dyDescent="0.2">
      <c r="A169" s="13"/>
      <c r="B169" s="19" t="s">
        <v>47</v>
      </c>
      <c r="C169" s="15"/>
      <c r="D169" s="14"/>
      <c r="E169" s="15">
        <f t="shared" si="13"/>
        <v>108.19499999999999</v>
      </c>
      <c r="F169" s="22"/>
      <c r="G169" s="15">
        <f t="shared" si="12"/>
        <v>0</v>
      </c>
      <c r="H169" s="34">
        <v>1</v>
      </c>
      <c r="I169" s="15">
        <f t="shared" si="14"/>
        <v>52.25</v>
      </c>
      <c r="J169" s="14"/>
      <c r="K169" s="13" t="s">
        <v>785</v>
      </c>
    </row>
    <row r="170" spans="1:11" ht="12.6" customHeight="1" x14ac:dyDescent="0.2">
      <c r="A170" s="13"/>
      <c r="B170" s="19" t="s">
        <v>47</v>
      </c>
      <c r="C170" s="15"/>
      <c r="D170" s="14"/>
      <c r="E170" s="15">
        <f t="shared" si="13"/>
        <v>108.19499999999999</v>
      </c>
      <c r="F170" s="14"/>
      <c r="G170" s="15">
        <f t="shared" si="12"/>
        <v>0</v>
      </c>
      <c r="H170" s="14">
        <v>1</v>
      </c>
      <c r="I170" s="15">
        <f t="shared" si="14"/>
        <v>51.25</v>
      </c>
      <c r="J170" s="14"/>
      <c r="K170" s="13" t="s">
        <v>972</v>
      </c>
    </row>
    <row r="171" spans="1:11" ht="12.6" customHeight="1" x14ac:dyDescent="0.2">
      <c r="A171" s="13">
        <v>44935</v>
      </c>
      <c r="B171" s="19"/>
      <c r="C171" s="15">
        <v>1.25</v>
      </c>
      <c r="D171" s="14"/>
      <c r="E171" s="15">
        <f t="shared" si="13"/>
        <v>109.44499999999999</v>
      </c>
      <c r="F171" s="14"/>
      <c r="G171" s="15">
        <f t="shared" si="12"/>
        <v>1.25</v>
      </c>
      <c r="H171" s="34"/>
      <c r="I171" s="15">
        <f t="shared" si="14"/>
        <v>52.5</v>
      </c>
      <c r="J171" s="14"/>
      <c r="K171" s="16"/>
    </row>
    <row r="172" spans="1:11" ht="12.6" customHeight="1" x14ac:dyDescent="0.2">
      <c r="A172" s="13"/>
      <c r="B172" s="19" t="s">
        <v>47</v>
      </c>
      <c r="C172" s="15"/>
      <c r="D172" s="14"/>
      <c r="E172" s="15">
        <f t="shared" si="13"/>
        <v>109.44499999999999</v>
      </c>
      <c r="F172" s="14"/>
      <c r="G172" s="15">
        <f t="shared" si="12"/>
        <v>0</v>
      </c>
      <c r="H172" s="34">
        <v>1</v>
      </c>
      <c r="I172" s="15">
        <f t="shared" si="14"/>
        <v>51.5</v>
      </c>
      <c r="J172" s="14"/>
      <c r="K172" s="13" t="s">
        <v>973</v>
      </c>
    </row>
    <row r="173" spans="1:11" ht="12.6" customHeight="1" x14ac:dyDescent="0.2">
      <c r="A173" s="13">
        <v>44936</v>
      </c>
      <c r="B173" s="19"/>
      <c r="C173" s="15">
        <v>1.25</v>
      </c>
      <c r="D173" s="14"/>
      <c r="E173" s="15">
        <f t="shared" si="13"/>
        <v>110.69499999999999</v>
      </c>
      <c r="F173" s="14"/>
      <c r="G173" s="15">
        <f t="shared" si="12"/>
        <v>1.25</v>
      </c>
      <c r="H173" s="35"/>
      <c r="I173" s="15">
        <f t="shared" si="14"/>
        <v>52.75</v>
      </c>
      <c r="J173" s="14"/>
      <c r="K173" s="13"/>
    </row>
    <row r="174" spans="1:11" ht="12.6" customHeight="1" x14ac:dyDescent="0.2">
      <c r="A174" s="13"/>
      <c r="B174" s="19" t="s">
        <v>74</v>
      </c>
      <c r="C174" s="15"/>
      <c r="D174" s="14">
        <v>1</v>
      </c>
      <c r="E174" s="15">
        <f t="shared" si="13"/>
        <v>109.69499999999999</v>
      </c>
      <c r="F174" s="22"/>
      <c r="G174" s="15">
        <f t="shared" si="12"/>
        <v>0</v>
      </c>
      <c r="H174" s="14"/>
      <c r="I174" s="15">
        <f t="shared" si="14"/>
        <v>52.75</v>
      </c>
      <c r="J174" s="14"/>
      <c r="K174" s="13">
        <v>44996</v>
      </c>
    </row>
    <row r="175" spans="1:11" ht="12.6" customHeight="1" x14ac:dyDescent="0.2">
      <c r="A175" s="13">
        <v>44938</v>
      </c>
      <c r="B175" s="19"/>
      <c r="C175" s="15">
        <v>2.5</v>
      </c>
      <c r="D175" s="14"/>
      <c r="E175" s="15">
        <f t="shared" si="13"/>
        <v>112.19499999999999</v>
      </c>
      <c r="F175" s="22"/>
      <c r="G175" s="15">
        <f t="shared" si="12"/>
        <v>2.5</v>
      </c>
      <c r="H175" s="34"/>
      <c r="I175" s="15">
        <f t="shared" si="14"/>
        <v>55.25</v>
      </c>
      <c r="J175" s="14"/>
      <c r="K175" s="13"/>
    </row>
    <row r="176" spans="1:11" ht="12.6" customHeight="1" x14ac:dyDescent="0.2">
      <c r="A176" s="13"/>
      <c r="B176" s="19" t="s">
        <v>87</v>
      </c>
      <c r="C176" s="15"/>
      <c r="D176" s="14">
        <v>3</v>
      </c>
      <c r="E176" s="15">
        <f t="shared" si="13"/>
        <v>109.19499999999999</v>
      </c>
      <c r="F176" s="14"/>
      <c r="G176" s="15">
        <f t="shared" si="12"/>
        <v>0</v>
      </c>
      <c r="H176" s="32"/>
      <c r="I176" s="15">
        <f t="shared" si="14"/>
        <v>55.25</v>
      </c>
      <c r="J176" s="14"/>
      <c r="K176" s="16" t="s">
        <v>974</v>
      </c>
    </row>
    <row r="177" spans="1:11" ht="12.6" customHeight="1" x14ac:dyDescent="0.2">
      <c r="A177" s="13"/>
      <c r="B177" s="19" t="s">
        <v>47</v>
      </c>
      <c r="C177" s="15"/>
      <c r="D177" s="14"/>
      <c r="E177" s="15">
        <f t="shared" si="13"/>
        <v>109.19499999999999</v>
      </c>
      <c r="F177" s="14"/>
      <c r="G177" s="15">
        <f t="shared" si="12"/>
        <v>0</v>
      </c>
      <c r="H177" s="34">
        <v>1</v>
      </c>
      <c r="I177" s="15">
        <f t="shared" si="14"/>
        <v>54.25</v>
      </c>
      <c r="J177" s="14"/>
      <c r="K177" s="13">
        <v>45272</v>
      </c>
    </row>
    <row r="178" spans="1:11" ht="12.6" customHeight="1" x14ac:dyDescent="0.2">
      <c r="A178" s="13">
        <v>45292</v>
      </c>
      <c r="B178" s="19"/>
      <c r="C178" s="15">
        <v>1.25</v>
      </c>
      <c r="D178" s="14"/>
      <c r="E178" s="15">
        <f t="shared" si="13"/>
        <v>110.44499999999999</v>
      </c>
      <c r="F178" s="14"/>
      <c r="G178" s="15">
        <f t="shared" si="12"/>
        <v>1.25</v>
      </c>
      <c r="H178" s="34"/>
      <c r="I178" s="15">
        <f t="shared" si="14"/>
        <v>55.5</v>
      </c>
      <c r="J178" s="14"/>
      <c r="K178" s="13"/>
    </row>
    <row r="179" spans="1:11" ht="12.6" customHeight="1" x14ac:dyDescent="0.2">
      <c r="A179" s="13"/>
      <c r="B179" s="19" t="s">
        <v>975</v>
      </c>
      <c r="C179" s="15"/>
      <c r="D179" s="14">
        <v>2.65</v>
      </c>
      <c r="E179" s="15">
        <f t="shared" si="13"/>
        <v>107.79499999999999</v>
      </c>
      <c r="F179" s="14"/>
      <c r="G179" s="15">
        <f t="shared" si="12"/>
        <v>0</v>
      </c>
      <c r="H179" s="34"/>
      <c r="I179" s="15">
        <f t="shared" si="14"/>
        <v>55.5</v>
      </c>
      <c r="J179" s="14"/>
      <c r="K179" s="16" t="s">
        <v>791</v>
      </c>
    </row>
    <row r="180" spans="1:11" ht="12.6" customHeight="1" x14ac:dyDescent="0.2">
      <c r="A180" s="13"/>
      <c r="B180" s="19" t="s">
        <v>57</v>
      </c>
      <c r="C180" s="15"/>
      <c r="D180" s="14">
        <v>1</v>
      </c>
      <c r="E180" s="15">
        <f t="shared" si="13"/>
        <v>106.79499999999999</v>
      </c>
      <c r="F180" s="14"/>
      <c r="G180" s="15">
        <f t="shared" si="12"/>
        <v>0</v>
      </c>
      <c r="H180" s="34"/>
      <c r="I180" s="15">
        <f t="shared" si="14"/>
        <v>55.5</v>
      </c>
      <c r="J180" s="14"/>
      <c r="K180" s="13" t="s">
        <v>893</v>
      </c>
    </row>
    <row r="181" spans="1:11" ht="12.6" customHeight="1" x14ac:dyDescent="0.2">
      <c r="A181" s="13"/>
      <c r="B181" s="19" t="s">
        <v>47</v>
      </c>
      <c r="C181" s="15"/>
      <c r="D181" s="14"/>
      <c r="E181" s="15">
        <f t="shared" si="13"/>
        <v>106.79499999999999</v>
      </c>
      <c r="F181" s="14"/>
      <c r="G181" s="15">
        <f t="shared" si="12"/>
        <v>0</v>
      </c>
      <c r="H181" s="34">
        <v>1</v>
      </c>
      <c r="I181" s="15">
        <f t="shared" si="14"/>
        <v>54.5</v>
      </c>
      <c r="J181" s="14"/>
      <c r="K181" s="13">
        <v>45413</v>
      </c>
    </row>
    <row r="182" spans="1:11" ht="12.6" customHeight="1" x14ac:dyDescent="0.2">
      <c r="A182" s="19"/>
      <c r="B182" s="19"/>
      <c r="C182" s="15">
        <f>SUM(C156:C181)</f>
        <v>15</v>
      </c>
      <c r="D182" s="15">
        <f>SUM(D156:D181)</f>
        <v>7.65</v>
      </c>
      <c r="E182" s="36"/>
      <c r="F182" s="37"/>
      <c r="G182" s="15">
        <f>SUM(G156:G181)</f>
        <v>15</v>
      </c>
      <c r="H182" s="15">
        <f>SUM(H156:H181)</f>
        <v>16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MARIA LEA D. DIMAANO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MARCH 25, 2013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 t="s">
        <v>45</v>
      </c>
      <c r="C191" s="15"/>
      <c r="D191" s="14"/>
      <c r="E191" s="15">
        <f>E181+C191-D191</f>
        <v>106.79499999999999</v>
      </c>
      <c r="F191" s="14"/>
      <c r="G191" s="15">
        <f>C191</f>
        <v>0</v>
      </c>
      <c r="H191" s="34"/>
      <c r="I191" s="15">
        <f>I181+G191-H191</f>
        <v>54.5</v>
      </c>
      <c r="J191" s="14"/>
      <c r="K191" s="13" t="s">
        <v>976</v>
      </c>
    </row>
    <row r="192" spans="1:11" ht="12.6" customHeight="1" x14ac:dyDescent="0.2">
      <c r="A192" s="13">
        <v>45293</v>
      </c>
      <c r="B192" s="19"/>
      <c r="C192" s="15">
        <v>1.25</v>
      </c>
      <c r="D192" s="14"/>
      <c r="E192" s="15">
        <f>E191+C192-D192</f>
        <v>108.04499999999999</v>
      </c>
      <c r="F192" s="14"/>
      <c r="G192" s="15">
        <f t="shared" ref="G192:G216" si="15">C192</f>
        <v>1.25</v>
      </c>
      <c r="H192" s="34"/>
      <c r="I192" s="15">
        <f>I191+G192-H192</f>
        <v>55.75</v>
      </c>
      <c r="J192" s="14"/>
      <c r="K192" s="13"/>
    </row>
    <row r="193" spans="1:11" ht="12.6" customHeight="1" x14ac:dyDescent="0.2">
      <c r="A193" s="13"/>
      <c r="B193" s="19" t="s">
        <v>45</v>
      </c>
      <c r="C193" s="15"/>
      <c r="D193" s="14"/>
      <c r="E193" s="15">
        <f t="shared" ref="E193:E216" si="16">E192+C193-D193</f>
        <v>108.04499999999999</v>
      </c>
      <c r="F193" s="22"/>
      <c r="G193" s="15">
        <f t="shared" si="15"/>
        <v>0</v>
      </c>
      <c r="H193" s="34"/>
      <c r="I193" s="15">
        <f t="shared" ref="I193:I216" si="17">I192+G193-H193</f>
        <v>55.75</v>
      </c>
      <c r="J193" s="14"/>
      <c r="K193" s="38" t="s">
        <v>977</v>
      </c>
    </row>
    <row r="194" spans="1:11" ht="12.6" customHeight="1" x14ac:dyDescent="0.2">
      <c r="A194" s="13">
        <v>45294</v>
      </c>
      <c r="B194" s="19"/>
      <c r="C194" s="15">
        <v>1.25</v>
      </c>
      <c r="D194" s="14"/>
      <c r="E194" s="15">
        <f t="shared" si="16"/>
        <v>109.29499999999999</v>
      </c>
      <c r="F194" s="14"/>
      <c r="G194" s="15">
        <f t="shared" si="15"/>
        <v>1.25</v>
      </c>
      <c r="H194" s="34"/>
      <c r="I194" s="15">
        <f t="shared" si="17"/>
        <v>57</v>
      </c>
      <c r="J194" s="14"/>
      <c r="K194" s="13"/>
    </row>
    <row r="195" spans="1:11" ht="12.6" customHeight="1" x14ac:dyDescent="0.2">
      <c r="A195" s="13"/>
      <c r="B195" s="19" t="s">
        <v>45</v>
      </c>
      <c r="C195" s="15"/>
      <c r="D195" s="14"/>
      <c r="E195" s="15">
        <f t="shared" si="16"/>
        <v>109.29499999999999</v>
      </c>
      <c r="F195" s="14"/>
      <c r="G195" s="15">
        <f t="shared" si="15"/>
        <v>0</v>
      </c>
      <c r="H195" s="34"/>
      <c r="I195" s="15">
        <f t="shared" si="17"/>
        <v>57</v>
      </c>
      <c r="J195" s="14"/>
      <c r="K195" s="13">
        <v>45446</v>
      </c>
    </row>
    <row r="196" spans="1:11" ht="12.6" customHeight="1" x14ac:dyDescent="0.2">
      <c r="A196" s="13">
        <v>45296</v>
      </c>
      <c r="B196" s="19"/>
      <c r="C196" s="15">
        <v>2.5</v>
      </c>
      <c r="D196" s="14"/>
      <c r="E196" s="15">
        <f t="shared" si="16"/>
        <v>111.79499999999999</v>
      </c>
      <c r="F196" s="14"/>
      <c r="G196" s="15">
        <f t="shared" si="15"/>
        <v>2.5</v>
      </c>
      <c r="H196" s="34"/>
      <c r="I196" s="15">
        <f t="shared" si="17"/>
        <v>59.5</v>
      </c>
      <c r="J196" s="14"/>
      <c r="K196" s="13"/>
    </row>
    <row r="197" spans="1:11" ht="12.6" customHeight="1" x14ac:dyDescent="0.2">
      <c r="A197" s="13"/>
      <c r="B197" s="19" t="s">
        <v>47</v>
      </c>
      <c r="C197" s="15"/>
      <c r="D197" s="14"/>
      <c r="E197" s="15">
        <f t="shared" si="16"/>
        <v>111.79499999999999</v>
      </c>
      <c r="F197" s="14"/>
      <c r="G197" s="15">
        <f t="shared" si="15"/>
        <v>0</v>
      </c>
      <c r="H197" s="34">
        <v>1</v>
      </c>
      <c r="I197" s="15">
        <f t="shared" si="17"/>
        <v>58.5</v>
      </c>
      <c r="J197" s="14"/>
      <c r="K197" s="13">
        <v>45327</v>
      </c>
    </row>
    <row r="198" spans="1:11" ht="12.6" customHeight="1" x14ac:dyDescent="0.2">
      <c r="A198" s="13">
        <v>45297</v>
      </c>
      <c r="B198" s="19"/>
      <c r="C198" s="15">
        <v>1.25</v>
      </c>
      <c r="D198" s="22"/>
      <c r="E198" s="15">
        <f t="shared" si="16"/>
        <v>113.04499999999999</v>
      </c>
      <c r="F198" s="22"/>
      <c r="G198" s="15">
        <f t="shared" si="15"/>
        <v>1.25</v>
      </c>
      <c r="H198" s="34"/>
      <c r="I198" s="15">
        <f t="shared" si="17"/>
        <v>59.75</v>
      </c>
      <c r="J198" s="14"/>
      <c r="K198" s="16"/>
    </row>
    <row r="199" spans="1:11" ht="12.6" customHeight="1" x14ac:dyDescent="0.2">
      <c r="A199" s="13"/>
      <c r="B199" s="19" t="s">
        <v>52</v>
      </c>
      <c r="C199" s="15"/>
      <c r="D199" s="22"/>
      <c r="E199" s="15">
        <f t="shared" si="16"/>
        <v>113.04499999999999</v>
      </c>
      <c r="F199" s="14"/>
      <c r="G199" s="15">
        <f t="shared" si="15"/>
        <v>0</v>
      </c>
      <c r="H199" s="34">
        <v>2</v>
      </c>
      <c r="I199" s="15">
        <f t="shared" si="17"/>
        <v>57.75</v>
      </c>
      <c r="J199" s="14"/>
      <c r="K199" s="16" t="s">
        <v>978</v>
      </c>
    </row>
    <row r="200" spans="1:11" ht="12.6" customHeight="1" x14ac:dyDescent="0.2">
      <c r="A200" s="13">
        <v>45301</v>
      </c>
      <c r="B200" s="19"/>
      <c r="C200" s="15">
        <v>5</v>
      </c>
      <c r="D200" s="14"/>
      <c r="E200" s="15">
        <f t="shared" si="16"/>
        <v>118.04499999999999</v>
      </c>
      <c r="F200" s="14"/>
      <c r="G200" s="15">
        <f t="shared" si="15"/>
        <v>5</v>
      </c>
      <c r="H200" s="34"/>
      <c r="I200" s="15">
        <f t="shared" si="17"/>
        <v>62.75</v>
      </c>
      <c r="J200" s="14"/>
      <c r="K200" s="13"/>
    </row>
    <row r="201" spans="1:11" ht="12.6" customHeight="1" x14ac:dyDescent="0.2">
      <c r="A201" s="13"/>
      <c r="B201" s="19" t="s">
        <v>47</v>
      </c>
      <c r="C201" s="15"/>
      <c r="D201" s="22"/>
      <c r="E201" s="15">
        <f t="shared" si="16"/>
        <v>118.04499999999999</v>
      </c>
      <c r="F201" s="22"/>
      <c r="G201" s="15">
        <f t="shared" si="15"/>
        <v>0</v>
      </c>
      <c r="H201" s="34">
        <v>1</v>
      </c>
      <c r="I201" s="15">
        <f t="shared" si="17"/>
        <v>61.75</v>
      </c>
      <c r="J201" s="14"/>
      <c r="K201" s="13" t="s">
        <v>979</v>
      </c>
    </row>
    <row r="202" spans="1:11" ht="12.6" customHeight="1" x14ac:dyDescent="0.2">
      <c r="A202" s="13">
        <v>45658</v>
      </c>
      <c r="B202" s="19"/>
      <c r="C202" s="15">
        <v>3.75</v>
      </c>
      <c r="D202" s="14"/>
      <c r="E202" s="15">
        <f t="shared" si="16"/>
        <v>121.79499999999999</v>
      </c>
      <c r="F202" s="22"/>
      <c r="G202" s="15">
        <f t="shared" si="15"/>
        <v>3.75</v>
      </c>
      <c r="H202" s="34"/>
      <c r="I202" s="15">
        <f t="shared" si="17"/>
        <v>65.5</v>
      </c>
      <c r="J202" s="14"/>
      <c r="K202" s="13"/>
    </row>
    <row r="203" spans="1:11" ht="12.6" customHeight="1" x14ac:dyDescent="0.2">
      <c r="A203" s="13"/>
      <c r="B203" s="19" t="s">
        <v>65</v>
      </c>
      <c r="C203" s="15"/>
      <c r="D203" s="14">
        <v>5</v>
      </c>
      <c r="E203" s="15">
        <f t="shared" si="16"/>
        <v>116.79499999999999</v>
      </c>
      <c r="F203" s="14"/>
      <c r="G203" s="15">
        <f t="shared" si="15"/>
        <v>0</v>
      </c>
      <c r="H203" s="34"/>
      <c r="I203" s="15">
        <f t="shared" si="17"/>
        <v>65.5</v>
      </c>
      <c r="J203" s="14"/>
      <c r="K203" s="16" t="s">
        <v>897</v>
      </c>
    </row>
    <row r="204" spans="1:11" ht="12.6" customHeight="1" x14ac:dyDescent="0.2">
      <c r="A204" s="13"/>
      <c r="B204" s="19"/>
      <c r="C204" s="15"/>
      <c r="D204" s="14">
        <v>3.0640000000000001</v>
      </c>
      <c r="E204" s="15">
        <f t="shared" si="16"/>
        <v>113.73099999999999</v>
      </c>
      <c r="F204" s="22"/>
      <c r="G204" s="15">
        <f t="shared" si="15"/>
        <v>0</v>
      </c>
      <c r="H204" s="34"/>
      <c r="I204" s="15">
        <f t="shared" si="17"/>
        <v>65.5</v>
      </c>
      <c r="J204" s="14"/>
      <c r="K204" s="13" t="s">
        <v>805</v>
      </c>
    </row>
    <row r="205" spans="1:11" ht="12.6" customHeight="1" x14ac:dyDescent="0.2">
      <c r="A205" s="13">
        <v>45660</v>
      </c>
      <c r="B205" s="19"/>
      <c r="C205" s="15">
        <v>2.5</v>
      </c>
      <c r="D205" s="14"/>
      <c r="E205" s="15">
        <f t="shared" si="16"/>
        <v>116.23099999999999</v>
      </c>
      <c r="F205" s="14"/>
      <c r="G205" s="15">
        <f t="shared" si="15"/>
        <v>2.5</v>
      </c>
      <c r="H205" s="34"/>
      <c r="I205" s="15">
        <f t="shared" si="17"/>
        <v>68</v>
      </c>
      <c r="J205" s="14"/>
      <c r="K205" s="16"/>
    </row>
    <row r="206" spans="1:11" ht="12.6" customHeight="1" x14ac:dyDescent="0.2">
      <c r="A206" s="13"/>
      <c r="B206" s="19" t="s">
        <v>166</v>
      </c>
      <c r="C206" s="15"/>
      <c r="D206" s="22"/>
      <c r="E206" s="15">
        <f t="shared" si="16"/>
        <v>116.23099999999999</v>
      </c>
      <c r="F206" s="14"/>
      <c r="G206" s="15">
        <f t="shared" si="15"/>
        <v>0</v>
      </c>
      <c r="H206" s="34"/>
      <c r="I206" s="15">
        <f t="shared" si="17"/>
        <v>68</v>
      </c>
      <c r="J206" s="14"/>
      <c r="K206" s="16" t="s">
        <v>980</v>
      </c>
    </row>
    <row r="207" spans="1:11" ht="12.6" customHeight="1" x14ac:dyDescent="0.2">
      <c r="A207" s="13">
        <v>45662</v>
      </c>
      <c r="B207" s="19"/>
      <c r="C207" s="15">
        <v>2.5</v>
      </c>
      <c r="D207" s="22"/>
      <c r="E207" s="15">
        <f t="shared" si="16"/>
        <v>118.73099999999999</v>
      </c>
      <c r="F207" s="14"/>
      <c r="G207" s="15">
        <f t="shared" si="15"/>
        <v>2.5</v>
      </c>
      <c r="H207" s="34"/>
      <c r="I207" s="15">
        <f t="shared" si="17"/>
        <v>70.5</v>
      </c>
      <c r="J207" s="14"/>
      <c r="K207" s="13"/>
    </row>
    <row r="208" spans="1:11" ht="12.6" customHeight="1" x14ac:dyDescent="0.2">
      <c r="A208" s="13"/>
      <c r="B208" s="19" t="s">
        <v>67</v>
      </c>
      <c r="C208" s="15"/>
      <c r="D208" s="14"/>
      <c r="E208" s="15">
        <f t="shared" si="16"/>
        <v>118.73099999999999</v>
      </c>
      <c r="F208" s="14"/>
      <c r="G208" s="15">
        <f t="shared" si="15"/>
        <v>0</v>
      </c>
      <c r="H208" s="34">
        <v>3</v>
      </c>
      <c r="I208" s="15">
        <f t="shared" si="17"/>
        <v>67.5</v>
      </c>
      <c r="J208" s="14"/>
      <c r="K208" s="13" t="s">
        <v>981</v>
      </c>
    </row>
    <row r="209" spans="1:11" ht="12.6" customHeight="1" x14ac:dyDescent="0.2">
      <c r="A209" s="13">
        <v>45663</v>
      </c>
      <c r="B209" s="19"/>
      <c r="C209" s="15">
        <v>1.25</v>
      </c>
      <c r="D209" s="14"/>
      <c r="E209" s="15">
        <f t="shared" si="16"/>
        <v>119.98099999999999</v>
      </c>
      <c r="F209" s="22"/>
      <c r="G209" s="15">
        <f t="shared" si="15"/>
        <v>1.25</v>
      </c>
      <c r="H209" s="34"/>
      <c r="I209" s="15">
        <f t="shared" si="17"/>
        <v>68.75</v>
      </c>
      <c r="J209" s="14"/>
      <c r="K209" s="16"/>
    </row>
    <row r="210" spans="1:11" ht="12.6" customHeight="1" x14ac:dyDescent="0.2">
      <c r="A210" s="13"/>
      <c r="B210" s="19" t="s">
        <v>67</v>
      </c>
      <c r="C210" s="15"/>
      <c r="D210" s="14"/>
      <c r="E210" s="15">
        <f t="shared" si="16"/>
        <v>119.98099999999999</v>
      </c>
      <c r="F210" s="22"/>
      <c r="G210" s="15">
        <f t="shared" si="15"/>
        <v>0</v>
      </c>
      <c r="H210" s="34">
        <v>3</v>
      </c>
      <c r="I210" s="15">
        <f t="shared" si="17"/>
        <v>65.75</v>
      </c>
      <c r="J210" s="14"/>
      <c r="K210" s="13" t="s">
        <v>982</v>
      </c>
    </row>
    <row r="211" spans="1:11" ht="12.6" customHeight="1" x14ac:dyDescent="0.2">
      <c r="A211" s="13">
        <v>45664</v>
      </c>
      <c r="B211" s="19"/>
      <c r="C211" s="15">
        <v>1.25</v>
      </c>
      <c r="D211" s="14"/>
      <c r="E211" s="15">
        <f t="shared" si="16"/>
        <v>121.23099999999999</v>
      </c>
      <c r="F211" s="14"/>
      <c r="G211" s="15">
        <f t="shared" si="15"/>
        <v>1.25</v>
      </c>
      <c r="H211" s="34"/>
      <c r="I211" s="15">
        <f t="shared" si="17"/>
        <v>67</v>
      </c>
      <c r="J211" s="14"/>
      <c r="K211" s="16"/>
    </row>
    <row r="212" spans="1:11" ht="12.6" customHeight="1" x14ac:dyDescent="0.2">
      <c r="A212" s="13"/>
      <c r="B212" s="19" t="s">
        <v>47</v>
      </c>
      <c r="C212" s="15"/>
      <c r="D212" s="14"/>
      <c r="E212" s="15">
        <f t="shared" si="16"/>
        <v>121.23099999999999</v>
      </c>
      <c r="F212" s="14"/>
      <c r="G212" s="15">
        <f t="shared" si="15"/>
        <v>0</v>
      </c>
      <c r="H212" s="34">
        <v>1</v>
      </c>
      <c r="I212" s="15">
        <f t="shared" si="17"/>
        <v>66</v>
      </c>
      <c r="J212" s="14"/>
      <c r="K212" s="13" t="s">
        <v>983</v>
      </c>
    </row>
    <row r="213" spans="1:11" ht="12.6" customHeight="1" x14ac:dyDescent="0.2">
      <c r="A213" s="13">
        <v>45665</v>
      </c>
      <c r="B213" s="19"/>
      <c r="C213" s="15">
        <v>1.25</v>
      </c>
      <c r="D213" s="14"/>
      <c r="E213" s="15">
        <f t="shared" si="16"/>
        <v>122.48099999999999</v>
      </c>
      <c r="F213" s="14"/>
      <c r="G213" s="15">
        <f t="shared" si="15"/>
        <v>1.25</v>
      </c>
      <c r="H213" s="34"/>
      <c r="I213" s="15">
        <f t="shared" si="17"/>
        <v>67.25</v>
      </c>
      <c r="J213" s="14"/>
      <c r="K213" s="13"/>
    </row>
    <row r="214" spans="1:11" ht="12.6" customHeight="1" x14ac:dyDescent="0.2">
      <c r="A214" s="13"/>
      <c r="B214" s="19" t="s">
        <v>67</v>
      </c>
      <c r="C214" s="15"/>
      <c r="D214" s="14"/>
      <c r="E214" s="15">
        <f t="shared" si="16"/>
        <v>122.48099999999999</v>
      </c>
      <c r="F214" s="14"/>
      <c r="G214" s="15">
        <f t="shared" si="15"/>
        <v>0</v>
      </c>
      <c r="H214" s="14">
        <v>3</v>
      </c>
      <c r="I214" s="15">
        <f t="shared" si="17"/>
        <v>64.25</v>
      </c>
      <c r="J214" s="14"/>
      <c r="K214" s="16" t="s">
        <v>984</v>
      </c>
    </row>
    <row r="215" spans="1:11" ht="12.6" customHeight="1" x14ac:dyDescent="0.2">
      <c r="A215" s="13">
        <v>45666</v>
      </c>
      <c r="B215" s="19"/>
      <c r="C215" s="15">
        <v>1.25</v>
      </c>
      <c r="D215" s="14"/>
      <c r="E215" s="15">
        <f t="shared" si="16"/>
        <v>123.73099999999999</v>
      </c>
      <c r="F215" s="14"/>
      <c r="G215" s="15">
        <f t="shared" si="15"/>
        <v>1.25</v>
      </c>
      <c r="H215" s="14"/>
      <c r="I215" s="15">
        <f t="shared" si="17"/>
        <v>65.5</v>
      </c>
      <c r="J215" s="14"/>
      <c r="K215" s="13"/>
    </row>
    <row r="216" spans="1:11" ht="12.6" customHeight="1" x14ac:dyDescent="0.2">
      <c r="A216" s="13"/>
      <c r="B216" s="19" t="s">
        <v>47</v>
      </c>
      <c r="C216" s="15"/>
      <c r="D216" s="14"/>
      <c r="E216" s="15">
        <f t="shared" si="16"/>
        <v>123.73099999999999</v>
      </c>
      <c r="F216" s="14"/>
      <c r="G216" s="15">
        <f t="shared" si="15"/>
        <v>0</v>
      </c>
      <c r="H216" s="14">
        <v>1</v>
      </c>
      <c r="I216" s="15">
        <f t="shared" si="17"/>
        <v>64.5</v>
      </c>
      <c r="J216" s="14"/>
      <c r="K216" s="13">
        <v>45756</v>
      </c>
    </row>
    <row r="217" spans="1:11" ht="12.6" customHeight="1" x14ac:dyDescent="0.2">
      <c r="A217" s="19"/>
      <c r="B217" s="19"/>
      <c r="C217" s="15">
        <f>SUM(C191:C216)</f>
        <v>25</v>
      </c>
      <c r="D217" s="15">
        <f>SUM(D191:D216)</f>
        <v>8.0640000000000001</v>
      </c>
      <c r="E217" s="36"/>
      <c r="F217" s="39"/>
      <c r="G217" s="15">
        <f>SUM(G191:G216)</f>
        <v>25</v>
      </c>
      <c r="H217" s="15">
        <f>SUM(H191:H216)</f>
        <v>15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MARIA LEA D. DIMAANO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MARCH 25, 2013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45669</v>
      </c>
      <c r="B230" s="19"/>
      <c r="C230" s="15">
        <v>3.75</v>
      </c>
      <c r="D230" s="14"/>
      <c r="E230" s="15">
        <f>E216+C230-D230</f>
        <v>127.48099999999999</v>
      </c>
      <c r="F230" s="14"/>
      <c r="G230" s="15">
        <f>C230</f>
        <v>3.75</v>
      </c>
      <c r="H230" s="14"/>
      <c r="I230" s="15">
        <f>I216+G230-H230</f>
        <v>68.25</v>
      </c>
      <c r="J230" s="14"/>
      <c r="K230" s="16"/>
    </row>
    <row r="231" spans="1:11" ht="12.6" customHeight="1" x14ac:dyDescent="0.2">
      <c r="A231" s="13"/>
      <c r="B231" s="17" t="s">
        <v>195</v>
      </c>
      <c r="C231" s="15"/>
      <c r="D231" s="14"/>
      <c r="E231" s="15">
        <f>E230+C231-D231</f>
        <v>127.48099999999999</v>
      </c>
      <c r="F231" s="14"/>
      <c r="G231" s="15">
        <f t="shared" ref="G231:G255" si="18">C231</f>
        <v>0</v>
      </c>
      <c r="H231" s="14"/>
      <c r="I231" s="15">
        <f>I230+G231-H231</f>
        <v>68.25</v>
      </c>
      <c r="J231" s="14"/>
      <c r="K231" s="13" t="s">
        <v>985</v>
      </c>
    </row>
    <row r="232" spans="1:11" ht="12.6" customHeight="1" x14ac:dyDescent="0.2">
      <c r="A232" s="13">
        <v>46024</v>
      </c>
      <c r="B232" s="19"/>
      <c r="C232" s="15">
        <v>2.5</v>
      </c>
      <c r="D232" s="14"/>
      <c r="E232" s="15">
        <f t="shared" ref="E232:E255" si="19">E231+C232-D232</f>
        <v>129.98099999999999</v>
      </c>
      <c r="F232" s="14"/>
      <c r="G232" s="15">
        <f t="shared" si="18"/>
        <v>2.5</v>
      </c>
      <c r="H232" s="14"/>
      <c r="I232" s="15">
        <f t="shared" ref="I232:I255" si="20">I231+G232-H232</f>
        <v>70.75</v>
      </c>
      <c r="J232" s="14"/>
      <c r="K232" s="13"/>
    </row>
    <row r="233" spans="1:11" ht="12.6" customHeight="1" x14ac:dyDescent="0.2">
      <c r="A233" s="13" t="s">
        <v>987</v>
      </c>
      <c r="B233" s="19"/>
      <c r="C233" s="15">
        <v>1.208</v>
      </c>
      <c r="D233" s="14"/>
      <c r="E233" s="15">
        <f t="shared" si="19"/>
        <v>131.18899999999999</v>
      </c>
      <c r="F233" s="14"/>
      <c r="G233" s="15">
        <f t="shared" si="18"/>
        <v>1.208</v>
      </c>
      <c r="H233" s="14"/>
      <c r="I233" s="15">
        <f t="shared" si="20"/>
        <v>71.957999999999998</v>
      </c>
      <c r="J233" s="14"/>
      <c r="K233" s="16" t="s">
        <v>986</v>
      </c>
    </row>
    <row r="234" spans="1:11" ht="12.6" customHeight="1" x14ac:dyDescent="0.2">
      <c r="A234" s="13"/>
      <c r="B234" s="19"/>
      <c r="C234" s="15"/>
      <c r="D234" s="14"/>
      <c r="E234" s="15">
        <f t="shared" si="19"/>
        <v>131.18899999999999</v>
      </c>
      <c r="F234" s="14"/>
      <c r="G234" s="15">
        <f t="shared" si="18"/>
        <v>0</v>
      </c>
      <c r="H234" s="14"/>
      <c r="I234" s="15">
        <f t="shared" si="20"/>
        <v>71.957999999999998</v>
      </c>
      <c r="J234" s="14"/>
      <c r="K234" s="13"/>
    </row>
    <row r="235" spans="1:11" ht="12.6" customHeight="1" x14ac:dyDescent="0.2">
      <c r="A235" s="13"/>
      <c r="B235" s="19"/>
      <c r="C235" s="15"/>
      <c r="D235" s="14"/>
      <c r="E235" s="15">
        <f t="shared" si="19"/>
        <v>131.18899999999999</v>
      </c>
      <c r="F235" s="14"/>
      <c r="G235" s="15">
        <f t="shared" si="18"/>
        <v>0</v>
      </c>
      <c r="H235" s="14"/>
      <c r="I235" s="15">
        <f t="shared" si="20"/>
        <v>71.957999999999998</v>
      </c>
      <c r="J235" s="14"/>
      <c r="K235" s="16"/>
    </row>
    <row r="236" spans="1:11" ht="12.6" customHeight="1" x14ac:dyDescent="0.2">
      <c r="A236" s="13"/>
      <c r="B236" s="19"/>
      <c r="C236" s="15"/>
      <c r="D236" s="14"/>
      <c r="E236" s="15">
        <f t="shared" si="19"/>
        <v>131.18899999999999</v>
      </c>
      <c r="F236" s="14"/>
      <c r="G236" s="15">
        <f t="shared" si="18"/>
        <v>0</v>
      </c>
      <c r="H236" s="14"/>
      <c r="I236" s="15">
        <f t="shared" si="20"/>
        <v>71.957999999999998</v>
      </c>
      <c r="J236" s="14"/>
      <c r="K236" s="13"/>
    </row>
    <row r="237" spans="1:11" ht="12.6" customHeight="1" x14ac:dyDescent="0.2">
      <c r="A237" s="13"/>
      <c r="B237" s="19"/>
      <c r="C237" s="15"/>
      <c r="D237" s="14"/>
      <c r="E237" s="15">
        <f t="shared" si="19"/>
        <v>131.18899999999999</v>
      </c>
      <c r="F237" s="14"/>
      <c r="G237" s="15">
        <f t="shared" si="18"/>
        <v>0</v>
      </c>
      <c r="H237" s="14"/>
      <c r="I237" s="15">
        <f t="shared" si="20"/>
        <v>71.957999999999998</v>
      </c>
      <c r="J237" s="14"/>
      <c r="K237" s="13"/>
    </row>
    <row r="238" spans="1:11" ht="12.6" customHeight="1" x14ac:dyDescent="0.2">
      <c r="A238" s="13"/>
      <c r="B238" s="19"/>
      <c r="C238" s="15"/>
      <c r="D238" s="14"/>
      <c r="E238" s="15">
        <f t="shared" si="19"/>
        <v>131.18899999999999</v>
      </c>
      <c r="F238" s="14"/>
      <c r="G238" s="15">
        <f t="shared" si="18"/>
        <v>0</v>
      </c>
      <c r="H238" s="14"/>
      <c r="I238" s="15">
        <f t="shared" si="20"/>
        <v>71.957999999999998</v>
      </c>
      <c r="J238" s="14"/>
      <c r="K238" s="16"/>
    </row>
    <row r="239" spans="1:11" ht="12.6" customHeight="1" x14ac:dyDescent="0.2">
      <c r="A239" s="13"/>
      <c r="B239" s="19"/>
      <c r="C239" s="15"/>
      <c r="D239" s="14"/>
      <c r="E239" s="15">
        <f t="shared" si="19"/>
        <v>131.18899999999999</v>
      </c>
      <c r="F239" s="14"/>
      <c r="G239" s="15">
        <f t="shared" si="18"/>
        <v>0</v>
      </c>
      <c r="H239" s="14"/>
      <c r="I239" s="15">
        <f t="shared" si="20"/>
        <v>71.957999999999998</v>
      </c>
      <c r="J239" s="14"/>
      <c r="K239" s="13"/>
    </row>
    <row r="240" spans="1:11" ht="12.6" customHeight="1" x14ac:dyDescent="0.2">
      <c r="A240" s="13"/>
      <c r="B240" s="19"/>
      <c r="C240" s="15"/>
      <c r="D240" s="14"/>
      <c r="E240" s="15">
        <f t="shared" si="19"/>
        <v>131.18899999999999</v>
      </c>
      <c r="F240" s="14"/>
      <c r="G240" s="15">
        <f t="shared" si="18"/>
        <v>0</v>
      </c>
      <c r="H240" s="14"/>
      <c r="I240" s="15">
        <f t="shared" si="20"/>
        <v>71.957999999999998</v>
      </c>
      <c r="J240" s="14"/>
      <c r="K240" s="16"/>
    </row>
    <row r="241" spans="1:11" ht="12.6" customHeight="1" x14ac:dyDescent="0.2">
      <c r="A241" s="13"/>
      <c r="B241" s="19"/>
      <c r="C241" s="15"/>
      <c r="D241" s="14"/>
      <c r="E241" s="15">
        <f t="shared" si="19"/>
        <v>131.18899999999999</v>
      </c>
      <c r="F241" s="14"/>
      <c r="G241" s="15">
        <f t="shared" si="18"/>
        <v>0</v>
      </c>
      <c r="H241" s="14"/>
      <c r="I241" s="15">
        <f t="shared" si="20"/>
        <v>71.957999999999998</v>
      </c>
      <c r="J241" s="14"/>
      <c r="K241" s="13"/>
    </row>
    <row r="242" spans="1:11" ht="12.6" customHeight="1" x14ac:dyDescent="0.2">
      <c r="A242" s="13"/>
      <c r="B242" s="19"/>
      <c r="C242" s="15"/>
      <c r="D242" s="14"/>
      <c r="E242" s="15">
        <f t="shared" si="19"/>
        <v>131.18899999999999</v>
      </c>
      <c r="F242" s="14"/>
      <c r="G242" s="15">
        <f t="shared" si="18"/>
        <v>0</v>
      </c>
      <c r="H242" s="14"/>
      <c r="I242" s="15">
        <f t="shared" si="20"/>
        <v>71.957999999999998</v>
      </c>
      <c r="J242" s="14"/>
      <c r="K242" s="13"/>
    </row>
    <row r="243" spans="1:11" ht="12.6" customHeight="1" x14ac:dyDescent="0.2">
      <c r="A243" s="13"/>
      <c r="B243" s="19"/>
      <c r="C243" s="15"/>
      <c r="D243" s="14"/>
      <c r="E243" s="15">
        <f t="shared" si="19"/>
        <v>131.18899999999999</v>
      </c>
      <c r="F243" s="14"/>
      <c r="G243" s="15">
        <f t="shared" si="18"/>
        <v>0</v>
      </c>
      <c r="H243" s="14"/>
      <c r="I243" s="15">
        <f t="shared" si="20"/>
        <v>71.957999999999998</v>
      </c>
      <c r="J243" s="14"/>
      <c r="K243" s="13"/>
    </row>
    <row r="244" spans="1:11" ht="12.6" customHeight="1" x14ac:dyDescent="0.2">
      <c r="A244" s="13"/>
      <c r="B244" s="19"/>
      <c r="C244" s="15"/>
      <c r="D244" s="14"/>
      <c r="E244" s="15">
        <f t="shared" si="19"/>
        <v>131.18899999999999</v>
      </c>
      <c r="F244" s="14"/>
      <c r="G244" s="15">
        <f t="shared" si="18"/>
        <v>0</v>
      </c>
      <c r="H244" s="14"/>
      <c r="I244" s="15">
        <f t="shared" si="20"/>
        <v>71.957999999999998</v>
      </c>
      <c r="J244" s="14"/>
      <c r="K244" s="13"/>
    </row>
    <row r="245" spans="1:11" ht="12.6" customHeight="1" x14ac:dyDescent="0.2">
      <c r="A245" s="13"/>
      <c r="B245" s="19"/>
      <c r="C245" s="15"/>
      <c r="D245" s="14"/>
      <c r="E245" s="15">
        <f t="shared" si="19"/>
        <v>131.18899999999999</v>
      </c>
      <c r="F245" s="14"/>
      <c r="G245" s="15">
        <f t="shared" si="18"/>
        <v>0</v>
      </c>
      <c r="H245" s="14"/>
      <c r="I245" s="15">
        <f t="shared" si="20"/>
        <v>71.957999999999998</v>
      </c>
      <c r="J245" s="14"/>
      <c r="K245" s="13"/>
    </row>
    <row r="246" spans="1:11" ht="12.6" customHeight="1" x14ac:dyDescent="0.2">
      <c r="A246" s="16"/>
      <c r="B246" s="19"/>
      <c r="C246" s="15"/>
      <c r="D246" s="14"/>
      <c r="E246" s="15">
        <f t="shared" si="19"/>
        <v>131.18899999999999</v>
      </c>
      <c r="F246" s="14"/>
      <c r="G246" s="15">
        <f t="shared" si="18"/>
        <v>0</v>
      </c>
      <c r="H246" s="14"/>
      <c r="I246" s="15">
        <f t="shared" si="20"/>
        <v>71.957999999999998</v>
      </c>
      <c r="J246" s="14"/>
      <c r="K246" s="13"/>
    </row>
    <row r="247" spans="1:11" ht="12.6" customHeight="1" x14ac:dyDescent="0.2">
      <c r="A247" s="13"/>
      <c r="B247" s="19"/>
      <c r="C247" s="15"/>
      <c r="D247" s="15"/>
      <c r="E247" s="15">
        <f t="shared" si="19"/>
        <v>131.18899999999999</v>
      </c>
      <c r="F247" s="14"/>
      <c r="G247" s="15">
        <f t="shared" si="18"/>
        <v>0</v>
      </c>
      <c r="H247" s="14"/>
      <c r="I247" s="15">
        <f t="shared" si="20"/>
        <v>71.957999999999998</v>
      </c>
      <c r="J247" s="14"/>
      <c r="K247" s="13"/>
    </row>
    <row r="248" spans="1:11" ht="12.6" customHeight="1" x14ac:dyDescent="0.2">
      <c r="A248" s="13"/>
      <c r="B248" s="19"/>
      <c r="C248" s="15"/>
      <c r="D248" s="14"/>
      <c r="E248" s="15">
        <f t="shared" si="19"/>
        <v>131.18899999999999</v>
      </c>
      <c r="F248" s="14"/>
      <c r="G248" s="15">
        <f t="shared" si="18"/>
        <v>0</v>
      </c>
      <c r="H248" s="14"/>
      <c r="I248" s="15">
        <f t="shared" si="20"/>
        <v>71.957999999999998</v>
      </c>
      <c r="J248" s="14"/>
      <c r="K248" s="13"/>
    </row>
    <row r="249" spans="1:11" ht="12.6" customHeight="1" x14ac:dyDescent="0.2">
      <c r="A249" s="16"/>
      <c r="B249" s="19"/>
      <c r="C249" s="15"/>
      <c r="D249" s="15"/>
      <c r="E249" s="15">
        <f t="shared" si="19"/>
        <v>131.18899999999999</v>
      </c>
      <c r="F249" s="14"/>
      <c r="G249" s="15">
        <f t="shared" si="18"/>
        <v>0</v>
      </c>
      <c r="H249" s="14"/>
      <c r="I249" s="15">
        <f t="shared" si="20"/>
        <v>71.957999999999998</v>
      </c>
      <c r="J249" s="14"/>
      <c r="K249" s="13"/>
    </row>
    <row r="250" spans="1:11" ht="12.6" customHeight="1" x14ac:dyDescent="0.2">
      <c r="A250" s="13"/>
      <c r="B250" s="19"/>
      <c r="C250" s="15"/>
      <c r="D250" s="14"/>
      <c r="E250" s="15">
        <f t="shared" si="19"/>
        <v>131.18899999999999</v>
      </c>
      <c r="F250" s="14"/>
      <c r="G250" s="15">
        <f t="shared" si="18"/>
        <v>0</v>
      </c>
      <c r="H250" s="14"/>
      <c r="I250" s="15">
        <f t="shared" si="20"/>
        <v>71.957999999999998</v>
      </c>
      <c r="J250" s="14"/>
      <c r="K250" s="16"/>
    </row>
    <row r="251" spans="1:11" ht="12.6" customHeight="1" x14ac:dyDescent="0.2">
      <c r="A251" s="13"/>
      <c r="B251" s="19"/>
      <c r="C251" s="15"/>
      <c r="D251" s="14"/>
      <c r="E251" s="15">
        <f t="shared" si="19"/>
        <v>131.18899999999999</v>
      </c>
      <c r="F251" s="14"/>
      <c r="G251" s="15">
        <f t="shared" si="18"/>
        <v>0</v>
      </c>
      <c r="H251" s="14"/>
      <c r="I251" s="15">
        <f t="shared" si="20"/>
        <v>71.957999999999998</v>
      </c>
      <c r="J251" s="14"/>
      <c r="K251" s="13"/>
    </row>
    <row r="252" spans="1:11" ht="12.6" customHeight="1" x14ac:dyDescent="0.2">
      <c r="A252" s="13"/>
      <c r="B252" s="19"/>
      <c r="C252" s="15"/>
      <c r="D252" s="14"/>
      <c r="E252" s="15">
        <f t="shared" si="19"/>
        <v>131.18899999999999</v>
      </c>
      <c r="F252" s="14"/>
      <c r="G252" s="15">
        <f t="shared" si="18"/>
        <v>0</v>
      </c>
      <c r="H252" s="14"/>
      <c r="I252" s="15">
        <f t="shared" si="20"/>
        <v>71.957999999999998</v>
      </c>
      <c r="J252" s="14"/>
      <c r="K252" s="13"/>
    </row>
    <row r="253" spans="1:11" ht="12.6" customHeight="1" x14ac:dyDescent="0.2">
      <c r="A253" s="13"/>
      <c r="B253" s="19"/>
      <c r="C253" s="15"/>
      <c r="D253" s="14"/>
      <c r="E253" s="15">
        <f t="shared" si="19"/>
        <v>131.18899999999999</v>
      </c>
      <c r="F253" s="14"/>
      <c r="G253" s="15">
        <f t="shared" si="18"/>
        <v>0</v>
      </c>
      <c r="H253" s="14"/>
      <c r="I253" s="15">
        <f t="shared" si="20"/>
        <v>71.957999999999998</v>
      </c>
      <c r="J253" s="14"/>
      <c r="K253" s="13"/>
    </row>
    <row r="254" spans="1:11" ht="12.6" customHeight="1" x14ac:dyDescent="0.2">
      <c r="A254" s="13"/>
      <c r="B254" s="19"/>
      <c r="C254" s="15"/>
      <c r="D254" s="14"/>
      <c r="E254" s="15">
        <f t="shared" si="19"/>
        <v>131.18899999999999</v>
      </c>
      <c r="F254" s="14"/>
      <c r="G254" s="15">
        <f t="shared" si="18"/>
        <v>0</v>
      </c>
      <c r="H254" s="14"/>
      <c r="I254" s="15">
        <f t="shared" si="20"/>
        <v>71.957999999999998</v>
      </c>
      <c r="J254" s="14"/>
      <c r="K254" s="16"/>
    </row>
    <row r="255" spans="1:11" ht="12.6" customHeight="1" x14ac:dyDescent="0.2">
      <c r="A255" s="13"/>
      <c r="B255" s="19"/>
      <c r="C255" s="15"/>
      <c r="D255" s="14"/>
      <c r="E255" s="15">
        <f t="shared" si="19"/>
        <v>131.18899999999999</v>
      </c>
      <c r="F255" s="14"/>
      <c r="G255" s="15">
        <f t="shared" si="18"/>
        <v>0</v>
      </c>
      <c r="H255" s="14"/>
      <c r="I255" s="15">
        <f t="shared" si="20"/>
        <v>71.957999999999998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7.4580000000000002</v>
      </c>
      <c r="D256" s="36">
        <f>SUM(D230:D255)</f>
        <v>0</v>
      </c>
      <c r="E256" s="36"/>
      <c r="F256" s="37"/>
      <c r="G256" s="36">
        <f>SUM(G230:G255)</f>
        <v>7.4580000000000002</v>
      </c>
      <c r="H256" s="36">
        <f>SUM(H230:H255)</f>
        <v>0</v>
      </c>
      <c r="I256" s="15"/>
      <c r="J256" s="14"/>
      <c r="K256" s="16"/>
    </row>
    <row r="257" spans="2:11" ht="12.6" customHeight="1" x14ac:dyDescent="0.2">
      <c r="H257" s="27" t="s">
        <v>23</v>
      </c>
      <c r="J257" s="27" t="s">
        <v>24</v>
      </c>
    </row>
    <row r="261" spans="2:11" ht="12.6" customHeight="1" x14ac:dyDescent="0.2">
      <c r="C261" s="26">
        <f>SUM(C256+C217+C182+C143+C108+C69+C34)</f>
        <v>193.958</v>
      </c>
      <c r="D261" s="26">
        <f>SUM(D256+D217+D182+D143+D108+D69+D34)</f>
        <v>62.768999999999998</v>
      </c>
      <c r="E261" s="46"/>
      <c r="G261" s="26">
        <f>SUM(G256+G217+G182+G143+G108+G69+G34)</f>
        <v>193.958</v>
      </c>
      <c r="H261" s="26">
        <f>SUM(H256+H217+H182+H143+H108+H69+H34)</f>
        <v>122</v>
      </c>
      <c r="I261" s="46"/>
      <c r="K261" s="28">
        <v>319.875</v>
      </c>
    </row>
    <row r="262" spans="2:11" ht="12.6" customHeight="1" x14ac:dyDescent="0.2">
      <c r="K262" s="47">
        <f>G261-K261</f>
        <v>-125.917</v>
      </c>
    </row>
    <row r="271" spans="2:11" ht="12.6" customHeight="1" x14ac:dyDescent="0.2">
      <c r="B271" s="3" t="s">
        <v>33</v>
      </c>
      <c r="E271" s="46"/>
      <c r="F271" s="48">
        <f>C261</f>
        <v>193.958</v>
      </c>
      <c r="H271" s="48">
        <f>F271</f>
        <v>193.958</v>
      </c>
    </row>
    <row r="272" spans="2:11" ht="12.6" customHeight="1" x14ac:dyDescent="0.2">
      <c r="B272" s="3" t="s">
        <v>34</v>
      </c>
      <c r="E272" s="46"/>
      <c r="F272" s="48">
        <f>D261</f>
        <v>62.768999999999998</v>
      </c>
      <c r="H272" s="48">
        <f>H261</f>
        <v>122</v>
      </c>
    </row>
    <row r="273" spans="2:11" ht="12.6" customHeight="1" x14ac:dyDescent="0.2">
      <c r="B273" s="3" t="s">
        <v>35</v>
      </c>
      <c r="E273" s="46"/>
      <c r="F273" s="49"/>
      <c r="G273" s="50"/>
      <c r="H273" s="49"/>
    </row>
    <row r="274" spans="2:11" ht="12.6" customHeight="1" thickBot="1" x14ac:dyDescent="0.25">
      <c r="B274" s="3" t="s">
        <v>36</v>
      </c>
      <c r="E274" s="46"/>
      <c r="F274" s="51"/>
      <c r="G274" s="52"/>
      <c r="H274" s="51"/>
    </row>
    <row r="275" spans="2:11" ht="12.6" customHeight="1" thickTop="1" x14ac:dyDescent="0.2">
      <c r="B275" s="3" t="s">
        <v>37</v>
      </c>
      <c r="E275" s="46"/>
      <c r="F275" s="53">
        <f>SUM(F271-F272)</f>
        <v>131.18899999999999</v>
      </c>
      <c r="G275" s="50"/>
      <c r="H275" s="53">
        <f>SUM(H271-H272)</f>
        <v>71.957999999999998</v>
      </c>
      <c r="I275" s="54">
        <f>SUM(H275+F275)</f>
        <v>203.14699999999999</v>
      </c>
    </row>
    <row r="276" spans="2:11" ht="12.6" customHeight="1" x14ac:dyDescent="0.2">
      <c r="E276" s="46"/>
    </row>
    <row r="277" spans="2:11" ht="12.6" customHeight="1" x14ac:dyDescent="0.2">
      <c r="B277" s="1" t="s">
        <v>38</v>
      </c>
      <c r="C277" s="97" t="s">
        <v>39</v>
      </c>
      <c r="D277" s="97"/>
      <c r="E277" s="98" t="s">
        <v>40</v>
      </c>
      <c r="F277" s="98"/>
      <c r="H277" s="99" t="s">
        <v>41</v>
      </c>
      <c r="I277" s="99"/>
      <c r="J277" s="99"/>
    </row>
    <row r="278" spans="2:11" ht="12.6" customHeight="1" thickBot="1" x14ac:dyDescent="0.25">
      <c r="B278" s="55">
        <v>14509</v>
      </c>
      <c r="C278" s="97">
        <f>I275</f>
        <v>203.14699999999999</v>
      </c>
      <c r="D278" s="97"/>
      <c r="E278" s="100">
        <v>4.8192699999999998E-2</v>
      </c>
      <c r="F278" s="100"/>
      <c r="H278" s="101">
        <f>B278*C278*E278</f>
        <v>142046.04701189208</v>
      </c>
      <c r="I278" s="101"/>
      <c r="J278" s="101"/>
      <c r="K278" s="56"/>
    </row>
    <row r="279" spans="2:11" ht="12.6" customHeight="1" thickTop="1" x14ac:dyDescent="0.2"/>
  </sheetData>
  <mergeCells count="76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C277:D277"/>
    <mergeCell ref="E277:F277"/>
    <mergeCell ref="H277:J277"/>
    <mergeCell ref="C278:D278"/>
    <mergeCell ref="E278:F278"/>
    <mergeCell ref="H278:J278"/>
  </mergeCells>
  <pageMargins left="0.25" right="0.25" top="0.75" bottom="0.75" header="0.3" footer="0.3"/>
  <pageSetup paperSize="5" orientation="portrait" horizontalDpi="0" verticalDpi="0" copies="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0"/>
  <sheetViews>
    <sheetView topLeftCell="A389" zoomScale="200" zoomScaleNormal="200" workbookViewId="0">
      <selection activeCell="H399" sqref="H399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3" ht="12.6" customHeight="1" x14ac:dyDescent="0.2">
      <c r="A1" s="102" t="s">
        <v>988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989</v>
      </c>
      <c r="M1" s="3" t="s">
        <v>992</v>
      </c>
    </row>
    <row r="3" spans="1:13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3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3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3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3" ht="12.6" customHeight="1" x14ac:dyDescent="0.2">
      <c r="A7" s="13">
        <v>29953</v>
      </c>
      <c r="B7" s="14" t="s">
        <v>990</v>
      </c>
      <c r="C7" s="15">
        <v>0.66700000000000004</v>
      </c>
      <c r="D7" s="14"/>
      <c r="E7" s="15">
        <f>C7+D7</f>
        <v>0.66700000000000004</v>
      </c>
      <c r="F7" s="14"/>
      <c r="G7" s="15">
        <f>C7</f>
        <v>0.66700000000000004</v>
      </c>
      <c r="H7" s="14"/>
      <c r="I7" s="15">
        <f>G7+H7</f>
        <v>0.66700000000000004</v>
      </c>
      <c r="J7" s="14"/>
      <c r="K7" s="16"/>
    </row>
    <row r="8" spans="1:13" ht="12.6" customHeight="1" x14ac:dyDescent="0.2">
      <c r="A8" s="13">
        <v>30317</v>
      </c>
      <c r="B8" s="17"/>
      <c r="C8" s="15">
        <v>13.75</v>
      </c>
      <c r="D8" s="18"/>
      <c r="E8" s="15">
        <f>E7+C8-D8</f>
        <v>14.417</v>
      </c>
      <c r="F8" s="14"/>
      <c r="G8" s="15">
        <f t="shared" ref="G8:G33" si="0">C8</f>
        <v>13.75</v>
      </c>
      <c r="H8" s="14"/>
      <c r="I8" s="15">
        <f>I7+G8-H8</f>
        <v>14.417</v>
      </c>
      <c r="J8" s="14"/>
      <c r="K8" s="16"/>
    </row>
    <row r="9" spans="1:13" ht="12.6" customHeight="1" x14ac:dyDescent="0.2">
      <c r="A9" s="13">
        <v>30682</v>
      </c>
      <c r="B9" s="17"/>
      <c r="C9" s="15">
        <v>15</v>
      </c>
      <c r="D9" s="14"/>
      <c r="E9" s="15">
        <f t="shared" ref="E9:E33" si="1">E8+C9-D9</f>
        <v>29.417000000000002</v>
      </c>
      <c r="F9" s="14"/>
      <c r="G9" s="15">
        <f t="shared" si="0"/>
        <v>15</v>
      </c>
      <c r="H9" s="14"/>
      <c r="I9" s="15">
        <f t="shared" ref="I9:I34" si="2">I8+G9-H9</f>
        <v>29.417000000000002</v>
      </c>
      <c r="J9" s="14"/>
      <c r="K9" s="16"/>
    </row>
    <row r="10" spans="1:13" ht="12.6" customHeight="1" x14ac:dyDescent="0.2">
      <c r="A10" s="13">
        <v>31048</v>
      </c>
      <c r="B10" s="19"/>
      <c r="C10" s="15">
        <v>15</v>
      </c>
      <c r="D10" s="14"/>
      <c r="E10" s="15">
        <f t="shared" si="1"/>
        <v>44.417000000000002</v>
      </c>
      <c r="F10" s="14"/>
      <c r="G10" s="15">
        <f t="shared" si="0"/>
        <v>15</v>
      </c>
      <c r="H10" s="14"/>
      <c r="I10" s="15">
        <f t="shared" si="2"/>
        <v>44.417000000000002</v>
      </c>
      <c r="J10" s="14"/>
      <c r="K10" s="13"/>
    </row>
    <row r="11" spans="1:13" ht="12.6" customHeight="1" x14ac:dyDescent="0.2">
      <c r="A11" s="13">
        <v>31413</v>
      </c>
      <c r="B11" s="17"/>
      <c r="C11" s="15">
        <v>15</v>
      </c>
      <c r="D11" s="14"/>
      <c r="E11" s="15">
        <f t="shared" si="1"/>
        <v>59.417000000000002</v>
      </c>
      <c r="F11" s="14"/>
      <c r="G11" s="15">
        <f t="shared" si="0"/>
        <v>15</v>
      </c>
      <c r="H11" s="14"/>
      <c r="I11" s="15">
        <f t="shared" si="2"/>
        <v>59.417000000000002</v>
      </c>
      <c r="J11" s="14"/>
      <c r="K11" s="20"/>
    </row>
    <row r="12" spans="1:13" ht="12.6" customHeight="1" x14ac:dyDescent="0.2">
      <c r="A12" s="13">
        <v>31778</v>
      </c>
      <c r="B12" s="19"/>
      <c r="C12" s="15">
        <v>15</v>
      </c>
      <c r="D12" s="14"/>
      <c r="E12" s="15">
        <f t="shared" si="1"/>
        <v>74.417000000000002</v>
      </c>
      <c r="F12" s="14"/>
      <c r="G12" s="15">
        <f t="shared" si="0"/>
        <v>15</v>
      </c>
      <c r="H12" s="14"/>
      <c r="I12" s="15">
        <f t="shared" si="2"/>
        <v>74.417000000000002</v>
      </c>
      <c r="J12" s="14"/>
      <c r="K12" s="13"/>
    </row>
    <row r="13" spans="1:13" ht="12.6" customHeight="1" x14ac:dyDescent="0.2">
      <c r="A13" s="13"/>
      <c r="B13" s="17" t="s">
        <v>56</v>
      </c>
      <c r="C13" s="15"/>
      <c r="D13" s="14">
        <v>4</v>
      </c>
      <c r="E13" s="15">
        <f t="shared" si="1"/>
        <v>70.417000000000002</v>
      </c>
      <c r="F13" s="14"/>
      <c r="G13" s="15">
        <f t="shared" si="0"/>
        <v>0</v>
      </c>
      <c r="H13" s="14"/>
      <c r="I13" s="15">
        <f t="shared" si="2"/>
        <v>74.417000000000002</v>
      </c>
      <c r="J13" s="14"/>
      <c r="K13" s="13" t="s">
        <v>991</v>
      </c>
    </row>
    <row r="14" spans="1:13" ht="12.6" customHeight="1" x14ac:dyDescent="0.2">
      <c r="A14" s="13">
        <v>32143</v>
      </c>
      <c r="B14" s="17"/>
      <c r="C14" s="15">
        <v>15</v>
      </c>
      <c r="D14" s="14"/>
      <c r="E14" s="15">
        <f t="shared" si="1"/>
        <v>85.417000000000002</v>
      </c>
      <c r="F14" s="14"/>
      <c r="G14" s="15">
        <f t="shared" si="0"/>
        <v>15</v>
      </c>
      <c r="H14" s="14"/>
      <c r="I14" s="15">
        <f t="shared" si="2"/>
        <v>89.417000000000002</v>
      </c>
      <c r="J14" s="14"/>
      <c r="K14" s="13"/>
    </row>
    <row r="15" spans="1:13" ht="12.6" customHeight="1" x14ac:dyDescent="0.2">
      <c r="A15" s="13"/>
      <c r="B15" s="17" t="s">
        <v>57</v>
      </c>
      <c r="C15" s="15"/>
      <c r="D15" s="14">
        <v>1</v>
      </c>
      <c r="E15" s="15">
        <f t="shared" si="1"/>
        <v>84.417000000000002</v>
      </c>
      <c r="F15" s="14"/>
      <c r="G15" s="15">
        <f t="shared" si="0"/>
        <v>0</v>
      </c>
      <c r="H15" s="14"/>
      <c r="I15" s="15">
        <f t="shared" si="2"/>
        <v>89.417000000000002</v>
      </c>
      <c r="J15" s="14"/>
      <c r="K15" s="13" t="s">
        <v>993</v>
      </c>
    </row>
    <row r="16" spans="1:13" ht="12.6" customHeight="1" x14ac:dyDescent="0.2">
      <c r="A16" s="13">
        <v>32509</v>
      </c>
      <c r="B16" s="19"/>
      <c r="C16" s="15">
        <v>15</v>
      </c>
      <c r="D16" s="14"/>
      <c r="E16" s="15">
        <f t="shared" si="1"/>
        <v>99.417000000000002</v>
      </c>
      <c r="F16" s="14"/>
      <c r="G16" s="15">
        <f t="shared" si="0"/>
        <v>15</v>
      </c>
      <c r="H16" s="14"/>
      <c r="I16" s="15">
        <f t="shared" si="2"/>
        <v>104.417</v>
      </c>
      <c r="J16" s="14"/>
      <c r="K16" s="13"/>
    </row>
    <row r="17" spans="1:11" ht="12.6" customHeight="1" x14ac:dyDescent="0.2">
      <c r="A17" s="13"/>
      <c r="B17" s="17" t="s">
        <v>65</v>
      </c>
      <c r="C17" s="15"/>
      <c r="D17" s="14">
        <v>5</v>
      </c>
      <c r="E17" s="15">
        <f t="shared" si="1"/>
        <v>94.417000000000002</v>
      </c>
      <c r="F17" s="14"/>
      <c r="G17" s="15">
        <f t="shared" si="0"/>
        <v>0</v>
      </c>
      <c r="H17" s="14"/>
      <c r="I17" s="15">
        <f t="shared" si="2"/>
        <v>104.417</v>
      </c>
      <c r="J17" s="14"/>
      <c r="K17" s="13" t="s">
        <v>62</v>
      </c>
    </row>
    <row r="18" spans="1:11" ht="12.6" customHeight="1" x14ac:dyDescent="0.2">
      <c r="A18" s="13">
        <v>32874</v>
      </c>
      <c r="B18" s="17"/>
      <c r="C18" s="15">
        <v>15</v>
      </c>
      <c r="D18" s="14"/>
      <c r="E18" s="15">
        <f t="shared" si="1"/>
        <v>109.417</v>
      </c>
      <c r="F18" s="14"/>
      <c r="G18" s="15">
        <f t="shared" si="0"/>
        <v>15</v>
      </c>
      <c r="H18" s="14"/>
      <c r="I18" s="15">
        <f t="shared" si="2"/>
        <v>119.417</v>
      </c>
      <c r="J18" s="14"/>
      <c r="K18" s="13"/>
    </row>
    <row r="19" spans="1:11" ht="12.6" customHeight="1" x14ac:dyDescent="0.2">
      <c r="A19" s="13"/>
      <c r="B19" s="17" t="s">
        <v>65</v>
      </c>
      <c r="C19" s="15"/>
      <c r="D19" s="14">
        <v>5</v>
      </c>
      <c r="E19" s="15">
        <f t="shared" si="1"/>
        <v>104.417</v>
      </c>
      <c r="F19" s="14"/>
      <c r="G19" s="15">
        <f t="shared" si="0"/>
        <v>0</v>
      </c>
      <c r="H19" s="14"/>
      <c r="I19" s="15">
        <f t="shared" si="2"/>
        <v>119.417</v>
      </c>
      <c r="J19" s="14"/>
      <c r="K19" s="13" t="s">
        <v>64</v>
      </c>
    </row>
    <row r="20" spans="1:11" ht="12.6" customHeight="1" x14ac:dyDescent="0.2">
      <c r="A20" s="13">
        <v>33239</v>
      </c>
      <c r="B20" s="17"/>
      <c r="C20" s="15">
        <v>15</v>
      </c>
      <c r="D20" s="21"/>
      <c r="E20" s="15">
        <f t="shared" si="1"/>
        <v>119.417</v>
      </c>
      <c r="F20" s="14"/>
      <c r="G20" s="15">
        <f t="shared" si="0"/>
        <v>15</v>
      </c>
      <c r="H20" s="14"/>
      <c r="I20" s="15">
        <f t="shared" si="2"/>
        <v>134.417</v>
      </c>
      <c r="J20" s="14"/>
      <c r="K20" s="13"/>
    </row>
    <row r="21" spans="1:11" ht="12.6" customHeight="1" x14ac:dyDescent="0.2">
      <c r="A21" s="13"/>
      <c r="B21" s="17" t="s">
        <v>65</v>
      </c>
      <c r="C21" s="15"/>
      <c r="D21" s="14">
        <v>5</v>
      </c>
      <c r="E21" s="15">
        <f t="shared" si="1"/>
        <v>114.417</v>
      </c>
      <c r="F21" s="14"/>
      <c r="G21" s="15">
        <f t="shared" si="0"/>
        <v>0</v>
      </c>
      <c r="H21" s="14"/>
      <c r="I21" s="15">
        <f t="shared" si="2"/>
        <v>134.417</v>
      </c>
      <c r="J21" s="14"/>
      <c r="K21" s="13" t="s">
        <v>994</v>
      </c>
    </row>
    <row r="22" spans="1:11" ht="12.6" customHeight="1" x14ac:dyDescent="0.2">
      <c r="A22" s="13">
        <v>33604</v>
      </c>
      <c r="B22" s="17"/>
      <c r="C22" s="15">
        <v>15</v>
      </c>
      <c r="D22" s="14"/>
      <c r="E22" s="15">
        <f t="shared" si="1"/>
        <v>129.417</v>
      </c>
      <c r="F22" s="14"/>
      <c r="G22" s="15">
        <f t="shared" si="0"/>
        <v>15</v>
      </c>
      <c r="H22" s="14"/>
      <c r="I22" s="15">
        <f t="shared" si="2"/>
        <v>149.417</v>
      </c>
      <c r="J22" s="14"/>
      <c r="K22" s="13"/>
    </row>
    <row r="23" spans="1:11" ht="12.6" customHeight="1" x14ac:dyDescent="0.2">
      <c r="A23" s="13"/>
      <c r="B23" s="17" t="s">
        <v>65</v>
      </c>
      <c r="C23" s="15"/>
      <c r="D23" s="14">
        <v>5</v>
      </c>
      <c r="E23" s="15">
        <f t="shared" si="1"/>
        <v>124.417</v>
      </c>
      <c r="F23" s="14"/>
      <c r="G23" s="15">
        <f t="shared" si="0"/>
        <v>0</v>
      </c>
      <c r="H23" s="14"/>
      <c r="I23" s="15">
        <f t="shared" si="2"/>
        <v>149.417</v>
      </c>
      <c r="J23" s="14"/>
      <c r="K23" s="13" t="s">
        <v>68</v>
      </c>
    </row>
    <row r="24" spans="1:11" ht="12.6" customHeight="1" x14ac:dyDescent="0.2">
      <c r="A24" s="13">
        <v>33611</v>
      </c>
      <c r="B24" s="19"/>
      <c r="C24" s="15">
        <v>8.75</v>
      </c>
      <c r="D24" s="14"/>
      <c r="E24" s="15">
        <f t="shared" si="1"/>
        <v>133.167</v>
      </c>
      <c r="F24" s="14"/>
      <c r="G24" s="15">
        <f t="shared" si="0"/>
        <v>8.75</v>
      </c>
      <c r="H24" s="14"/>
      <c r="I24" s="15">
        <f t="shared" si="2"/>
        <v>158.167</v>
      </c>
      <c r="J24" s="14"/>
      <c r="K24" s="13"/>
    </row>
    <row r="25" spans="1:11" ht="12.6" customHeight="1" x14ac:dyDescent="0.2">
      <c r="A25" s="13"/>
      <c r="B25" s="17" t="s">
        <v>60</v>
      </c>
      <c r="C25" s="15"/>
      <c r="D25" s="14">
        <v>5</v>
      </c>
      <c r="E25" s="15">
        <f t="shared" si="1"/>
        <v>128.167</v>
      </c>
      <c r="F25" s="14"/>
      <c r="G25" s="15">
        <f t="shared" si="0"/>
        <v>0</v>
      </c>
      <c r="H25" s="14"/>
      <c r="I25" s="15">
        <f t="shared" si="2"/>
        <v>158.167</v>
      </c>
      <c r="J25" s="14"/>
      <c r="K25" s="13" t="s">
        <v>995</v>
      </c>
    </row>
    <row r="26" spans="1:11" ht="12.6" customHeight="1" x14ac:dyDescent="0.2">
      <c r="A26" s="13">
        <v>33971</v>
      </c>
      <c r="B26" s="19"/>
      <c r="C26" s="15">
        <v>7.5</v>
      </c>
      <c r="D26" s="14"/>
      <c r="E26" s="15">
        <f t="shared" si="1"/>
        <v>135.667</v>
      </c>
      <c r="F26" s="14"/>
      <c r="G26" s="15">
        <f t="shared" si="0"/>
        <v>7.5</v>
      </c>
      <c r="H26" s="14"/>
      <c r="I26" s="15">
        <f t="shared" si="2"/>
        <v>165.667</v>
      </c>
      <c r="J26" s="14"/>
      <c r="K26" s="13"/>
    </row>
    <row r="27" spans="1:11" ht="12.6" customHeight="1" x14ac:dyDescent="0.2">
      <c r="A27" s="13"/>
      <c r="B27" s="17" t="s">
        <v>60</v>
      </c>
      <c r="C27" s="15"/>
      <c r="D27" s="14">
        <v>5</v>
      </c>
      <c r="E27" s="15">
        <f t="shared" si="1"/>
        <v>130.667</v>
      </c>
      <c r="F27" s="14"/>
      <c r="G27" s="15">
        <f t="shared" si="0"/>
        <v>0</v>
      </c>
      <c r="H27" s="14"/>
      <c r="I27" s="15">
        <f t="shared" si="2"/>
        <v>165.667</v>
      </c>
      <c r="J27" s="14"/>
      <c r="K27" s="13" t="s">
        <v>996</v>
      </c>
    </row>
    <row r="28" spans="1:11" ht="12.6" customHeight="1" x14ac:dyDescent="0.2">
      <c r="A28" s="13">
        <v>33972</v>
      </c>
      <c r="B28" s="19"/>
      <c r="C28" s="15">
        <v>1.25</v>
      </c>
      <c r="D28" s="14"/>
      <c r="E28" s="15">
        <f t="shared" si="1"/>
        <v>131.917</v>
      </c>
      <c r="F28" s="14"/>
      <c r="G28" s="15">
        <f t="shared" si="0"/>
        <v>1.25</v>
      </c>
      <c r="H28" s="14"/>
      <c r="I28" s="15">
        <f t="shared" si="2"/>
        <v>166.917</v>
      </c>
      <c r="J28" s="14"/>
      <c r="K28" s="13"/>
    </row>
    <row r="29" spans="1:11" ht="12.6" customHeight="1" x14ac:dyDescent="0.2">
      <c r="A29" s="13"/>
      <c r="B29" s="19" t="s">
        <v>52</v>
      </c>
      <c r="C29" s="15"/>
      <c r="D29" s="14"/>
      <c r="E29" s="15">
        <f t="shared" si="1"/>
        <v>131.917</v>
      </c>
      <c r="F29" s="14"/>
      <c r="G29" s="15">
        <f t="shared" si="0"/>
        <v>0</v>
      </c>
      <c r="H29" s="14">
        <v>2</v>
      </c>
      <c r="I29" s="15">
        <f t="shared" si="2"/>
        <v>164.917</v>
      </c>
      <c r="J29" s="14"/>
      <c r="K29" s="13" t="s">
        <v>997</v>
      </c>
    </row>
    <row r="30" spans="1:11" ht="12.6" customHeight="1" x14ac:dyDescent="0.2">
      <c r="A30" s="13">
        <v>34335</v>
      </c>
      <c r="B30" s="19"/>
      <c r="C30" s="15">
        <v>12.5</v>
      </c>
      <c r="D30" s="14"/>
      <c r="E30" s="15">
        <f t="shared" si="1"/>
        <v>144.417</v>
      </c>
      <c r="F30" s="14"/>
      <c r="G30" s="15">
        <f t="shared" si="0"/>
        <v>12.5</v>
      </c>
      <c r="H30" s="14"/>
      <c r="I30" s="15">
        <f t="shared" si="2"/>
        <v>177.417</v>
      </c>
      <c r="J30" s="14"/>
      <c r="K30" s="16"/>
    </row>
    <row r="31" spans="1:11" ht="12.6" customHeight="1" x14ac:dyDescent="0.2">
      <c r="A31" s="13">
        <v>34700</v>
      </c>
      <c r="B31" s="19"/>
      <c r="C31" s="15">
        <v>15</v>
      </c>
      <c r="D31" s="14"/>
      <c r="E31" s="15">
        <f t="shared" si="1"/>
        <v>159.417</v>
      </c>
      <c r="F31" s="22"/>
      <c r="G31" s="15">
        <f t="shared" si="0"/>
        <v>15</v>
      </c>
      <c r="H31" s="22"/>
      <c r="I31" s="15">
        <f t="shared" si="2"/>
        <v>192.417</v>
      </c>
      <c r="J31" s="22"/>
      <c r="K31" s="23"/>
    </row>
    <row r="32" spans="1:11" ht="12.6" customHeight="1" x14ac:dyDescent="0.2">
      <c r="A32" s="13"/>
      <c r="B32" s="17" t="s">
        <v>65</v>
      </c>
      <c r="C32" s="15"/>
      <c r="D32" s="14">
        <v>5</v>
      </c>
      <c r="E32" s="15">
        <f t="shared" si="1"/>
        <v>154.417</v>
      </c>
      <c r="F32" s="22"/>
      <c r="G32" s="15">
        <f t="shared" si="0"/>
        <v>0</v>
      </c>
      <c r="H32" s="22"/>
      <c r="I32" s="15">
        <f t="shared" si="2"/>
        <v>192.417</v>
      </c>
      <c r="J32" s="22"/>
      <c r="K32" s="23" t="s">
        <v>71</v>
      </c>
    </row>
    <row r="33" spans="1:11" ht="12.6" customHeight="1" x14ac:dyDescent="0.2">
      <c r="A33" s="13">
        <v>34706</v>
      </c>
      <c r="B33" s="17"/>
      <c r="C33" s="15">
        <v>7.5</v>
      </c>
      <c r="D33" s="14"/>
      <c r="E33" s="15">
        <f t="shared" si="1"/>
        <v>161.917</v>
      </c>
      <c r="F33" s="22"/>
      <c r="G33" s="15">
        <f t="shared" si="0"/>
        <v>7.5</v>
      </c>
      <c r="H33" s="22"/>
      <c r="I33" s="15">
        <f t="shared" si="2"/>
        <v>199.917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201.917</v>
      </c>
      <c r="D34" s="25">
        <f>SUM(D9:D33)</f>
        <v>40</v>
      </c>
      <c r="E34" s="25"/>
      <c r="F34" s="22"/>
      <c r="G34" s="25">
        <f>SUM(G7:G33)</f>
        <v>201.917</v>
      </c>
      <c r="H34" s="25">
        <f>SUM(H7:H33)</f>
        <v>2</v>
      </c>
      <c r="I34" s="15">
        <f t="shared" si="2"/>
        <v>399.834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LEONAR, RONALD C.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JANUARY 15, 1982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47</v>
      </c>
      <c r="C43" s="15"/>
      <c r="D43" s="14"/>
      <c r="E43" s="15">
        <f>E33+C43-D43</f>
        <v>161.917</v>
      </c>
      <c r="F43" s="14"/>
      <c r="G43" s="15">
        <f>C43</f>
        <v>0</v>
      </c>
      <c r="H43" s="14">
        <v>1</v>
      </c>
      <c r="I43" s="15">
        <f>I33+G43-H43</f>
        <v>198.917</v>
      </c>
      <c r="J43" s="14"/>
      <c r="K43" s="13" t="s">
        <v>998</v>
      </c>
    </row>
    <row r="44" spans="1:11" ht="12.6" customHeight="1" x14ac:dyDescent="0.2">
      <c r="A44" s="13"/>
      <c r="B44" s="17" t="s">
        <v>67</v>
      </c>
      <c r="C44" s="15"/>
      <c r="D44" s="14"/>
      <c r="E44" s="15">
        <f>E43+C44-D44</f>
        <v>161.917</v>
      </c>
      <c r="F44" s="14"/>
      <c r="G44" s="15">
        <f t="shared" ref="G44:G68" si="3">C44</f>
        <v>0</v>
      </c>
      <c r="H44" s="14">
        <v>3</v>
      </c>
      <c r="I44" s="15">
        <f>I43+G44-H44</f>
        <v>195.917</v>
      </c>
      <c r="J44" s="14"/>
      <c r="K44" s="13" t="s">
        <v>999</v>
      </c>
    </row>
    <row r="45" spans="1:11" ht="12.6" customHeight="1" x14ac:dyDescent="0.2">
      <c r="A45" s="13">
        <v>34709</v>
      </c>
      <c r="B45" s="88"/>
      <c r="C45" s="15">
        <v>3.75</v>
      </c>
      <c r="D45" s="14"/>
      <c r="E45" s="15">
        <f t="shared" ref="E45:E68" si="4">E44+C45-D45</f>
        <v>165.667</v>
      </c>
      <c r="F45" s="14"/>
      <c r="G45" s="15">
        <f t="shared" si="3"/>
        <v>3.75</v>
      </c>
      <c r="H45" s="14"/>
      <c r="I45" s="15">
        <f t="shared" ref="I45:I68" si="5">I44+G45-H45</f>
        <v>199.667</v>
      </c>
      <c r="J45" s="14"/>
      <c r="K45" s="13"/>
    </row>
    <row r="46" spans="1:11" ht="12.6" customHeight="1" x14ac:dyDescent="0.2">
      <c r="A46" s="13"/>
      <c r="B46" s="17" t="s">
        <v>67</v>
      </c>
      <c r="C46" s="15"/>
      <c r="D46" s="14"/>
      <c r="E46" s="15">
        <f t="shared" si="4"/>
        <v>165.667</v>
      </c>
      <c r="F46" s="14"/>
      <c r="G46" s="15">
        <f t="shared" si="3"/>
        <v>0</v>
      </c>
      <c r="H46" s="14">
        <v>3</v>
      </c>
      <c r="I46" s="15">
        <f t="shared" si="5"/>
        <v>196.667</v>
      </c>
      <c r="J46" s="14"/>
      <c r="K46" s="13" t="s">
        <v>1000</v>
      </c>
    </row>
    <row r="47" spans="1:11" ht="12.6" customHeight="1" x14ac:dyDescent="0.2">
      <c r="A47" s="13">
        <v>34711</v>
      </c>
      <c r="B47" s="88"/>
      <c r="C47" s="15">
        <v>2.5</v>
      </c>
      <c r="D47" s="14"/>
      <c r="E47" s="15">
        <f t="shared" si="4"/>
        <v>168.167</v>
      </c>
      <c r="F47" s="14"/>
      <c r="G47" s="15">
        <f t="shared" si="3"/>
        <v>2.5</v>
      </c>
      <c r="H47" s="14"/>
      <c r="I47" s="15">
        <f t="shared" si="5"/>
        <v>199.167</v>
      </c>
      <c r="J47" s="14"/>
      <c r="K47" s="13"/>
    </row>
    <row r="48" spans="1:11" ht="12.6" customHeight="1" x14ac:dyDescent="0.2">
      <c r="A48" s="13"/>
      <c r="B48" s="17" t="s">
        <v>47</v>
      </c>
      <c r="C48" s="15"/>
      <c r="D48" s="14"/>
      <c r="E48" s="15">
        <f t="shared" si="4"/>
        <v>168.167</v>
      </c>
      <c r="F48" s="14"/>
      <c r="G48" s="15">
        <f t="shared" si="3"/>
        <v>0</v>
      </c>
      <c r="H48" s="14">
        <v>1</v>
      </c>
      <c r="I48" s="15">
        <f t="shared" si="5"/>
        <v>198.167</v>
      </c>
      <c r="J48" s="14"/>
      <c r="K48" s="13">
        <v>34711</v>
      </c>
    </row>
    <row r="49" spans="1:11" ht="12.6" customHeight="1" x14ac:dyDescent="0.2">
      <c r="A49" s="13">
        <v>35065</v>
      </c>
      <c r="B49" s="88"/>
      <c r="C49" s="15">
        <v>1.25</v>
      </c>
      <c r="D49" s="14"/>
      <c r="E49" s="15">
        <f t="shared" si="4"/>
        <v>169.417</v>
      </c>
      <c r="F49" s="14"/>
      <c r="G49" s="15">
        <f t="shared" si="3"/>
        <v>1.25</v>
      </c>
      <c r="H49" s="14"/>
      <c r="I49" s="15">
        <f t="shared" si="5"/>
        <v>199.417</v>
      </c>
      <c r="J49" s="14"/>
      <c r="K49" s="13"/>
    </row>
    <row r="50" spans="1:11" ht="12.6" customHeight="1" x14ac:dyDescent="0.2">
      <c r="A50" s="13"/>
      <c r="B50" s="88"/>
      <c r="C50" s="15"/>
      <c r="D50" s="14">
        <v>0.22900000000000001</v>
      </c>
      <c r="E50" s="15">
        <f t="shared" si="4"/>
        <v>169.18799999999999</v>
      </c>
      <c r="F50" s="14"/>
      <c r="G50" s="15">
        <f t="shared" si="3"/>
        <v>0</v>
      </c>
      <c r="H50" s="14"/>
      <c r="I50" s="15">
        <f t="shared" si="5"/>
        <v>199.417</v>
      </c>
      <c r="J50" s="14"/>
      <c r="K50" s="13" t="s">
        <v>1001</v>
      </c>
    </row>
    <row r="51" spans="1:11" ht="12.6" customHeight="1" x14ac:dyDescent="0.2">
      <c r="A51" s="13"/>
      <c r="B51" s="17" t="s">
        <v>65</v>
      </c>
      <c r="C51" s="15"/>
      <c r="D51" s="14">
        <v>5</v>
      </c>
      <c r="E51" s="15">
        <f t="shared" si="4"/>
        <v>164.18799999999999</v>
      </c>
      <c r="F51" s="14"/>
      <c r="G51" s="15">
        <f t="shared" si="3"/>
        <v>0</v>
      </c>
      <c r="H51" s="14"/>
      <c r="I51" s="15">
        <f t="shared" si="5"/>
        <v>199.417</v>
      </c>
      <c r="J51" s="14"/>
      <c r="K51" s="16" t="s">
        <v>1002</v>
      </c>
    </row>
    <row r="52" spans="1:11" ht="12.6" customHeight="1" x14ac:dyDescent="0.2">
      <c r="A52" s="13">
        <v>35066</v>
      </c>
      <c r="B52" s="88"/>
      <c r="C52" s="15">
        <v>1.25</v>
      </c>
      <c r="D52" s="14"/>
      <c r="E52" s="15">
        <f t="shared" si="4"/>
        <v>165.43799999999999</v>
      </c>
      <c r="F52" s="14"/>
      <c r="G52" s="15">
        <f t="shared" si="3"/>
        <v>1.25</v>
      </c>
      <c r="H52" s="14"/>
      <c r="I52" s="15">
        <f t="shared" si="5"/>
        <v>200.667</v>
      </c>
      <c r="J52" s="14"/>
      <c r="K52" s="13"/>
    </row>
    <row r="53" spans="1:11" ht="12.6" customHeight="1" x14ac:dyDescent="0.2">
      <c r="A53" s="13"/>
      <c r="B53" s="17" t="s">
        <v>67</v>
      </c>
      <c r="C53" s="15"/>
      <c r="D53" s="14"/>
      <c r="E53" s="15">
        <f t="shared" si="4"/>
        <v>165.43799999999999</v>
      </c>
      <c r="F53" s="14"/>
      <c r="G53" s="15">
        <f t="shared" si="3"/>
        <v>0</v>
      </c>
      <c r="H53" s="14">
        <v>3</v>
      </c>
      <c r="I53" s="15">
        <f t="shared" si="5"/>
        <v>197.667</v>
      </c>
      <c r="J53" s="14"/>
      <c r="K53" s="13" t="s">
        <v>1003</v>
      </c>
    </row>
    <row r="54" spans="1:11" ht="12.6" customHeight="1" x14ac:dyDescent="0.2">
      <c r="A54" s="13">
        <v>35068</v>
      </c>
      <c r="B54" s="88"/>
      <c r="C54" s="15">
        <v>2.5</v>
      </c>
      <c r="D54" s="14"/>
      <c r="E54" s="15">
        <f t="shared" si="4"/>
        <v>167.93799999999999</v>
      </c>
      <c r="F54" s="14"/>
      <c r="G54" s="15">
        <f t="shared" si="3"/>
        <v>2.5</v>
      </c>
      <c r="H54" s="14"/>
      <c r="I54" s="15">
        <f t="shared" si="5"/>
        <v>200.167</v>
      </c>
      <c r="J54" s="14"/>
      <c r="K54" s="13"/>
    </row>
    <row r="55" spans="1:11" ht="12.6" customHeight="1" x14ac:dyDescent="0.2">
      <c r="A55" s="13"/>
      <c r="B55" s="88" t="s">
        <v>95</v>
      </c>
      <c r="C55" s="15"/>
      <c r="D55" s="14">
        <v>3</v>
      </c>
      <c r="E55" s="15">
        <f t="shared" si="4"/>
        <v>164.93799999999999</v>
      </c>
      <c r="F55" s="14"/>
      <c r="G55" s="15">
        <f t="shared" si="3"/>
        <v>0</v>
      </c>
      <c r="H55" s="14"/>
      <c r="I55" s="15">
        <f t="shared" si="5"/>
        <v>200.167</v>
      </c>
      <c r="J55" s="14"/>
      <c r="K55" s="13" t="s">
        <v>1004</v>
      </c>
    </row>
    <row r="56" spans="1:11" ht="12.6" customHeight="1" x14ac:dyDescent="0.2">
      <c r="A56" s="13">
        <v>35072</v>
      </c>
      <c r="B56" s="88"/>
      <c r="C56" s="15">
        <v>5</v>
      </c>
      <c r="D56" s="14"/>
      <c r="E56" s="15">
        <f t="shared" si="4"/>
        <v>169.93799999999999</v>
      </c>
      <c r="F56" s="14"/>
      <c r="G56" s="15">
        <f t="shared" si="3"/>
        <v>5</v>
      </c>
      <c r="H56" s="14"/>
      <c r="I56" s="15">
        <f t="shared" si="5"/>
        <v>205.167</v>
      </c>
      <c r="J56" s="14"/>
      <c r="K56" s="16"/>
    </row>
    <row r="57" spans="1:11" ht="12.6" customHeight="1" x14ac:dyDescent="0.2">
      <c r="A57" s="13"/>
      <c r="B57" s="88" t="s">
        <v>74</v>
      </c>
      <c r="C57" s="15"/>
      <c r="D57" s="14">
        <v>1</v>
      </c>
      <c r="E57" s="15">
        <f t="shared" si="4"/>
        <v>168.93799999999999</v>
      </c>
      <c r="F57" s="14"/>
      <c r="G57" s="15">
        <f t="shared" si="3"/>
        <v>0</v>
      </c>
      <c r="H57" s="14"/>
      <c r="I57" s="15">
        <f t="shared" si="5"/>
        <v>205.167</v>
      </c>
      <c r="J57" s="14"/>
      <c r="K57" s="13">
        <v>35224</v>
      </c>
    </row>
    <row r="58" spans="1:11" ht="12.6" customHeight="1" x14ac:dyDescent="0.2">
      <c r="A58" s="13"/>
      <c r="B58" s="17" t="s">
        <v>52</v>
      </c>
      <c r="C58" s="15"/>
      <c r="D58" s="14"/>
      <c r="E58" s="15">
        <f t="shared" si="4"/>
        <v>168.93799999999999</v>
      </c>
      <c r="F58" s="14"/>
      <c r="G58" s="15">
        <f t="shared" si="3"/>
        <v>0</v>
      </c>
      <c r="H58" s="14">
        <v>2</v>
      </c>
      <c r="I58" s="15">
        <f t="shared" si="5"/>
        <v>203.167</v>
      </c>
      <c r="J58" s="14"/>
      <c r="K58" s="13" t="s">
        <v>1005</v>
      </c>
    </row>
    <row r="59" spans="1:11" ht="12.6" customHeight="1" x14ac:dyDescent="0.2">
      <c r="A59" s="13">
        <v>35074</v>
      </c>
      <c r="B59" s="88"/>
      <c r="C59" s="15">
        <v>2.5</v>
      </c>
      <c r="D59" s="14"/>
      <c r="E59" s="15">
        <f t="shared" si="4"/>
        <v>171.43799999999999</v>
      </c>
      <c r="F59" s="14"/>
      <c r="G59" s="15">
        <f t="shared" si="3"/>
        <v>2.5</v>
      </c>
      <c r="H59" s="14"/>
      <c r="I59" s="15">
        <f t="shared" si="5"/>
        <v>205.667</v>
      </c>
      <c r="J59" s="14"/>
      <c r="K59" s="13"/>
    </row>
    <row r="60" spans="1:11" ht="12.6" customHeight="1" x14ac:dyDescent="0.2">
      <c r="A60" s="13"/>
      <c r="B60" s="88" t="s">
        <v>45</v>
      </c>
      <c r="C60" s="15"/>
      <c r="D60" s="14"/>
      <c r="E60" s="15">
        <f t="shared" si="4"/>
        <v>171.43799999999999</v>
      </c>
      <c r="F60" s="14"/>
      <c r="G60" s="15">
        <f t="shared" si="3"/>
        <v>0</v>
      </c>
      <c r="H60" s="14"/>
      <c r="I60" s="15">
        <f t="shared" si="5"/>
        <v>205.667</v>
      </c>
      <c r="J60" s="14"/>
      <c r="K60" s="13">
        <v>35348</v>
      </c>
    </row>
    <row r="61" spans="1:11" ht="12.6" customHeight="1" x14ac:dyDescent="0.2">
      <c r="A61" s="13">
        <v>35431</v>
      </c>
      <c r="B61" s="88"/>
      <c r="C61" s="15">
        <v>3.75</v>
      </c>
      <c r="D61" s="14"/>
      <c r="E61" s="15">
        <f t="shared" si="4"/>
        <v>175.18799999999999</v>
      </c>
      <c r="F61" s="14"/>
      <c r="G61" s="15">
        <f t="shared" si="3"/>
        <v>3.75</v>
      </c>
      <c r="H61" s="14"/>
      <c r="I61" s="15">
        <f t="shared" si="5"/>
        <v>209.417</v>
      </c>
      <c r="J61" s="14"/>
      <c r="K61" s="13"/>
    </row>
    <row r="62" spans="1:11" ht="12.6" customHeight="1" x14ac:dyDescent="0.2">
      <c r="A62" s="13"/>
      <c r="B62" s="17"/>
      <c r="C62" s="15"/>
      <c r="D62" s="14">
        <v>5.3170000000000002</v>
      </c>
      <c r="E62" s="15">
        <f t="shared" si="4"/>
        <v>169.87099999999998</v>
      </c>
      <c r="F62" s="14"/>
      <c r="G62" s="15">
        <f t="shared" si="3"/>
        <v>0</v>
      </c>
      <c r="H62" s="14"/>
      <c r="I62" s="15">
        <f t="shared" si="5"/>
        <v>209.417</v>
      </c>
      <c r="J62" s="14"/>
      <c r="K62" s="16" t="s">
        <v>1006</v>
      </c>
    </row>
    <row r="63" spans="1:11" ht="12.6" customHeight="1" x14ac:dyDescent="0.2">
      <c r="A63" s="13"/>
      <c r="B63" s="88" t="s">
        <v>57</v>
      </c>
      <c r="C63" s="15"/>
      <c r="D63" s="14">
        <v>1</v>
      </c>
      <c r="E63" s="15">
        <f t="shared" si="4"/>
        <v>168.87099999999998</v>
      </c>
      <c r="F63" s="14"/>
      <c r="G63" s="15">
        <f t="shared" si="3"/>
        <v>0</v>
      </c>
      <c r="H63" s="14"/>
      <c r="I63" s="15">
        <f t="shared" si="5"/>
        <v>209.417</v>
      </c>
      <c r="J63" s="14"/>
      <c r="K63" s="13" t="s">
        <v>215</v>
      </c>
    </row>
    <row r="64" spans="1:11" ht="12.6" customHeight="1" x14ac:dyDescent="0.2">
      <c r="A64" s="29"/>
      <c r="B64" s="88" t="s">
        <v>74</v>
      </c>
      <c r="C64" s="15"/>
      <c r="D64" s="14">
        <v>1</v>
      </c>
      <c r="E64" s="15">
        <f t="shared" si="4"/>
        <v>167.87099999999998</v>
      </c>
      <c r="F64" s="14"/>
      <c r="G64" s="15">
        <f>C64</f>
        <v>0</v>
      </c>
      <c r="H64" s="14"/>
      <c r="I64" s="15">
        <f t="shared" si="5"/>
        <v>209.417</v>
      </c>
      <c r="J64" s="14"/>
      <c r="K64" s="29">
        <v>35491</v>
      </c>
    </row>
    <row r="65" spans="1:11" ht="12.6" customHeight="1" x14ac:dyDescent="0.2">
      <c r="A65" s="29">
        <v>35432</v>
      </c>
      <c r="B65" s="88"/>
      <c r="C65" s="15">
        <v>1.25</v>
      </c>
      <c r="D65" s="21"/>
      <c r="E65" s="15">
        <f t="shared" si="4"/>
        <v>169.12099999999998</v>
      </c>
      <c r="F65" s="14"/>
      <c r="G65" s="15">
        <f t="shared" si="3"/>
        <v>1.25</v>
      </c>
      <c r="H65" s="14"/>
      <c r="I65" s="15">
        <f t="shared" si="5"/>
        <v>210.667</v>
      </c>
      <c r="J65" s="14"/>
      <c r="K65" s="13"/>
    </row>
    <row r="66" spans="1:11" ht="12.6" customHeight="1" x14ac:dyDescent="0.2">
      <c r="A66" s="13"/>
      <c r="B66" s="88" t="s">
        <v>768</v>
      </c>
      <c r="C66" s="15"/>
      <c r="D66" s="14">
        <v>10</v>
      </c>
      <c r="E66" s="15">
        <f t="shared" si="4"/>
        <v>159.12099999999998</v>
      </c>
      <c r="F66" s="14"/>
      <c r="G66" s="15">
        <f t="shared" si="3"/>
        <v>0</v>
      </c>
      <c r="H66" s="14"/>
      <c r="I66" s="15">
        <f t="shared" si="5"/>
        <v>210.667</v>
      </c>
      <c r="J66" s="14"/>
      <c r="K66" s="13" t="s">
        <v>1007</v>
      </c>
    </row>
    <row r="67" spans="1:11" ht="12.6" customHeight="1" x14ac:dyDescent="0.2">
      <c r="A67" s="30">
        <v>35433</v>
      </c>
      <c r="B67" s="88"/>
      <c r="C67" s="15">
        <v>1.25</v>
      </c>
      <c r="D67" s="14"/>
      <c r="E67" s="15">
        <f t="shared" si="4"/>
        <v>160.37099999999998</v>
      </c>
      <c r="F67" s="14"/>
      <c r="G67" s="15">
        <f t="shared" si="3"/>
        <v>1.25</v>
      </c>
      <c r="H67" s="31"/>
      <c r="I67" s="15">
        <f t="shared" si="5"/>
        <v>211.917</v>
      </c>
      <c r="J67" s="31"/>
      <c r="K67" s="30"/>
    </row>
    <row r="68" spans="1:11" ht="12.6" customHeight="1" x14ac:dyDescent="0.2">
      <c r="A68" s="13"/>
      <c r="B68" s="88" t="s">
        <v>76</v>
      </c>
      <c r="C68" s="15"/>
      <c r="D68" s="14">
        <v>2</v>
      </c>
      <c r="E68" s="15">
        <f t="shared" si="4"/>
        <v>158.37099999999998</v>
      </c>
      <c r="F68" s="14"/>
      <c r="G68" s="15">
        <f t="shared" si="3"/>
        <v>0</v>
      </c>
      <c r="H68" s="14"/>
      <c r="I68" s="15">
        <f t="shared" si="5"/>
        <v>211.917</v>
      </c>
      <c r="J68" s="14"/>
      <c r="K68" s="13" t="s">
        <v>1009</v>
      </c>
    </row>
    <row r="69" spans="1:11" ht="12.6" customHeight="1" x14ac:dyDescent="0.2">
      <c r="A69" s="24" t="s">
        <v>15</v>
      </c>
      <c r="B69" s="88"/>
      <c r="C69" s="15">
        <f>SUM(C43:C68)</f>
        <v>25</v>
      </c>
      <c r="D69" s="15">
        <f>SUM(D43:D68)</f>
        <v>28.545999999999999</v>
      </c>
      <c r="E69" s="15" t="s">
        <v>17</v>
      </c>
      <c r="F69" s="32"/>
      <c r="G69" s="15">
        <f>SUM(G43:G68)</f>
        <v>25</v>
      </c>
      <c r="H69" s="15">
        <f>SUM(H43:H68)</f>
        <v>13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LEONAR, RONALD C.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JANUARY 15, 1982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271</v>
      </c>
      <c r="C82" s="15"/>
      <c r="D82" s="14"/>
      <c r="E82" s="15">
        <f>E68+C82-D82</f>
        <v>158.37099999999998</v>
      </c>
      <c r="F82" s="14"/>
      <c r="G82" s="15">
        <f>C82</f>
        <v>0</v>
      </c>
      <c r="H82" s="14">
        <v>5</v>
      </c>
      <c r="I82" s="15">
        <f>I68+G82-H82</f>
        <v>206.917</v>
      </c>
      <c r="J82" s="14"/>
      <c r="K82" s="13" t="s">
        <v>1008</v>
      </c>
    </row>
    <row r="83" spans="1:11" ht="12.6" customHeight="1" x14ac:dyDescent="0.2">
      <c r="A83" s="13">
        <v>35436</v>
      </c>
      <c r="B83" s="17"/>
      <c r="C83" s="15">
        <v>3.75</v>
      </c>
      <c r="D83" s="14"/>
      <c r="E83" s="15">
        <f>E82+C83-D83</f>
        <v>162.12099999999998</v>
      </c>
      <c r="F83" s="14"/>
      <c r="G83" s="15">
        <f t="shared" ref="G83:G107" si="6">C83</f>
        <v>3.75</v>
      </c>
      <c r="H83" s="14"/>
      <c r="I83" s="15">
        <f>I82+G83-H83</f>
        <v>210.667</v>
      </c>
      <c r="J83" s="22"/>
      <c r="K83" s="23"/>
    </row>
    <row r="84" spans="1:11" ht="12.6" customHeight="1" x14ac:dyDescent="0.2">
      <c r="A84" s="13"/>
      <c r="B84" s="19" t="s">
        <v>76</v>
      </c>
      <c r="C84" s="15"/>
      <c r="D84" s="14">
        <v>2</v>
      </c>
      <c r="E84" s="15">
        <f t="shared" ref="E84:E107" si="7">E83+C84-D84</f>
        <v>160.12099999999998</v>
      </c>
      <c r="F84" s="14"/>
      <c r="G84" s="15">
        <f t="shared" si="6"/>
        <v>0</v>
      </c>
      <c r="H84" s="14"/>
      <c r="I84" s="15">
        <f t="shared" ref="I84:I107" si="8">I83+G84-H84</f>
        <v>210.667</v>
      </c>
      <c r="J84" s="14"/>
      <c r="K84" s="16" t="s">
        <v>1010</v>
      </c>
    </row>
    <row r="85" spans="1:11" ht="12.6" customHeight="1" x14ac:dyDescent="0.2">
      <c r="A85" s="13"/>
      <c r="B85" s="19" t="s">
        <v>76</v>
      </c>
      <c r="C85" s="15"/>
      <c r="D85" s="14">
        <v>2</v>
      </c>
      <c r="E85" s="15">
        <f t="shared" si="7"/>
        <v>158.12099999999998</v>
      </c>
      <c r="F85" s="14"/>
      <c r="G85" s="15">
        <f t="shared" si="6"/>
        <v>0</v>
      </c>
      <c r="H85" s="14"/>
      <c r="I85" s="15">
        <f t="shared" si="8"/>
        <v>210.667</v>
      </c>
      <c r="J85" s="14"/>
      <c r="K85" s="13" t="s">
        <v>1011</v>
      </c>
    </row>
    <row r="86" spans="1:11" ht="12.6" customHeight="1" x14ac:dyDescent="0.2">
      <c r="A86" s="29">
        <v>35438</v>
      </c>
      <c r="B86" s="19"/>
      <c r="C86" s="15">
        <v>2.5</v>
      </c>
      <c r="D86" s="14"/>
      <c r="E86" s="15">
        <f t="shared" si="7"/>
        <v>160.62099999999998</v>
      </c>
      <c r="F86" s="14"/>
      <c r="G86" s="15">
        <f t="shared" si="6"/>
        <v>2.5</v>
      </c>
      <c r="H86" s="14"/>
      <c r="I86" s="15">
        <f t="shared" si="8"/>
        <v>213.167</v>
      </c>
      <c r="J86" s="14"/>
      <c r="K86" s="13"/>
    </row>
    <row r="87" spans="1:11" ht="12.6" customHeight="1" x14ac:dyDescent="0.2">
      <c r="A87" s="13"/>
      <c r="B87" s="19" t="s">
        <v>74</v>
      </c>
      <c r="C87" s="15"/>
      <c r="D87" s="14">
        <v>1</v>
      </c>
      <c r="E87" s="15">
        <f t="shared" si="7"/>
        <v>159.62099999999998</v>
      </c>
      <c r="F87" s="14"/>
      <c r="G87" s="15">
        <f t="shared" si="6"/>
        <v>0</v>
      </c>
      <c r="H87" s="14"/>
      <c r="I87" s="15">
        <f t="shared" si="8"/>
        <v>213.167</v>
      </c>
      <c r="J87" s="14"/>
      <c r="K87" s="13" t="s">
        <v>1012</v>
      </c>
    </row>
    <row r="88" spans="1:11" ht="12.6" customHeight="1" x14ac:dyDescent="0.2">
      <c r="A88" s="13">
        <v>35440</v>
      </c>
      <c r="B88" s="17"/>
      <c r="C88" s="15">
        <v>2.5</v>
      </c>
      <c r="D88" s="14"/>
      <c r="E88" s="15">
        <f t="shared" si="7"/>
        <v>162.12099999999998</v>
      </c>
      <c r="F88" s="14"/>
      <c r="G88" s="15">
        <f t="shared" si="6"/>
        <v>2.5</v>
      </c>
      <c r="H88" s="14"/>
      <c r="I88" s="15">
        <f t="shared" si="8"/>
        <v>215.667</v>
      </c>
      <c r="J88" s="14"/>
      <c r="K88" s="13"/>
    </row>
    <row r="89" spans="1:11" ht="12.6" customHeight="1" x14ac:dyDescent="0.2">
      <c r="A89" s="13"/>
      <c r="B89" s="19" t="s">
        <v>81</v>
      </c>
      <c r="C89" s="15"/>
      <c r="D89" s="14"/>
      <c r="E89" s="15">
        <f t="shared" si="7"/>
        <v>162.12099999999998</v>
      </c>
      <c r="F89" s="14"/>
      <c r="G89" s="15">
        <f t="shared" si="6"/>
        <v>0</v>
      </c>
      <c r="H89" s="14"/>
      <c r="I89" s="15">
        <f t="shared" si="8"/>
        <v>215.667</v>
      </c>
      <c r="J89" s="14"/>
      <c r="K89" s="13">
        <v>35713</v>
      </c>
    </row>
    <row r="90" spans="1:11" ht="12.6" customHeight="1" x14ac:dyDescent="0.2">
      <c r="A90" s="13">
        <v>35796</v>
      </c>
      <c r="B90" s="17"/>
      <c r="C90" s="15">
        <v>3.75</v>
      </c>
      <c r="D90" s="14"/>
      <c r="E90" s="15">
        <f t="shared" si="7"/>
        <v>165.87099999999998</v>
      </c>
      <c r="F90" s="14"/>
      <c r="G90" s="15">
        <f t="shared" si="6"/>
        <v>3.75</v>
      </c>
      <c r="H90" s="14"/>
      <c r="I90" s="15">
        <f t="shared" si="8"/>
        <v>219.417</v>
      </c>
      <c r="J90" s="14"/>
      <c r="K90" s="16"/>
    </row>
    <row r="91" spans="1:11" ht="12.6" customHeight="1" x14ac:dyDescent="0.2">
      <c r="A91" s="13"/>
      <c r="B91" s="17"/>
      <c r="C91" s="15"/>
      <c r="D91" s="14">
        <v>1.7270000000000001</v>
      </c>
      <c r="E91" s="15">
        <f t="shared" si="7"/>
        <v>164.14399999999998</v>
      </c>
      <c r="F91" s="14"/>
      <c r="G91" s="15">
        <f t="shared" si="6"/>
        <v>0</v>
      </c>
      <c r="H91" s="14"/>
      <c r="I91" s="15">
        <f t="shared" si="8"/>
        <v>219.417</v>
      </c>
      <c r="J91" s="14"/>
      <c r="K91" s="16" t="s">
        <v>1013</v>
      </c>
    </row>
    <row r="92" spans="1:11" ht="12.6" customHeight="1" x14ac:dyDescent="0.2">
      <c r="A92" s="13">
        <v>35799</v>
      </c>
      <c r="B92" s="19"/>
      <c r="C92" s="15">
        <v>3.75</v>
      </c>
      <c r="D92" s="14"/>
      <c r="E92" s="15">
        <f t="shared" si="7"/>
        <v>167.89399999999998</v>
      </c>
      <c r="F92" s="14"/>
      <c r="G92" s="15">
        <f t="shared" si="6"/>
        <v>3.75</v>
      </c>
      <c r="H92" s="14"/>
      <c r="I92" s="15">
        <f t="shared" si="8"/>
        <v>223.167</v>
      </c>
      <c r="J92" s="14"/>
      <c r="K92" s="13"/>
    </row>
    <row r="93" spans="1:11" ht="12.6" customHeight="1" x14ac:dyDescent="0.2">
      <c r="A93" s="13"/>
      <c r="B93" s="19" t="s">
        <v>76</v>
      </c>
      <c r="C93" s="15"/>
      <c r="D93" s="14">
        <v>2</v>
      </c>
      <c r="E93" s="15">
        <f t="shared" si="7"/>
        <v>165.89399999999998</v>
      </c>
      <c r="F93" s="14"/>
      <c r="G93" s="15">
        <f t="shared" si="6"/>
        <v>0</v>
      </c>
      <c r="H93" s="14"/>
      <c r="I93" s="15">
        <f t="shared" si="8"/>
        <v>223.167</v>
      </c>
      <c r="J93" s="14"/>
      <c r="K93" s="13" t="s">
        <v>1014</v>
      </c>
    </row>
    <row r="94" spans="1:11" ht="12.6" customHeight="1" x14ac:dyDescent="0.2">
      <c r="A94" s="13">
        <v>35801</v>
      </c>
      <c r="B94" s="19"/>
      <c r="C94" s="15">
        <v>2.5</v>
      </c>
      <c r="D94" s="14"/>
      <c r="E94" s="15">
        <f t="shared" si="7"/>
        <v>168.39399999999998</v>
      </c>
      <c r="F94" s="14"/>
      <c r="G94" s="15">
        <f t="shared" si="6"/>
        <v>2.5</v>
      </c>
      <c r="H94" s="14"/>
      <c r="I94" s="15">
        <f t="shared" si="8"/>
        <v>225.667</v>
      </c>
      <c r="J94" s="14"/>
      <c r="K94" s="13"/>
    </row>
    <row r="95" spans="1:11" ht="12.6" customHeight="1" x14ac:dyDescent="0.2">
      <c r="A95" s="13"/>
      <c r="B95" s="19" t="s">
        <v>125</v>
      </c>
      <c r="C95" s="15"/>
      <c r="D95" s="14"/>
      <c r="E95" s="15">
        <f t="shared" si="7"/>
        <v>168.39399999999998</v>
      </c>
      <c r="F95" s="14"/>
      <c r="G95" s="15">
        <f t="shared" si="6"/>
        <v>0</v>
      </c>
      <c r="H95" s="14">
        <v>4</v>
      </c>
      <c r="I95" s="15">
        <f t="shared" si="8"/>
        <v>221.667</v>
      </c>
      <c r="J95" s="14"/>
      <c r="K95" s="13" t="s">
        <v>1015</v>
      </c>
    </row>
    <row r="96" spans="1:11" ht="12.6" customHeight="1" x14ac:dyDescent="0.2">
      <c r="A96" s="13">
        <v>35804</v>
      </c>
      <c r="B96" s="19"/>
      <c r="C96" s="15">
        <v>3.75</v>
      </c>
      <c r="D96" s="14"/>
      <c r="E96" s="15">
        <f t="shared" si="7"/>
        <v>172.14399999999998</v>
      </c>
      <c r="F96" s="14"/>
      <c r="G96" s="15">
        <f t="shared" si="6"/>
        <v>3.75</v>
      </c>
      <c r="H96" s="14"/>
      <c r="I96" s="15">
        <f t="shared" si="8"/>
        <v>225.417</v>
      </c>
      <c r="J96" s="14"/>
      <c r="K96" s="33"/>
    </row>
    <row r="97" spans="1:11" ht="12.6" customHeight="1" x14ac:dyDescent="0.2">
      <c r="A97" s="13"/>
      <c r="B97" s="19" t="s">
        <v>125</v>
      </c>
      <c r="C97" s="15"/>
      <c r="D97" s="14"/>
      <c r="E97" s="15">
        <f t="shared" si="7"/>
        <v>172.14399999999998</v>
      </c>
      <c r="F97" s="14"/>
      <c r="G97" s="15">
        <f t="shared" si="6"/>
        <v>0</v>
      </c>
      <c r="H97" s="14">
        <v>4</v>
      </c>
      <c r="I97" s="15">
        <f t="shared" si="8"/>
        <v>221.417</v>
      </c>
      <c r="J97" s="14"/>
      <c r="K97" s="13" t="s">
        <v>1016</v>
      </c>
    </row>
    <row r="98" spans="1:11" ht="12.6" customHeight="1" x14ac:dyDescent="0.2">
      <c r="A98" s="13"/>
      <c r="B98" s="19" t="s">
        <v>74</v>
      </c>
      <c r="C98" s="15"/>
      <c r="D98" s="14">
        <v>1</v>
      </c>
      <c r="E98" s="15">
        <f t="shared" si="7"/>
        <v>171.14399999999998</v>
      </c>
      <c r="F98" s="14"/>
      <c r="G98" s="15">
        <f t="shared" si="6"/>
        <v>0</v>
      </c>
      <c r="H98" s="14"/>
      <c r="I98" s="15">
        <f t="shared" si="8"/>
        <v>221.417</v>
      </c>
      <c r="J98" s="14"/>
      <c r="K98" s="16" t="s">
        <v>1017</v>
      </c>
    </row>
    <row r="99" spans="1:11" ht="12.6" customHeight="1" x14ac:dyDescent="0.2">
      <c r="A99" s="13">
        <v>35806</v>
      </c>
      <c r="B99" s="19"/>
      <c r="C99" s="15">
        <v>2.5</v>
      </c>
      <c r="D99" s="14"/>
      <c r="E99" s="15">
        <f t="shared" si="7"/>
        <v>173.64399999999998</v>
      </c>
      <c r="F99" s="14"/>
      <c r="G99" s="15">
        <f t="shared" si="6"/>
        <v>2.5</v>
      </c>
      <c r="H99" s="14"/>
      <c r="I99" s="15">
        <f t="shared" si="8"/>
        <v>223.917</v>
      </c>
      <c r="J99" s="14"/>
      <c r="K99" s="13"/>
    </row>
    <row r="100" spans="1:11" ht="12.6" customHeight="1" x14ac:dyDescent="0.2">
      <c r="A100" s="13"/>
      <c r="B100" s="19" t="s">
        <v>296</v>
      </c>
      <c r="C100" s="15"/>
      <c r="D100" s="14">
        <v>1.5</v>
      </c>
      <c r="E100" s="15">
        <f t="shared" si="7"/>
        <v>172.14399999999998</v>
      </c>
      <c r="F100" s="14"/>
      <c r="G100" s="15">
        <f t="shared" si="6"/>
        <v>0</v>
      </c>
      <c r="H100" s="14"/>
      <c r="I100" s="15">
        <f t="shared" si="8"/>
        <v>223.917</v>
      </c>
      <c r="J100" s="14"/>
      <c r="K100" s="13" t="s">
        <v>1018</v>
      </c>
    </row>
    <row r="101" spans="1:11" ht="12.6" customHeight="1" x14ac:dyDescent="0.2">
      <c r="A101" s="13">
        <v>36161</v>
      </c>
      <c r="B101" s="19"/>
      <c r="C101" s="15">
        <v>2.5</v>
      </c>
      <c r="D101" s="14"/>
      <c r="E101" s="15">
        <f t="shared" si="7"/>
        <v>174.64399999999998</v>
      </c>
      <c r="F101" s="14"/>
      <c r="G101" s="15">
        <f t="shared" si="6"/>
        <v>2.5</v>
      </c>
      <c r="H101" s="14"/>
      <c r="I101" s="15">
        <f t="shared" si="8"/>
        <v>226.417</v>
      </c>
      <c r="J101" s="14"/>
      <c r="K101" s="13"/>
    </row>
    <row r="102" spans="1:11" ht="12.6" customHeight="1" x14ac:dyDescent="0.2">
      <c r="A102" s="13"/>
      <c r="B102" s="19" t="s">
        <v>1019</v>
      </c>
      <c r="C102" s="15"/>
      <c r="D102" s="14">
        <v>0.5</v>
      </c>
      <c r="E102" s="15">
        <f t="shared" si="7"/>
        <v>174.14399999999998</v>
      </c>
      <c r="F102" s="14"/>
      <c r="G102" s="15">
        <f t="shared" si="6"/>
        <v>0</v>
      </c>
      <c r="H102" s="14"/>
      <c r="I102" s="15">
        <f t="shared" si="8"/>
        <v>226.417</v>
      </c>
      <c r="J102" s="14"/>
      <c r="K102" s="13" t="s">
        <v>86</v>
      </c>
    </row>
    <row r="103" spans="1:11" ht="12.6" customHeight="1" x14ac:dyDescent="0.2">
      <c r="A103" s="13">
        <v>36172</v>
      </c>
      <c r="B103" s="19"/>
      <c r="C103" s="15">
        <v>13.75</v>
      </c>
      <c r="D103" s="14"/>
      <c r="E103" s="15">
        <f t="shared" si="7"/>
        <v>187.89399999999998</v>
      </c>
      <c r="F103" s="14"/>
      <c r="G103" s="15">
        <f t="shared" si="6"/>
        <v>13.75</v>
      </c>
      <c r="H103" s="14"/>
      <c r="I103" s="15">
        <f t="shared" si="8"/>
        <v>240.167</v>
      </c>
      <c r="J103" s="14"/>
      <c r="K103" s="19"/>
    </row>
    <row r="104" spans="1:11" ht="12.6" customHeight="1" x14ac:dyDescent="0.2">
      <c r="A104" s="13"/>
      <c r="B104" s="19" t="s">
        <v>91</v>
      </c>
      <c r="C104" s="15"/>
      <c r="D104" s="14">
        <v>30</v>
      </c>
      <c r="E104" s="15">
        <f t="shared" si="7"/>
        <v>157.89399999999998</v>
      </c>
      <c r="F104" s="14"/>
      <c r="G104" s="15">
        <f t="shared" si="6"/>
        <v>0</v>
      </c>
      <c r="H104" s="14"/>
      <c r="I104" s="15">
        <f t="shared" si="8"/>
        <v>240.167</v>
      </c>
      <c r="J104" s="14"/>
      <c r="K104" s="38" t="s">
        <v>1020</v>
      </c>
    </row>
    <row r="105" spans="1:11" ht="12.6" customHeight="1" x14ac:dyDescent="0.2">
      <c r="A105" s="13">
        <v>36526</v>
      </c>
      <c r="B105" s="19"/>
      <c r="C105" s="15">
        <v>1.25</v>
      </c>
      <c r="D105" s="14"/>
      <c r="E105" s="15">
        <f t="shared" si="7"/>
        <v>159.14399999999998</v>
      </c>
      <c r="F105" s="14"/>
      <c r="G105" s="15">
        <f t="shared" si="6"/>
        <v>1.25</v>
      </c>
      <c r="H105" s="14"/>
      <c r="I105" s="15">
        <f t="shared" si="8"/>
        <v>241.417</v>
      </c>
      <c r="J105" s="14"/>
      <c r="K105" s="13"/>
    </row>
    <row r="106" spans="1:11" ht="12.6" customHeight="1" x14ac:dyDescent="0.2">
      <c r="A106" s="13"/>
      <c r="B106" s="17" t="s">
        <v>65</v>
      </c>
      <c r="C106" s="15"/>
      <c r="D106" s="14">
        <v>5</v>
      </c>
      <c r="E106" s="15">
        <f t="shared" si="7"/>
        <v>154.14399999999998</v>
      </c>
      <c r="F106" s="14"/>
      <c r="G106" s="15">
        <f t="shared" si="6"/>
        <v>0</v>
      </c>
      <c r="H106" s="14"/>
      <c r="I106" s="15">
        <f t="shared" si="8"/>
        <v>241.417</v>
      </c>
      <c r="J106" s="14"/>
      <c r="K106" s="13" t="s">
        <v>92</v>
      </c>
    </row>
    <row r="107" spans="1:11" ht="12.6" customHeight="1" x14ac:dyDescent="0.2">
      <c r="A107" s="13">
        <v>36531</v>
      </c>
      <c r="B107" s="19"/>
      <c r="C107" s="15">
        <v>6.25</v>
      </c>
      <c r="D107" s="14"/>
      <c r="E107" s="15">
        <f t="shared" si="7"/>
        <v>160.39399999999998</v>
      </c>
      <c r="F107" s="14"/>
      <c r="G107" s="15">
        <f t="shared" si="6"/>
        <v>6.25</v>
      </c>
      <c r="H107" s="14"/>
      <c r="I107" s="15">
        <f t="shared" si="8"/>
        <v>247.667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48.75</v>
      </c>
      <c r="D108" s="15">
        <f>SUM(D82:D107)</f>
        <v>46.727000000000004</v>
      </c>
      <c r="E108" s="15"/>
      <c r="F108" s="14"/>
      <c r="G108" s="15">
        <f>SUM(G82:G107)</f>
        <v>48.75</v>
      </c>
      <c r="H108" s="15">
        <f>SUM(H82:H107)</f>
        <v>13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LEONAR, RONALD C.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JANUARY 15, 1982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7" t="s">
        <v>60</v>
      </c>
      <c r="C117" s="15"/>
      <c r="D117" s="14">
        <v>5</v>
      </c>
      <c r="E117" s="15">
        <f>E107+C117-D117</f>
        <v>155.39399999999998</v>
      </c>
      <c r="F117" s="14"/>
      <c r="G117" s="15">
        <f>C117</f>
        <v>0</v>
      </c>
      <c r="H117" s="14"/>
      <c r="I117" s="15">
        <f>I107+G117-H117</f>
        <v>247.667</v>
      </c>
      <c r="J117" s="14"/>
      <c r="K117" s="13" t="s">
        <v>1021</v>
      </c>
    </row>
    <row r="118" spans="1:11" ht="12.6" customHeight="1" x14ac:dyDescent="0.2">
      <c r="A118" s="13">
        <v>36532</v>
      </c>
      <c r="B118" s="17"/>
      <c r="C118" s="15">
        <v>1.25</v>
      </c>
      <c r="D118" s="14"/>
      <c r="E118" s="15">
        <f>E117+C118-D118</f>
        <v>156.64399999999998</v>
      </c>
      <c r="F118" s="14"/>
      <c r="G118" s="15">
        <f t="shared" ref="G118:G142" si="9">C118</f>
        <v>1.25</v>
      </c>
      <c r="H118" s="14"/>
      <c r="I118" s="15">
        <f>I117+G118-H118</f>
        <v>248.917</v>
      </c>
      <c r="J118" s="22"/>
      <c r="K118" s="23"/>
    </row>
    <row r="119" spans="1:11" ht="12.6" customHeight="1" x14ac:dyDescent="0.2">
      <c r="A119" s="13"/>
      <c r="B119" s="17" t="s">
        <v>870</v>
      </c>
      <c r="C119" s="15"/>
      <c r="D119" s="14">
        <v>8</v>
      </c>
      <c r="E119" s="15">
        <f t="shared" ref="E119:E142" si="10">E118+C119-D119</f>
        <v>148.64399999999998</v>
      </c>
      <c r="F119" s="14"/>
      <c r="G119" s="15">
        <f t="shared" si="9"/>
        <v>0</v>
      </c>
      <c r="H119" s="14"/>
      <c r="I119" s="15">
        <f t="shared" ref="I119:I142" si="11">I118+G119-H119</f>
        <v>248.917</v>
      </c>
      <c r="J119" s="14"/>
      <c r="K119" s="16" t="s">
        <v>1022</v>
      </c>
    </row>
    <row r="120" spans="1:11" ht="12.6" customHeight="1" x14ac:dyDescent="0.2">
      <c r="A120" s="13">
        <v>36892</v>
      </c>
      <c r="B120" s="19"/>
      <c r="C120" s="15">
        <v>7.5</v>
      </c>
      <c r="D120" s="14"/>
      <c r="E120" s="15">
        <f t="shared" si="10"/>
        <v>156.14399999999998</v>
      </c>
      <c r="F120" s="14"/>
      <c r="G120" s="15">
        <f t="shared" si="9"/>
        <v>7.5</v>
      </c>
      <c r="H120" s="14"/>
      <c r="I120" s="15">
        <f t="shared" si="11"/>
        <v>256.41700000000003</v>
      </c>
      <c r="J120" s="14"/>
      <c r="K120" s="13"/>
    </row>
    <row r="121" spans="1:11" ht="12.6" customHeight="1" x14ac:dyDescent="0.2">
      <c r="A121" s="29"/>
      <c r="B121" s="19" t="s">
        <v>1025</v>
      </c>
      <c r="C121" s="15"/>
      <c r="D121" s="14"/>
      <c r="E121" s="15">
        <f t="shared" si="10"/>
        <v>156.14399999999998</v>
      </c>
      <c r="F121" s="14"/>
      <c r="G121" s="15">
        <f t="shared" si="9"/>
        <v>0</v>
      </c>
      <c r="H121" s="14"/>
      <c r="I121" s="15">
        <f t="shared" si="11"/>
        <v>256.41700000000003</v>
      </c>
      <c r="J121" s="14"/>
      <c r="K121" s="13" t="s">
        <v>1023</v>
      </c>
    </row>
    <row r="122" spans="1:11" ht="12.6" customHeight="1" x14ac:dyDescent="0.2">
      <c r="A122" s="13"/>
      <c r="B122" s="19" t="s">
        <v>1026</v>
      </c>
      <c r="C122" s="15"/>
      <c r="D122" s="14">
        <v>2</v>
      </c>
      <c r="E122" s="15">
        <f t="shared" si="10"/>
        <v>154.14399999999998</v>
      </c>
      <c r="F122" s="14"/>
      <c r="G122" s="15">
        <f t="shared" si="9"/>
        <v>0</v>
      </c>
      <c r="H122" s="14"/>
      <c r="I122" s="15">
        <f t="shared" si="11"/>
        <v>256.41700000000003</v>
      </c>
      <c r="J122" s="14"/>
      <c r="K122" s="13" t="s">
        <v>1024</v>
      </c>
    </row>
    <row r="123" spans="1:11" ht="12.6" customHeight="1" x14ac:dyDescent="0.2">
      <c r="A123" s="13">
        <v>36894</v>
      </c>
      <c r="B123" s="17"/>
      <c r="C123" s="15">
        <v>2.5</v>
      </c>
      <c r="D123" s="14"/>
      <c r="E123" s="15">
        <f t="shared" si="10"/>
        <v>156.64399999999998</v>
      </c>
      <c r="F123" s="14"/>
      <c r="G123" s="15">
        <f t="shared" si="9"/>
        <v>2.5</v>
      </c>
      <c r="H123" s="14"/>
      <c r="I123" s="15">
        <f t="shared" si="11"/>
        <v>258.91700000000003</v>
      </c>
      <c r="J123" s="14"/>
      <c r="K123" s="13"/>
    </row>
    <row r="124" spans="1:11" ht="12.6" customHeight="1" x14ac:dyDescent="0.2">
      <c r="A124" s="13"/>
      <c r="B124" s="19" t="s">
        <v>74</v>
      </c>
      <c r="C124" s="15"/>
      <c r="D124" s="14">
        <v>1</v>
      </c>
      <c r="E124" s="15">
        <f t="shared" si="10"/>
        <v>155.64399999999998</v>
      </c>
      <c r="F124" s="14"/>
      <c r="G124" s="15">
        <f t="shared" si="9"/>
        <v>0</v>
      </c>
      <c r="H124" s="14"/>
      <c r="I124" s="15">
        <f t="shared" si="11"/>
        <v>258.91700000000003</v>
      </c>
      <c r="J124" s="14"/>
      <c r="K124" s="13">
        <v>37228</v>
      </c>
    </row>
    <row r="125" spans="1:11" ht="12.6" customHeight="1" x14ac:dyDescent="0.2">
      <c r="A125" s="13">
        <v>36898</v>
      </c>
      <c r="B125" s="17"/>
      <c r="C125" s="15">
        <v>5</v>
      </c>
      <c r="D125" s="14"/>
      <c r="E125" s="15">
        <f t="shared" si="10"/>
        <v>160.64399999999998</v>
      </c>
      <c r="F125" s="14"/>
      <c r="G125" s="15">
        <f t="shared" si="9"/>
        <v>5</v>
      </c>
      <c r="H125" s="14"/>
      <c r="I125" s="15">
        <f t="shared" si="11"/>
        <v>263.91700000000003</v>
      </c>
      <c r="J125" s="14"/>
      <c r="K125" s="16"/>
    </row>
    <row r="126" spans="1:11" ht="12.6" customHeight="1" x14ac:dyDescent="0.2">
      <c r="A126" s="13"/>
      <c r="B126" s="17" t="s">
        <v>831</v>
      </c>
      <c r="C126" s="15"/>
      <c r="D126" s="14"/>
      <c r="E126" s="15">
        <f t="shared" si="10"/>
        <v>160.64399999999998</v>
      </c>
      <c r="F126" s="14"/>
      <c r="G126" s="15">
        <f t="shared" si="9"/>
        <v>0</v>
      </c>
      <c r="H126" s="14"/>
      <c r="I126" s="15">
        <f t="shared" si="11"/>
        <v>263.91700000000003</v>
      </c>
      <c r="J126" s="14"/>
      <c r="K126" s="16" t="s">
        <v>1027</v>
      </c>
    </row>
    <row r="127" spans="1:11" ht="12.6" customHeight="1" x14ac:dyDescent="0.2">
      <c r="A127" s="13"/>
      <c r="B127" s="19" t="s">
        <v>95</v>
      </c>
      <c r="C127" s="15"/>
      <c r="D127" s="14">
        <v>3</v>
      </c>
      <c r="E127" s="15">
        <f t="shared" si="10"/>
        <v>157.64399999999998</v>
      </c>
      <c r="F127" s="14"/>
      <c r="G127" s="15">
        <f t="shared" si="9"/>
        <v>0</v>
      </c>
      <c r="H127" s="14"/>
      <c r="I127" s="15">
        <f t="shared" si="11"/>
        <v>263.91700000000003</v>
      </c>
      <c r="J127" s="14"/>
      <c r="K127" s="13" t="s">
        <v>1028</v>
      </c>
    </row>
    <row r="128" spans="1:11" ht="12.6" customHeight="1" x14ac:dyDescent="0.2">
      <c r="A128" s="13">
        <v>36900</v>
      </c>
      <c r="B128" s="17"/>
      <c r="C128" s="15">
        <v>2.5</v>
      </c>
      <c r="D128" s="14"/>
      <c r="E128" s="15">
        <f t="shared" si="10"/>
        <v>160.14399999999998</v>
      </c>
      <c r="F128" s="14"/>
      <c r="G128" s="15">
        <f t="shared" si="9"/>
        <v>2.5</v>
      </c>
      <c r="H128" s="14"/>
      <c r="I128" s="15">
        <f t="shared" si="11"/>
        <v>266.41700000000003</v>
      </c>
      <c r="J128" s="14"/>
      <c r="K128" s="13"/>
    </row>
    <row r="129" spans="1:11" ht="12.6" customHeight="1" x14ac:dyDescent="0.2">
      <c r="A129" s="13"/>
      <c r="B129" s="19" t="s">
        <v>689</v>
      </c>
      <c r="C129" s="15"/>
      <c r="D129" s="14"/>
      <c r="E129" s="15">
        <f t="shared" si="10"/>
        <v>160.14399999999998</v>
      </c>
      <c r="F129" s="14"/>
      <c r="G129" s="15">
        <f t="shared" si="9"/>
        <v>0</v>
      </c>
      <c r="H129" s="14">
        <v>6</v>
      </c>
      <c r="I129" s="15">
        <f t="shared" si="11"/>
        <v>260.41700000000003</v>
      </c>
      <c r="J129" s="14"/>
      <c r="K129" s="13" t="s">
        <v>1029</v>
      </c>
    </row>
    <row r="130" spans="1:11" ht="12.6" customHeight="1" x14ac:dyDescent="0.2">
      <c r="A130" s="13">
        <v>37257</v>
      </c>
      <c r="B130" s="19"/>
      <c r="C130" s="15">
        <v>5</v>
      </c>
      <c r="D130" s="14"/>
      <c r="E130" s="15">
        <f t="shared" si="10"/>
        <v>165.14399999999998</v>
      </c>
      <c r="F130" s="14"/>
      <c r="G130" s="15">
        <f t="shared" si="9"/>
        <v>5</v>
      </c>
      <c r="H130" s="14"/>
      <c r="I130" s="15">
        <f t="shared" si="11"/>
        <v>265.41700000000003</v>
      </c>
      <c r="J130" s="14"/>
      <c r="K130" s="13"/>
    </row>
    <row r="131" spans="1:11" ht="12.6" customHeight="1" x14ac:dyDescent="0.2">
      <c r="A131" s="13">
        <v>37263</v>
      </c>
      <c r="B131" s="19"/>
      <c r="C131" s="15">
        <v>7.5</v>
      </c>
      <c r="D131" s="14"/>
      <c r="E131" s="15">
        <f t="shared" si="10"/>
        <v>172.64399999999998</v>
      </c>
      <c r="F131" s="14"/>
      <c r="G131" s="15">
        <f t="shared" si="9"/>
        <v>7.5</v>
      </c>
      <c r="H131" s="14"/>
      <c r="I131" s="15">
        <f t="shared" si="11"/>
        <v>272.91700000000003</v>
      </c>
      <c r="J131" s="14"/>
      <c r="K131" s="33"/>
    </row>
    <row r="132" spans="1:11" ht="12.6" customHeight="1" x14ac:dyDescent="0.2">
      <c r="A132" s="13"/>
      <c r="B132" s="19" t="s">
        <v>125</v>
      </c>
      <c r="C132" s="15"/>
      <c r="D132" s="14"/>
      <c r="E132" s="15">
        <f t="shared" si="10"/>
        <v>172.64399999999998</v>
      </c>
      <c r="F132" s="14"/>
      <c r="G132" s="15">
        <f t="shared" si="9"/>
        <v>0</v>
      </c>
      <c r="H132" s="14">
        <v>4</v>
      </c>
      <c r="I132" s="15">
        <f t="shared" si="11"/>
        <v>268.91700000000003</v>
      </c>
      <c r="J132" s="14"/>
      <c r="K132" s="13" t="s">
        <v>1030</v>
      </c>
    </row>
    <row r="133" spans="1:11" ht="12.6" customHeight="1" x14ac:dyDescent="0.2">
      <c r="A133" s="13"/>
      <c r="B133" s="19" t="s">
        <v>1032</v>
      </c>
      <c r="C133" s="15"/>
      <c r="D133" s="14">
        <v>22</v>
      </c>
      <c r="E133" s="15">
        <f t="shared" si="10"/>
        <v>150.64399999999998</v>
      </c>
      <c r="F133" s="14"/>
      <c r="G133" s="15">
        <f t="shared" si="9"/>
        <v>0</v>
      </c>
      <c r="H133" s="14"/>
      <c r="I133" s="15">
        <f t="shared" si="11"/>
        <v>268.91700000000003</v>
      </c>
      <c r="J133" s="14"/>
      <c r="K133" s="16" t="s">
        <v>1031</v>
      </c>
    </row>
    <row r="134" spans="1:11" ht="12.6" customHeight="1" x14ac:dyDescent="0.2">
      <c r="A134" s="13">
        <v>37264</v>
      </c>
      <c r="B134" s="19"/>
      <c r="C134" s="15">
        <v>1.25</v>
      </c>
      <c r="D134" s="14"/>
      <c r="E134" s="15">
        <f t="shared" si="10"/>
        <v>151.89399999999998</v>
      </c>
      <c r="F134" s="14"/>
      <c r="G134" s="15">
        <f t="shared" si="9"/>
        <v>1.25</v>
      </c>
      <c r="H134" s="14"/>
      <c r="I134" s="15">
        <f t="shared" si="11"/>
        <v>270.16700000000003</v>
      </c>
      <c r="J134" s="14"/>
      <c r="K134" s="13"/>
    </row>
    <row r="135" spans="1:11" ht="12.6" customHeight="1" x14ac:dyDescent="0.2">
      <c r="A135" s="13"/>
      <c r="B135" s="19" t="s">
        <v>1034</v>
      </c>
      <c r="C135" s="15"/>
      <c r="D135" s="14">
        <v>24</v>
      </c>
      <c r="E135" s="15">
        <f t="shared" si="10"/>
        <v>127.89399999999998</v>
      </c>
      <c r="F135" s="14"/>
      <c r="G135" s="15">
        <f t="shared" si="9"/>
        <v>0</v>
      </c>
      <c r="H135" s="14"/>
      <c r="I135" s="15">
        <f t="shared" si="11"/>
        <v>270.16700000000003</v>
      </c>
      <c r="J135" s="14"/>
      <c r="K135" s="13" t="s">
        <v>1033</v>
      </c>
    </row>
    <row r="136" spans="1:11" ht="12.6" customHeight="1" x14ac:dyDescent="0.2">
      <c r="A136" s="13">
        <v>37266</v>
      </c>
      <c r="B136" s="19"/>
      <c r="C136" s="15">
        <v>2.5</v>
      </c>
      <c r="D136" s="14"/>
      <c r="E136" s="15">
        <f t="shared" si="10"/>
        <v>130.39399999999998</v>
      </c>
      <c r="F136" s="14"/>
      <c r="G136" s="15">
        <f t="shared" si="9"/>
        <v>2.5</v>
      </c>
      <c r="H136" s="14"/>
      <c r="I136" s="15">
        <f t="shared" si="11"/>
        <v>272.66700000000003</v>
      </c>
      <c r="J136" s="14"/>
      <c r="K136" s="13"/>
    </row>
    <row r="137" spans="1:11" ht="12.6" customHeight="1" x14ac:dyDescent="0.2">
      <c r="A137" s="13"/>
      <c r="B137" s="19" t="s">
        <v>81</v>
      </c>
      <c r="C137" s="15"/>
      <c r="D137" s="14"/>
      <c r="E137" s="15">
        <f t="shared" si="10"/>
        <v>130.39399999999998</v>
      </c>
      <c r="F137" s="14"/>
      <c r="G137" s="15">
        <f t="shared" si="9"/>
        <v>0</v>
      </c>
      <c r="H137" s="14"/>
      <c r="I137" s="15">
        <f t="shared" si="11"/>
        <v>272.66700000000003</v>
      </c>
      <c r="J137" s="14"/>
      <c r="K137" s="13">
        <v>37539</v>
      </c>
    </row>
    <row r="138" spans="1:11" ht="12.6" customHeight="1" x14ac:dyDescent="0.2">
      <c r="A138" s="13">
        <v>37624</v>
      </c>
      <c r="B138" s="19"/>
      <c r="C138" s="15">
        <v>6.25</v>
      </c>
      <c r="D138" s="14"/>
      <c r="E138" s="15">
        <f t="shared" si="10"/>
        <v>136.64399999999998</v>
      </c>
      <c r="F138" s="14"/>
      <c r="G138" s="15">
        <f t="shared" si="9"/>
        <v>6.25</v>
      </c>
      <c r="H138" s="14"/>
      <c r="I138" s="15">
        <f t="shared" si="11"/>
        <v>278.91700000000003</v>
      </c>
      <c r="J138" s="14"/>
      <c r="K138" s="19"/>
    </row>
    <row r="139" spans="1:11" ht="12.6" customHeight="1" x14ac:dyDescent="0.2">
      <c r="A139" s="13"/>
      <c r="B139" s="19" t="s">
        <v>876</v>
      </c>
      <c r="C139" s="15"/>
      <c r="D139" s="14">
        <v>45</v>
      </c>
      <c r="E139" s="15">
        <f t="shared" si="10"/>
        <v>91.643999999999977</v>
      </c>
      <c r="F139" s="14"/>
      <c r="G139" s="15">
        <f t="shared" si="9"/>
        <v>0</v>
      </c>
      <c r="H139" s="14"/>
      <c r="I139" s="15">
        <f t="shared" si="11"/>
        <v>278.91700000000003</v>
      </c>
      <c r="J139" s="14"/>
      <c r="K139" s="13"/>
    </row>
    <row r="140" spans="1:11" ht="12.6" customHeight="1" x14ac:dyDescent="0.2">
      <c r="A140" s="13"/>
      <c r="B140" s="19" t="s">
        <v>876</v>
      </c>
      <c r="C140" s="15"/>
      <c r="D140" s="14"/>
      <c r="E140" s="15">
        <f t="shared" si="10"/>
        <v>91.643999999999977</v>
      </c>
      <c r="F140" s="14"/>
      <c r="G140" s="15">
        <f t="shared" si="9"/>
        <v>0</v>
      </c>
      <c r="H140" s="14">
        <v>45</v>
      </c>
      <c r="I140" s="15">
        <f t="shared" si="11"/>
        <v>233.91700000000003</v>
      </c>
      <c r="J140" s="14"/>
      <c r="K140" s="13"/>
    </row>
    <row r="141" spans="1:11" ht="12.6" customHeight="1" x14ac:dyDescent="0.2">
      <c r="A141" s="13">
        <v>37633</v>
      </c>
      <c r="B141" s="19"/>
      <c r="C141" s="15">
        <v>11.25</v>
      </c>
      <c r="D141" s="14"/>
      <c r="E141" s="15">
        <f t="shared" si="10"/>
        <v>102.89399999999998</v>
      </c>
      <c r="F141" s="14"/>
      <c r="G141" s="15">
        <f t="shared" si="9"/>
        <v>11.25</v>
      </c>
      <c r="H141" s="14"/>
      <c r="I141" s="15">
        <f t="shared" si="11"/>
        <v>245.16700000000003</v>
      </c>
      <c r="J141" s="14"/>
      <c r="K141" s="13"/>
    </row>
    <row r="142" spans="1:11" ht="12.6" customHeight="1" x14ac:dyDescent="0.2">
      <c r="A142" s="13"/>
      <c r="B142" s="19" t="s">
        <v>65</v>
      </c>
      <c r="C142" s="15"/>
      <c r="D142" s="14">
        <v>5</v>
      </c>
      <c r="E142" s="15">
        <f t="shared" si="10"/>
        <v>97.893999999999977</v>
      </c>
      <c r="F142" s="14"/>
      <c r="G142" s="15">
        <f t="shared" si="9"/>
        <v>0</v>
      </c>
      <c r="H142" s="14"/>
      <c r="I142" s="15">
        <f t="shared" si="11"/>
        <v>245.16700000000003</v>
      </c>
      <c r="J142" s="14"/>
      <c r="K142" s="16" t="s">
        <v>1035</v>
      </c>
    </row>
    <row r="143" spans="1:11" ht="12.6" customHeight="1" x14ac:dyDescent="0.2">
      <c r="A143" s="19"/>
      <c r="B143" s="19"/>
      <c r="C143" s="15">
        <f>SUM(C117:C142)</f>
        <v>52.5</v>
      </c>
      <c r="D143" s="15">
        <f>SUM(D117:D142)</f>
        <v>115</v>
      </c>
      <c r="E143" s="15"/>
      <c r="F143" s="14"/>
      <c r="G143" s="15">
        <f>SUM(G117:G142)</f>
        <v>52.5</v>
      </c>
      <c r="H143" s="15">
        <f>SUM(H117:H142)</f>
        <v>55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LEONAR, RONALD C.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JANUARY 15, 1982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45</v>
      </c>
      <c r="C156" s="15"/>
      <c r="D156" s="14"/>
      <c r="E156" s="15">
        <f>E142+C156-D156</f>
        <v>97.893999999999977</v>
      </c>
      <c r="F156" s="14"/>
      <c r="G156" s="15">
        <f>C156</f>
        <v>0</v>
      </c>
      <c r="H156" s="14"/>
      <c r="I156" s="15">
        <f>I142+G156-H156</f>
        <v>245.16700000000003</v>
      </c>
      <c r="J156" s="14"/>
      <c r="K156" s="13" t="s">
        <v>1036</v>
      </c>
    </row>
    <row r="157" spans="1:11" ht="12.6" customHeight="1" x14ac:dyDescent="0.2">
      <c r="A157" s="13">
        <v>37989</v>
      </c>
      <c r="B157" s="19"/>
      <c r="C157" s="15">
        <v>3.75</v>
      </c>
      <c r="D157" s="14"/>
      <c r="E157" s="15">
        <f>E156+C157-D157</f>
        <v>101.64399999999998</v>
      </c>
      <c r="F157" s="14"/>
      <c r="G157" s="15">
        <f t="shared" ref="G157:G181" si="12">C157</f>
        <v>3.75</v>
      </c>
      <c r="H157" s="14"/>
      <c r="I157" s="15">
        <f>I156+G157-H157</f>
        <v>248.91700000000003</v>
      </c>
      <c r="J157" s="14"/>
      <c r="K157" s="13"/>
    </row>
    <row r="158" spans="1:11" ht="12.6" customHeight="1" x14ac:dyDescent="0.2">
      <c r="A158" s="13"/>
      <c r="B158" s="19" t="s">
        <v>1038</v>
      </c>
      <c r="C158" s="15"/>
      <c r="D158" s="14">
        <v>11</v>
      </c>
      <c r="E158" s="15">
        <f t="shared" ref="E158:E181" si="13">E157+C158-D158</f>
        <v>90.643999999999977</v>
      </c>
      <c r="F158" s="22"/>
      <c r="G158" s="15">
        <f t="shared" si="12"/>
        <v>0</v>
      </c>
      <c r="H158" s="34"/>
      <c r="I158" s="15">
        <f t="shared" ref="I158:I181" si="14">I157+G158-H158</f>
        <v>248.91700000000003</v>
      </c>
      <c r="J158" s="14"/>
      <c r="K158" s="13" t="s">
        <v>1037</v>
      </c>
    </row>
    <row r="159" spans="1:11" ht="12.6" customHeight="1" x14ac:dyDescent="0.2">
      <c r="A159" s="13"/>
      <c r="B159" s="19"/>
      <c r="C159" s="15"/>
      <c r="D159" s="14"/>
      <c r="E159" s="15">
        <f t="shared" si="13"/>
        <v>90.643999999999977</v>
      </c>
      <c r="F159" s="14"/>
      <c r="G159" s="15">
        <f t="shared" si="12"/>
        <v>0</v>
      </c>
      <c r="H159" s="34"/>
      <c r="I159" s="15">
        <f t="shared" si="14"/>
        <v>248.91700000000003</v>
      </c>
      <c r="J159" s="14"/>
      <c r="K159" s="13"/>
    </row>
    <row r="160" spans="1:11" ht="12.6" customHeight="1" x14ac:dyDescent="0.2">
      <c r="A160" s="13">
        <v>37995</v>
      </c>
      <c r="B160" s="19"/>
      <c r="C160" s="15">
        <v>7.5</v>
      </c>
      <c r="D160" s="14"/>
      <c r="E160" s="15">
        <f t="shared" si="13"/>
        <v>98.143999999999977</v>
      </c>
      <c r="F160" s="14"/>
      <c r="G160" s="15">
        <f t="shared" si="12"/>
        <v>7.5</v>
      </c>
      <c r="H160" s="34"/>
      <c r="I160" s="15">
        <f t="shared" si="14"/>
        <v>256.41700000000003</v>
      </c>
      <c r="J160" s="14"/>
      <c r="K160" s="16"/>
    </row>
    <row r="161" spans="1:11" ht="12.6" customHeight="1" x14ac:dyDescent="0.2">
      <c r="A161" s="13"/>
      <c r="B161" s="19" t="s">
        <v>507</v>
      </c>
      <c r="C161" s="15"/>
      <c r="D161" s="14">
        <v>14</v>
      </c>
      <c r="E161" s="15">
        <f t="shared" si="13"/>
        <v>84.143999999999977</v>
      </c>
      <c r="F161" s="14"/>
      <c r="G161" s="15">
        <f t="shared" si="12"/>
        <v>0</v>
      </c>
      <c r="H161" s="34"/>
      <c r="I161" s="15">
        <f t="shared" si="14"/>
        <v>256.41700000000003</v>
      </c>
      <c r="J161" s="14"/>
      <c r="K161" s="13" t="s">
        <v>1039</v>
      </c>
    </row>
    <row r="162" spans="1:11" ht="12.6" customHeight="1" x14ac:dyDescent="0.2">
      <c r="A162" s="13">
        <v>38353</v>
      </c>
      <c r="B162" s="19"/>
      <c r="C162" s="15">
        <v>5</v>
      </c>
      <c r="D162" s="14"/>
      <c r="E162" s="15">
        <f t="shared" si="13"/>
        <v>89.143999999999977</v>
      </c>
      <c r="F162" s="14"/>
      <c r="G162" s="15">
        <f t="shared" si="12"/>
        <v>5</v>
      </c>
      <c r="H162" s="34"/>
      <c r="I162" s="15">
        <f t="shared" si="14"/>
        <v>261.41700000000003</v>
      </c>
      <c r="J162" s="14"/>
      <c r="K162" s="16"/>
    </row>
    <row r="163" spans="1:11" ht="12.6" customHeight="1" x14ac:dyDescent="0.2">
      <c r="A163" s="13"/>
      <c r="B163" s="19"/>
      <c r="C163" s="15"/>
      <c r="D163" s="22">
        <v>2E-3</v>
      </c>
      <c r="E163" s="15">
        <f t="shared" si="13"/>
        <v>89.141999999999982</v>
      </c>
      <c r="F163" s="22"/>
      <c r="G163" s="15">
        <f t="shared" si="12"/>
        <v>0</v>
      </c>
      <c r="H163" s="14"/>
      <c r="I163" s="15">
        <f t="shared" si="14"/>
        <v>261.41700000000003</v>
      </c>
      <c r="J163" s="14"/>
      <c r="K163" s="13" t="s">
        <v>611</v>
      </c>
    </row>
    <row r="164" spans="1:11" ht="12.6" customHeight="1" x14ac:dyDescent="0.2">
      <c r="A164" s="13">
        <v>38354</v>
      </c>
      <c r="B164" s="19"/>
      <c r="C164" s="15">
        <v>1.25</v>
      </c>
      <c r="D164" s="22"/>
      <c r="E164" s="15">
        <f t="shared" si="13"/>
        <v>90.391999999999982</v>
      </c>
      <c r="F164" s="14"/>
      <c r="G164" s="15">
        <f t="shared" si="12"/>
        <v>1.25</v>
      </c>
      <c r="H164" s="34"/>
      <c r="I164" s="15">
        <f t="shared" si="14"/>
        <v>262.66700000000003</v>
      </c>
      <c r="J164" s="14"/>
      <c r="K164" s="13"/>
    </row>
    <row r="165" spans="1:11" ht="12.6" customHeight="1" x14ac:dyDescent="0.2">
      <c r="A165" s="13"/>
      <c r="B165" s="19" t="s">
        <v>60</v>
      </c>
      <c r="C165" s="15"/>
      <c r="D165" s="14">
        <v>5</v>
      </c>
      <c r="E165" s="15">
        <f t="shared" si="13"/>
        <v>85.391999999999982</v>
      </c>
      <c r="F165" s="14"/>
      <c r="G165" s="15">
        <f t="shared" si="12"/>
        <v>0</v>
      </c>
      <c r="H165" s="34"/>
      <c r="I165" s="15">
        <f t="shared" si="14"/>
        <v>262.66700000000003</v>
      </c>
      <c r="J165" s="14"/>
      <c r="K165" s="13" t="s">
        <v>1040</v>
      </c>
    </row>
    <row r="166" spans="1:11" ht="12.6" customHeight="1" x14ac:dyDescent="0.2">
      <c r="A166" s="13">
        <v>38358</v>
      </c>
      <c r="B166" s="19"/>
      <c r="C166" s="15">
        <v>5</v>
      </c>
      <c r="D166" s="14"/>
      <c r="E166" s="15">
        <f t="shared" si="13"/>
        <v>90.391999999999982</v>
      </c>
      <c r="F166" s="22"/>
      <c r="G166" s="15">
        <f t="shared" si="12"/>
        <v>5</v>
      </c>
      <c r="H166" s="34"/>
      <c r="I166" s="15">
        <f t="shared" si="14"/>
        <v>267.66700000000003</v>
      </c>
      <c r="J166" s="14"/>
      <c r="K166" s="13"/>
    </row>
    <row r="167" spans="1:11" ht="12.6" customHeight="1" x14ac:dyDescent="0.2">
      <c r="A167" s="13"/>
      <c r="B167" s="19" t="s">
        <v>1038</v>
      </c>
      <c r="C167" s="15"/>
      <c r="D167" s="14">
        <v>11</v>
      </c>
      <c r="E167" s="15">
        <f t="shared" si="13"/>
        <v>79.391999999999982</v>
      </c>
      <c r="F167" s="22"/>
      <c r="G167" s="15">
        <f t="shared" si="12"/>
        <v>0</v>
      </c>
      <c r="H167" s="35"/>
      <c r="I167" s="15">
        <f t="shared" si="14"/>
        <v>267.66700000000003</v>
      </c>
      <c r="J167" s="14"/>
      <c r="K167" s="16" t="s">
        <v>1041</v>
      </c>
    </row>
    <row r="168" spans="1:11" ht="12.6" customHeight="1" x14ac:dyDescent="0.2">
      <c r="A168" s="13">
        <v>38359</v>
      </c>
      <c r="B168" s="19"/>
      <c r="C168" s="15">
        <v>1.25</v>
      </c>
      <c r="D168" s="14"/>
      <c r="E168" s="15">
        <f t="shared" si="13"/>
        <v>80.641999999999982</v>
      </c>
      <c r="F168" s="14"/>
      <c r="G168" s="15">
        <f t="shared" si="12"/>
        <v>1.25</v>
      </c>
      <c r="H168" s="32"/>
      <c r="I168" s="15">
        <f t="shared" si="14"/>
        <v>268.91700000000003</v>
      </c>
      <c r="J168" s="14"/>
      <c r="K168" s="13"/>
    </row>
    <row r="169" spans="1:11" ht="12.6" customHeight="1" x14ac:dyDescent="0.2">
      <c r="A169" s="13"/>
      <c r="B169" s="19" t="s">
        <v>1043</v>
      </c>
      <c r="C169" s="15"/>
      <c r="D169" s="14">
        <v>20</v>
      </c>
      <c r="E169" s="15">
        <f t="shared" si="13"/>
        <v>60.641999999999982</v>
      </c>
      <c r="F169" s="22"/>
      <c r="G169" s="15">
        <f t="shared" si="12"/>
        <v>0</v>
      </c>
      <c r="H169" s="34"/>
      <c r="I169" s="15">
        <f t="shared" si="14"/>
        <v>268.91700000000003</v>
      </c>
      <c r="J169" s="14"/>
      <c r="K169" s="13" t="s">
        <v>1042</v>
      </c>
    </row>
    <row r="170" spans="1:11" ht="12.6" customHeight="1" x14ac:dyDescent="0.2">
      <c r="A170" s="13">
        <v>38361</v>
      </c>
      <c r="B170" s="19"/>
      <c r="C170" s="15">
        <v>2.5</v>
      </c>
      <c r="D170" s="14"/>
      <c r="E170" s="15">
        <f t="shared" si="13"/>
        <v>63.141999999999982</v>
      </c>
      <c r="F170" s="14"/>
      <c r="G170" s="15">
        <f t="shared" si="12"/>
        <v>2.5</v>
      </c>
      <c r="H170" s="14"/>
      <c r="I170" s="15">
        <f t="shared" si="14"/>
        <v>271.41700000000003</v>
      </c>
      <c r="J170" s="14"/>
      <c r="K170" s="13"/>
    </row>
    <row r="171" spans="1:11" ht="12.6" customHeight="1" x14ac:dyDescent="0.2">
      <c r="A171" s="13"/>
      <c r="B171" s="19" t="s">
        <v>271</v>
      </c>
      <c r="C171" s="15"/>
      <c r="D171" s="14"/>
      <c r="E171" s="15">
        <f t="shared" si="13"/>
        <v>63.141999999999982</v>
      </c>
      <c r="F171" s="14"/>
      <c r="G171" s="15">
        <f t="shared" si="12"/>
        <v>0</v>
      </c>
      <c r="H171" s="34">
        <v>5</v>
      </c>
      <c r="I171" s="15">
        <f t="shared" si="14"/>
        <v>266.41700000000003</v>
      </c>
      <c r="J171" s="14"/>
      <c r="K171" s="16" t="s">
        <v>1044</v>
      </c>
    </row>
    <row r="172" spans="1:11" ht="12.6" customHeight="1" x14ac:dyDescent="0.2">
      <c r="A172" s="13">
        <v>38718</v>
      </c>
      <c r="B172" s="19"/>
      <c r="C172" s="15">
        <v>5</v>
      </c>
      <c r="D172" s="14"/>
      <c r="E172" s="15">
        <f t="shared" si="13"/>
        <v>68.141999999999982</v>
      </c>
      <c r="F172" s="14"/>
      <c r="G172" s="15">
        <f t="shared" si="12"/>
        <v>5</v>
      </c>
      <c r="H172" s="34"/>
      <c r="I172" s="15">
        <f t="shared" si="14"/>
        <v>271.41700000000003</v>
      </c>
      <c r="J172" s="14"/>
      <c r="K172" s="13"/>
    </row>
    <row r="173" spans="1:11" ht="12.6" customHeight="1" x14ac:dyDescent="0.2">
      <c r="A173" s="13">
        <v>38727</v>
      </c>
      <c r="B173" s="19"/>
      <c r="C173" s="15">
        <v>11.25</v>
      </c>
      <c r="D173" s="14"/>
      <c r="E173" s="15">
        <f t="shared" si="13"/>
        <v>79.391999999999982</v>
      </c>
      <c r="F173" s="14"/>
      <c r="G173" s="15">
        <f t="shared" si="12"/>
        <v>11.25</v>
      </c>
      <c r="H173" s="35"/>
      <c r="I173" s="15">
        <f t="shared" si="14"/>
        <v>282.66700000000003</v>
      </c>
      <c r="J173" s="14"/>
      <c r="K173" s="13"/>
    </row>
    <row r="174" spans="1:11" ht="12.6" customHeight="1" x14ac:dyDescent="0.2">
      <c r="A174" s="13"/>
      <c r="B174" s="19" t="s">
        <v>90</v>
      </c>
      <c r="C174" s="15"/>
      <c r="D174" s="14"/>
      <c r="E174" s="15">
        <f t="shared" si="13"/>
        <v>79.391999999999982</v>
      </c>
      <c r="F174" s="22"/>
      <c r="G174" s="15">
        <f t="shared" si="12"/>
        <v>0</v>
      </c>
      <c r="H174" s="14"/>
      <c r="I174" s="15">
        <f t="shared" si="14"/>
        <v>282.66700000000003</v>
      </c>
      <c r="J174" s="14"/>
      <c r="K174" s="13" t="s">
        <v>1045</v>
      </c>
    </row>
    <row r="175" spans="1:11" ht="12.6" customHeight="1" x14ac:dyDescent="0.2">
      <c r="A175" s="13"/>
      <c r="B175" s="19" t="s">
        <v>56</v>
      </c>
      <c r="C175" s="15"/>
      <c r="D175" s="14">
        <v>4</v>
      </c>
      <c r="E175" s="15">
        <f t="shared" si="13"/>
        <v>75.391999999999982</v>
      </c>
      <c r="F175" s="22"/>
      <c r="G175" s="15">
        <f t="shared" si="12"/>
        <v>0</v>
      </c>
      <c r="H175" s="34"/>
      <c r="I175" s="15">
        <f t="shared" si="14"/>
        <v>282.66700000000003</v>
      </c>
      <c r="J175" s="14"/>
      <c r="K175" s="13" t="s">
        <v>1046</v>
      </c>
    </row>
    <row r="176" spans="1:11" ht="12.6" customHeight="1" x14ac:dyDescent="0.2">
      <c r="A176" s="13">
        <v>39083</v>
      </c>
      <c r="B176" s="19"/>
      <c r="C176" s="15">
        <v>3.75</v>
      </c>
      <c r="D176" s="14"/>
      <c r="E176" s="15">
        <f t="shared" si="13"/>
        <v>79.141999999999982</v>
      </c>
      <c r="F176" s="14"/>
      <c r="G176" s="15">
        <f t="shared" si="12"/>
        <v>3.75</v>
      </c>
      <c r="H176" s="32"/>
      <c r="I176" s="15">
        <f t="shared" si="14"/>
        <v>286.41700000000003</v>
      </c>
      <c r="J176" s="14"/>
      <c r="K176" s="16"/>
    </row>
    <row r="177" spans="1:11" ht="12.6" customHeight="1" x14ac:dyDescent="0.2">
      <c r="A177" s="13"/>
      <c r="B177" s="19" t="s">
        <v>57</v>
      </c>
      <c r="C177" s="15"/>
      <c r="D177" s="14">
        <v>1</v>
      </c>
      <c r="E177" s="15">
        <f t="shared" si="13"/>
        <v>78.141999999999982</v>
      </c>
      <c r="F177" s="14"/>
      <c r="G177" s="15">
        <f t="shared" si="12"/>
        <v>0</v>
      </c>
      <c r="H177" s="34"/>
      <c r="I177" s="15">
        <f t="shared" si="14"/>
        <v>286.41700000000003</v>
      </c>
      <c r="J177" s="14"/>
      <c r="K177" s="16" t="s">
        <v>116</v>
      </c>
    </row>
    <row r="178" spans="1:11" ht="12.6" customHeight="1" x14ac:dyDescent="0.2">
      <c r="A178" s="13">
        <v>39089</v>
      </c>
      <c r="B178" s="19"/>
      <c r="C178" s="15">
        <v>7.5</v>
      </c>
      <c r="D178" s="14"/>
      <c r="E178" s="15">
        <f t="shared" si="13"/>
        <v>85.641999999999982</v>
      </c>
      <c r="F178" s="14"/>
      <c r="G178" s="15">
        <f t="shared" si="12"/>
        <v>7.5</v>
      </c>
      <c r="H178" s="34"/>
      <c r="I178" s="15">
        <f t="shared" si="14"/>
        <v>293.91700000000003</v>
      </c>
      <c r="J178" s="14"/>
      <c r="K178" s="13"/>
    </row>
    <row r="179" spans="1:11" ht="12.6" customHeight="1" x14ac:dyDescent="0.2">
      <c r="A179" s="13"/>
      <c r="B179" s="19" t="s">
        <v>47</v>
      </c>
      <c r="C179" s="15"/>
      <c r="D179" s="14"/>
      <c r="E179" s="15">
        <f t="shared" si="13"/>
        <v>85.641999999999982</v>
      </c>
      <c r="F179" s="14"/>
      <c r="G179" s="15">
        <f t="shared" si="12"/>
        <v>0</v>
      </c>
      <c r="H179" s="34">
        <v>1</v>
      </c>
      <c r="I179" s="15">
        <f t="shared" si="14"/>
        <v>292.91700000000003</v>
      </c>
      <c r="J179" s="14"/>
      <c r="K179" s="16" t="s">
        <v>1047</v>
      </c>
    </row>
    <row r="180" spans="1:11" ht="12.6" customHeight="1" x14ac:dyDescent="0.2">
      <c r="A180" s="13">
        <v>39448</v>
      </c>
      <c r="B180" s="19"/>
      <c r="C180" s="15">
        <v>7.5</v>
      </c>
      <c r="D180" s="14"/>
      <c r="E180" s="15">
        <f t="shared" si="13"/>
        <v>93.141999999999982</v>
      </c>
      <c r="F180" s="14"/>
      <c r="G180" s="15">
        <f t="shared" si="12"/>
        <v>7.5</v>
      </c>
      <c r="H180" s="34"/>
      <c r="I180" s="15">
        <f t="shared" si="14"/>
        <v>300.41700000000003</v>
      </c>
      <c r="J180" s="14"/>
      <c r="K180" s="13"/>
    </row>
    <row r="181" spans="1:11" ht="12.6" customHeight="1" x14ac:dyDescent="0.2">
      <c r="A181" s="13"/>
      <c r="B181" s="19"/>
      <c r="C181" s="15"/>
      <c r="D181" s="14">
        <v>0.13400000000000001</v>
      </c>
      <c r="E181" s="15">
        <f t="shared" si="13"/>
        <v>93.007999999999981</v>
      </c>
      <c r="F181" s="14"/>
      <c r="G181" s="15">
        <f t="shared" si="12"/>
        <v>0</v>
      </c>
      <c r="H181" s="34"/>
      <c r="I181" s="15">
        <f t="shared" si="14"/>
        <v>300.41700000000003</v>
      </c>
      <c r="J181" s="14"/>
      <c r="K181" s="13" t="s">
        <v>637</v>
      </c>
    </row>
    <row r="182" spans="1:11" ht="12.6" customHeight="1" x14ac:dyDescent="0.2">
      <c r="A182" s="19"/>
      <c r="B182" s="19"/>
      <c r="C182" s="15">
        <f>SUM(C156:C181)</f>
        <v>61.25</v>
      </c>
      <c r="D182" s="15">
        <f>SUM(D156:D181)</f>
        <v>66.135999999999996</v>
      </c>
      <c r="E182" s="36"/>
      <c r="F182" s="37"/>
      <c r="G182" s="15">
        <f>SUM(G156:G181)</f>
        <v>61.25</v>
      </c>
      <c r="H182" s="15">
        <f>SUM(H156:H181)</f>
        <v>6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LEONAR, RONALD C.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JANUARY 15, 1982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 t="s">
        <v>65</v>
      </c>
      <c r="C191" s="15"/>
      <c r="D191" s="14">
        <v>5</v>
      </c>
      <c r="E191" s="15">
        <f>E181+C191-D191</f>
        <v>88.007999999999981</v>
      </c>
      <c r="F191" s="14"/>
      <c r="G191" s="15">
        <f>C191</f>
        <v>0</v>
      </c>
      <c r="H191" s="34"/>
      <c r="I191" s="15">
        <f>I181+G191-H191</f>
        <v>300.41700000000003</v>
      </c>
      <c r="J191" s="14"/>
      <c r="K191" s="13" t="s">
        <v>857</v>
      </c>
    </row>
    <row r="192" spans="1:11" ht="12.6" customHeight="1" x14ac:dyDescent="0.2">
      <c r="A192" s="13">
        <v>39451</v>
      </c>
      <c r="B192" s="19"/>
      <c r="C192" s="15">
        <v>3.75</v>
      </c>
      <c r="D192" s="14"/>
      <c r="E192" s="15">
        <f>E191+C192-D192</f>
        <v>91.757999999999981</v>
      </c>
      <c r="F192" s="14"/>
      <c r="G192" s="15">
        <f t="shared" ref="G192:G216" si="15">C192</f>
        <v>3.75</v>
      </c>
      <c r="H192" s="34"/>
      <c r="I192" s="15">
        <f>I191+G192-H192</f>
        <v>304.16700000000003</v>
      </c>
      <c r="J192" s="14"/>
      <c r="K192" s="13"/>
    </row>
    <row r="193" spans="1:11" ht="12.6" customHeight="1" x14ac:dyDescent="0.2">
      <c r="A193" s="13"/>
      <c r="B193" s="19" t="s">
        <v>67</v>
      </c>
      <c r="C193" s="15"/>
      <c r="D193" s="14"/>
      <c r="E193" s="15">
        <f t="shared" ref="E193:E216" si="16">E192+C193-D193</f>
        <v>91.757999999999981</v>
      </c>
      <c r="F193" s="22"/>
      <c r="G193" s="15">
        <f t="shared" si="15"/>
        <v>0</v>
      </c>
      <c r="H193" s="34">
        <v>3</v>
      </c>
      <c r="I193" s="15">
        <f t="shared" ref="I193:I216" si="17">I192+G193-H193</f>
        <v>301.16700000000003</v>
      </c>
      <c r="J193" s="14"/>
      <c r="K193" s="38" t="s">
        <v>1048</v>
      </c>
    </row>
    <row r="194" spans="1:11" ht="12.6" customHeight="1" x14ac:dyDescent="0.2">
      <c r="A194" s="13"/>
      <c r="B194" s="19" t="s">
        <v>67</v>
      </c>
      <c r="C194" s="15"/>
      <c r="D194" s="14"/>
      <c r="E194" s="15">
        <f t="shared" si="16"/>
        <v>91.757999999999981</v>
      </c>
      <c r="F194" s="14"/>
      <c r="G194" s="15">
        <f t="shared" si="15"/>
        <v>0</v>
      </c>
      <c r="H194" s="34">
        <v>3</v>
      </c>
      <c r="I194" s="15">
        <f t="shared" si="17"/>
        <v>298.16700000000003</v>
      </c>
      <c r="J194" s="14"/>
      <c r="K194" s="13" t="s">
        <v>1049</v>
      </c>
    </row>
    <row r="195" spans="1:11" ht="12.6" customHeight="1" x14ac:dyDescent="0.2">
      <c r="A195" s="13">
        <v>39458</v>
      </c>
      <c r="B195" s="19"/>
      <c r="C195" s="15">
        <v>8.75</v>
      </c>
      <c r="D195" s="14"/>
      <c r="E195" s="15">
        <f t="shared" si="16"/>
        <v>100.50799999999998</v>
      </c>
      <c r="F195" s="14"/>
      <c r="G195" s="15">
        <f t="shared" si="15"/>
        <v>8.75</v>
      </c>
      <c r="H195" s="34"/>
      <c r="I195" s="15">
        <f t="shared" si="17"/>
        <v>306.91700000000003</v>
      </c>
      <c r="J195" s="14"/>
      <c r="K195" s="13"/>
    </row>
    <row r="196" spans="1:11" ht="12.6" customHeight="1" x14ac:dyDescent="0.2">
      <c r="A196" s="13"/>
      <c r="B196" s="19" t="s">
        <v>67</v>
      </c>
      <c r="C196" s="15"/>
      <c r="D196" s="14"/>
      <c r="E196" s="15">
        <f t="shared" si="16"/>
        <v>100.50799999999998</v>
      </c>
      <c r="F196" s="14"/>
      <c r="G196" s="15">
        <f t="shared" si="15"/>
        <v>0</v>
      </c>
      <c r="H196" s="34">
        <v>3</v>
      </c>
      <c r="I196" s="15">
        <f t="shared" si="17"/>
        <v>303.91700000000003</v>
      </c>
      <c r="J196" s="14"/>
      <c r="K196" s="13" t="s">
        <v>1050</v>
      </c>
    </row>
    <row r="197" spans="1:11" ht="12.6" customHeight="1" x14ac:dyDescent="0.2">
      <c r="A197" s="13"/>
      <c r="B197" s="19" t="s">
        <v>67</v>
      </c>
      <c r="C197" s="15"/>
      <c r="D197" s="14"/>
      <c r="E197" s="15">
        <f t="shared" si="16"/>
        <v>100.50799999999998</v>
      </c>
      <c r="F197" s="14"/>
      <c r="G197" s="15">
        <f t="shared" si="15"/>
        <v>0</v>
      </c>
      <c r="H197" s="34">
        <v>3</v>
      </c>
      <c r="I197" s="15">
        <f t="shared" si="17"/>
        <v>300.91700000000003</v>
      </c>
      <c r="J197" s="14"/>
      <c r="K197" s="13" t="s">
        <v>1051</v>
      </c>
    </row>
    <row r="198" spans="1:11" ht="12.6" customHeight="1" x14ac:dyDescent="0.2">
      <c r="A198" s="13"/>
      <c r="B198" s="19" t="s">
        <v>67</v>
      </c>
      <c r="C198" s="15"/>
      <c r="D198" s="22"/>
      <c r="E198" s="15">
        <f t="shared" si="16"/>
        <v>100.50799999999998</v>
      </c>
      <c r="F198" s="22"/>
      <c r="G198" s="15">
        <f t="shared" si="15"/>
        <v>0</v>
      </c>
      <c r="H198" s="34">
        <v>3</v>
      </c>
      <c r="I198" s="15">
        <f t="shared" si="17"/>
        <v>297.91700000000003</v>
      </c>
      <c r="J198" s="14"/>
      <c r="K198" s="16" t="s">
        <v>1052</v>
      </c>
    </row>
    <row r="199" spans="1:11" ht="12.6" customHeight="1" x14ac:dyDescent="0.2">
      <c r="A199" s="13">
        <v>39814</v>
      </c>
      <c r="B199" s="19"/>
      <c r="C199" s="15">
        <v>2.5</v>
      </c>
      <c r="D199" s="22"/>
      <c r="E199" s="15">
        <f t="shared" si="16"/>
        <v>103.00799999999998</v>
      </c>
      <c r="F199" s="14"/>
      <c r="G199" s="15">
        <f t="shared" si="15"/>
        <v>2.5</v>
      </c>
      <c r="H199" s="34"/>
      <c r="I199" s="15">
        <f t="shared" si="17"/>
        <v>300.41700000000003</v>
      </c>
      <c r="J199" s="14"/>
      <c r="K199" s="16"/>
    </row>
    <row r="200" spans="1:11" ht="12.6" customHeight="1" x14ac:dyDescent="0.2">
      <c r="A200" s="13"/>
      <c r="B200" s="19" t="s">
        <v>65</v>
      </c>
      <c r="C200" s="15"/>
      <c r="D200" s="14">
        <v>5</v>
      </c>
      <c r="E200" s="15">
        <f t="shared" si="16"/>
        <v>98.007999999999981</v>
      </c>
      <c r="F200" s="14"/>
      <c r="G200" s="15">
        <f t="shared" si="15"/>
        <v>0</v>
      </c>
      <c r="H200" s="34"/>
      <c r="I200" s="15">
        <f t="shared" si="17"/>
        <v>300.41700000000003</v>
      </c>
      <c r="J200" s="14"/>
      <c r="K200" s="13" t="s">
        <v>1053</v>
      </c>
    </row>
    <row r="201" spans="1:11" ht="12.6" customHeight="1" x14ac:dyDescent="0.2">
      <c r="A201" s="13">
        <v>39819</v>
      </c>
      <c r="B201" s="19"/>
      <c r="C201" s="15">
        <v>6.25</v>
      </c>
      <c r="D201" s="22"/>
      <c r="E201" s="15">
        <f t="shared" si="16"/>
        <v>104.25799999999998</v>
      </c>
      <c r="F201" s="22"/>
      <c r="G201" s="15">
        <f t="shared" si="15"/>
        <v>6.25</v>
      </c>
      <c r="H201" s="34"/>
      <c r="I201" s="15">
        <f t="shared" si="17"/>
        <v>306.66700000000003</v>
      </c>
      <c r="J201" s="14"/>
      <c r="K201" s="13"/>
    </row>
    <row r="202" spans="1:11" ht="12.6" customHeight="1" x14ac:dyDescent="0.2">
      <c r="A202" s="13"/>
      <c r="B202" s="19" t="s">
        <v>67</v>
      </c>
      <c r="C202" s="15"/>
      <c r="D202" s="14"/>
      <c r="E202" s="15">
        <f t="shared" si="16"/>
        <v>104.25799999999998</v>
      </c>
      <c r="F202" s="22"/>
      <c r="G202" s="15">
        <f t="shared" si="15"/>
        <v>0</v>
      </c>
      <c r="H202" s="34">
        <v>3</v>
      </c>
      <c r="I202" s="15">
        <f t="shared" si="17"/>
        <v>303.66700000000003</v>
      </c>
      <c r="J202" s="14"/>
      <c r="K202" s="13" t="s">
        <v>1054</v>
      </c>
    </row>
    <row r="203" spans="1:11" ht="12.6" customHeight="1" x14ac:dyDescent="0.2">
      <c r="A203" s="13">
        <v>39820</v>
      </c>
      <c r="B203" s="19"/>
      <c r="C203" s="15">
        <v>1.25</v>
      </c>
      <c r="D203" s="14"/>
      <c r="E203" s="15">
        <f t="shared" si="16"/>
        <v>105.50799999999998</v>
      </c>
      <c r="F203" s="14"/>
      <c r="G203" s="15">
        <f t="shared" si="15"/>
        <v>1.25</v>
      </c>
      <c r="H203" s="34"/>
      <c r="I203" s="15">
        <f t="shared" si="17"/>
        <v>304.91700000000003</v>
      </c>
      <c r="J203" s="14"/>
      <c r="K203" s="16"/>
    </row>
    <row r="204" spans="1:11" ht="12.6" customHeight="1" x14ac:dyDescent="0.2">
      <c r="A204" s="13"/>
      <c r="B204" s="19" t="s">
        <v>1056</v>
      </c>
      <c r="C204" s="15"/>
      <c r="D204" s="14"/>
      <c r="E204" s="15">
        <f t="shared" si="16"/>
        <v>105.50799999999998</v>
      </c>
      <c r="F204" s="22"/>
      <c r="G204" s="15">
        <f t="shared" si="15"/>
        <v>0</v>
      </c>
      <c r="H204" s="34">
        <v>82</v>
      </c>
      <c r="I204" s="15">
        <f t="shared" si="17"/>
        <v>222.91700000000003</v>
      </c>
      <c r="J204" s="14"/>
      <c r="K204" s="13" t="s">
        <v>1055</v>
      </c>
    </row>
    <row r="205" spans="1:11" ht="12.6" customHeight="1" x14ac:dyDescent="0.2">
      <c r="A205" s="13">
        <v>39823</v>
      </c>
      <c r="B205" s="19"/>
      <c r="C205" s="15">
        <v>3.75</v>
      </c>
      <c r="D205" s="14"/>
      <c r="E205" s="15">
        <f t="shared" si="16"/>
        <v>109.25799999999998</v>
      </c>
      <c r="F205" s="14"/>
      <c r="G205" s="15">
        <f t="shared" si="15"/>
        <v>3.75</v>
      </c>
      <c r="H205" s="34"/>
      <c r="I205" s="15">
        <f t="shared" si="17"/>
        <v>226.66700000000003</v>
      </c>
      <c r="J205" s="14"/>
      <c r="K205" s="16"/>
    </row>
    <row r="206" spans="1:11" ht="12.6" customHeight="1" x14ac:dyDescent="0.2">
      <c r="A206" s="13"/>
      <c r="B206" s="19" t="s">
        <v>1058</v>
      </c>
      <c r="C206" s="15"/>
      <c r="D206" s="22">
        <v>20</v>
      </c>
      <c r="E206" s="15">
        <f t="shared" si="16"/>
        <v>89.257999999999981</v>
      </c>
      <c r="F206" s="14"/>
      <c r="G206" s="15">
        <f t="shared" si="15"/>
        <v>0</v>
      </c>
      <c r="H206" s="34">
        <v>20</v>
      </c>
      <c r="I206" s="15">
        <f t="shared" si="17"/>
        <v>206.66700000000003</v>
      </c>
      <c r="J206" s="14"/>
      <c r="K206" s="75" t="s">
        <v>1057</v>
      </c>
    </row>
    <row r="207" spans="1:11" ht="12.6" customHeight="1" x14ac:dyDescent="0.2">
      <c r="A207" s="13">
        <v>40179</v>
      </c>
      <c r="B207" s="19"/>
      <c r="C207" s="15">
        <v>3.75</v>
      </c>
      <c r="D207" s="22"/>
      <c r="E207" s="15">
        <f t="shared" si="16"/>
        <v>93.007999999999981</v>
      </c>
      <c r="F207" s="14"/>
      <c r="G207" s="15">
        <f t="shared" si="15"/>
        <v>3.75</v>
      </c>
      <c r="H207" s="34"/>
      <c r="I207" s="15">
        <f t="shared" si="17"/>
        <v>210.41700000000003</v>
      </c>
      <c r="J207" s="14"/>
      <c r="K207" s="13"/>
    </row>
    <row r="208" spans="1:11" ht="12.6" customHeight="1" x14ac:dyDescent="0.2">
      <c r="A208" s="13"/>
      <c r="B208" s="19" t="s">
        <v>65</v>
      </c>
      <c r="C208" s="15"/>
      <c r="D208" s="14">
        <v>5</v>
      </c>
      <c r="E208" s="15">
        <f t="shared" si="16"/>
        <v>88.007999999999981</v>
      </c>
      <c r="F208" s="14"/>
      <c r="G208" s="15">
        <f t="shared" si="15"/>
        <v>0</v>
      </c>
      <c r="H208" s="34"/>
      <c r="I208" s="15">
        <f t="shared" si="17"/>
        <v>210.41700000000003</v>
      </c>
      <c r="J208" s="14"/>
      <c r="K208" s="13" t="s">
        <v>142</v>
      </c>
    </row>
    <row r="209" spans="1:11" ht="12.6" customHeight="1" x14ac:dyDescent="0.2">
      <c r="A209" s="13">
        <v>40186</v>
      </c>
      <c r="B209" s="19"/>
      <c r="C209" s="15">
        <v>8.75</v>
      </c>
      <c r="D209" s="14"/>
      <c r="E209" s="15">
        <f t="shared" si="16"/>
        <v>96.757999999999981</v>
      </c>
      <c r="F209" s="22"/>
      <c r="G209" s="15">
        <f t="shared" si="15"/>
        <v>8.75</v>
      </c>
      <c r="H209" s="34"/>
      <c r="I209" s="15">
        <f t="shared" si="17"/>
        <v>219.16700000000003</v>
      </c>
      <c r="J209" s="14"/>
      <c r="K209" s="16"/>
    </row>
    <row r="210" spans="1:11" ht="12.6" customHeight="1" x14ac:dyDescent="0.2">
      <c r="A210" s="13"/>
      <c r="B210" s="19" t="s">
        <v>271</v>
      </c>
      <c r="C210" s="15"/>
      <c r="D210" s="14"/>
      <c r="E210" s="15">
        <f t="shared" si="16"/>
        <v>96.757999999999981</v>
      </c>
      <c r="F210" s="22"/>
      <c r="G210" s="15">
        <f t="shared" si="15"/>
        <v>0</v>
      </c>
      <c r="H210" s="34">
        <v>5</v>
      </c>
      <c r="I210" s="15">
        <f t="shared" si="17"/>
        <v>214.16700000000003</v>
      </c>
      <c r="J210" s="14"/>
      <c r="K210" s="13" t="s">
        <v>1059</v>
      </c>
    </row>
    <row r="211" spans="1:11" ht="12.6" customHeight="1" x14ac:dyDescent="0.2">
      <c r="A211" s="13">
        <v>40188</v>
      </c>
      <c r="B211" s="19"/>
      <c r="C211" s="15">
        <v>2.5</v>
      </c>
      <c r="D211" s="14"/>
      <c r="E211" s="15">
        <f t="shared" si="16"/>
        <v>99.257999999999981</v>
      </c>
      <c r="F211" s="14"/>
      <c r="G211" s="15">
        <f t="shared" si="15"/>
        <v>2.5</v>
      </c>
      <c r="H211" s="34"/>
      <c r="I211" s="15">
        <f t="shared" si="17"/>
        <v>216.66700000000003</v>
      </c>
      <c r="J211" s="14"/>
      <c r="K211" s="16"/>
    </row>
    <row r="212" spans="1:11" ht="12.6" customHeight="1" x14ac:dyDescent="0.2">
      <c r="A212" s="13"/>
      <c r="B212" s="19" t="s">
        <v>67</v>
      </c>
      <c r="C212" s="15"/>
      <c r="D212" s="14"/>
      <c r="E212" s="15">
        <f t="shared" si="16"/>
        <v>99.257999999999981</v>
      </c>
      <c r="F212" s="14"/>
      <c r="G212" s="15">
        <f t="shared" si="15"/>
        <v>0</v>
      </c>
      <c r="H212" s="34">
        <v>3</v>
      </c>
      <c r="I212" s="15">
        <f t="shared" si="17"/>
        <v>213.66700000000003</v>
      </c>
      <c r="J212" s="14"/>
      <c r="K212" s="13" t="s">
        <v>1060</v>
      </c>
    </row>
    <row r="213" spans="1:11" ht="12.6" customHeight="1" x14ac:dyDescent="0.2">
      <c r="A213" s="13">
        <v>40544</v>
      </c>
      <c r="B213" s="19"/>
      <c r="C213" s="15">
        <v>3.75</v>
      </c>
      <c r="D213" s="14"/>
      <c r="E213" s="15">
        <f t="shared" si="16"/>
        <v>103.00799999999998</v>
      </c>
      <c r="F213" s="14"/>
      <c r="G213" s="15">
        <f t="shared" si="15"/>
        <v>3.75</v>
      </c>
      <c r="H213" s="34"/>
      <c r="I213" s="15">
        <f t="shared" si="17"/>
        <v>217.41700000000003</v>
      </c>
      <c r="J213" s="14"/>
      <c r="K213" s="13"/>
    </row>
    <row r="214" spans="1:11" ht="12.6" customHeight="1" x14ac:dyDescent="0.2">
      <c r="A214" s="13"/>
      <c r="B214" s="19" t="s">
        <v>65</v>
      </c>
      <c r="C214" s="15"/>
      <c r="D214" s="14">
        <v>5</v>
      </c>
      <c r="E214" s="15">
        <f t="shared" si="16"/>
        <v>98.007999999999981</v>
      </c>
      <c r="F214" s="14"/>
      <c r="G214" s="15">
        <f t="shared" si="15"/>
        <v>0</v>
      </c>
      <c r="H214" s="14"/>
      <c r="I214" s="15">
        <f t="shared" si="17"/>
        <v>217.41700000000003</v>
      </c>
      <c r="J214" s="14"/>
      <c r="K214" s="16" t="s">
        <v>149</v>
      </c>
    </row>
    <row r="215" spans="1:11" ht="12.6" customHeight="1" x14ac:dyDescent="0.2">
      <c r="A215" s="13">
        <v>40546</v>
      </c>
      <c r="B215" s="19"/>
      <c r="C215" s="15">
        <v>2.5</v>
      </c>
      <c r="D215" s="14"/>
      <c r="E215" s="15">
        <f t="shared" si="16"/>
        <v>100.50799999999998</v>
      </c>
      <c r="F215" s="14"/>
      <c r="G215" s="15">
        <f t="shared" si="15"/>
        <v>2.5</v>
      </c>
      <c r="H215" s="14"/>
      <c r="I215" s="15">
        <f t="shared" si="17"/>
        <v>219.91700000000003</v>
      </c>
      <c r="J215" s="14"/>
      <c r="K215" s="13"/>
    </row>
    <row r="216" spans="1:11" ht="12.6" customHeight="1" x14ac:dyDescent="0.2">
      <c r="A216" s="13"/>
      <c r="B216" s="19" t="s">
        <v>67</v>
      </c>
      <c r="C216" s="15"/>
      <c r="D216" s="14"/>
      <c r="E216" s="15">
        <f t="shared" si="16"/>
        <v>100.50799999999998</v>
      </c>
      <c r="F216" s="14"/>
      <c r="G216" s="15">
        <f t="shared" si="15"/>
        <v>0</v>
      </c>
      <c r="H216" s="14">
        <v>3</v>
      </c>
      <c r="I216" s="15">
        <f t="shared" si="17"/>
        <v>216.91700000000003</v>
      </c>
      <c r="J216" s="14"/>
      <c r="K216" s="16" t="s">
        <v>1061</v>
      </c>
    </row>
    <row r="217" spans="1:11" ht="12.6" customHeight="1" x14ac:dyDescent="0.2">
      <c r="A217" s="19"/>
      <c r="B217" s="19"/>
      <c r="C217" s="15">
        <f>SUM(C191:C216)</f>
        <v>47.5</v>
      </c>
      <c r="D217" s="15">
        <f>SUM(D191:D216)</f>
        <v>40</v>
      </c>
      <c r="E217" s="36"/>
      <c r="F217" s="39"/>
      <c r="G217" s="15">
        <f>SUM(G191:G216)</f>
        <v>47.5</v>
      </c>
      <c r="H217" s="15">
        <f>SUM(H191:H216)</f>
        <v>131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LEONAR, RONALD C.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JANUARY 15, 1982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40547</v>
      </c>
      <c r="B230" s="19"/>
      <c r="C230" s="15">
        <v>1.25</v>
      </c>
      <c r="D230" s="14"/>
      <c r="E230" s="15">
        <f>E216+C230-D230</f>
        <v>101.75799999999998</v>
      </c>
      <c r="F230" s="14"/>
      <c r="G230" s="15">
        <f>C230</f>
        <v>1.25</v>
      </c>
      <c r="H230" s="14"/>
      <c r="I230" s="15">
        <f>I216+G230-H230</f>
        <v>218.16700000000003</v>
      </c>
      <c r="J230" s="14"/>
      <c r="K230" s="16"/>
    </row>
    <row r="231" spans="1:11" ht="12.6" customHeight="1" x14ac:dyDescent="0.2">
      <c r="A231" s="13"/>
      <c r="B231" s="19" t="s">
        <v>67</v>
      </c>
      <c r="C231" s="15"/>
      <c r="D231" s="14"/>
      <c r="E231" s="15">
        <f>E230+C231-D231</f>
        <v>101.75799999999998</v>
      </c>
      <c r="F231" s="14"/>
      <c r="G231" s="15">
        <f t="shared" ref="G231:G255" si="18">C231</f>
        <v>0</v>
      </c>
      <c r="H231" s="14">
        <v>3</v>
      </c>
      <c r="I231" s="15">
        <f>I230+G231-H231</f>
        <v>215.16700000000003</v>
      </c>
      <c r="J231" s="14"/>
      <c r="K231" s="13" t="s">
        <v>1062</v>
      </c>
    </row>
    <row r="232" spans="1:11" ht="12.6" customHeight="1" x14ac:dyDescent="0.2">
      <c r="A232" s="13">
        <v>40548</v>
      </c>
      <c r="B232" s="19"/>
      <c r="C232" s="15">
        <v>1.25</v>
      </c>
      <c r="D232" s="14"/>
      <c r="E232" s="15">
        <f t="shared" ref="E232:E255" si="19">E231+C232-D232</f>
        <v>103.00799999999998</v>
      </c>
      <c r="F232" s="14"/>
      <c r="G232" s="15">
        <f t="shared" si="18"/>
        <v>1.25</v>
      </c>
      <c r="H232" s="14"/>
      <c r="I232" s="15">
        <f t="shared" ref="I232:I255" si="20">I231+G232-H232</f>
        <v>216.41700000000003</v>
      </c>
      <c r="J232" s="14"/>
      <c r="K232" s="13"/>
    </row>
    <row r="233" spans="1:11" ht="12.6" customHeight="1" x14ac:dyDescent="0.2">
      <c r="A233" s="13"/>
      <c r="B233" s="19" t="s">
        <v>67</v>
      </c>
      <c r="C233" s="15"/>
      <c r="D233" s="14"/>
      <c r="E233" s="15">
        <f t="shared" si="19"/>
        <v>103.00799999999998</v>
      </c>
      <c r="F233" s="14"/>
      <c r="G233" s="15">
        <f t="shared" si="18"/>
        <v>0</v>
      </c>
      <c r="H233" s="14">
        <v>3</v>
      </c>
      <c r="I233" s="15">
        <f t="shared" si="20"/>
        <v>213.41700000000003</v>
      </c>
      <c r="J233" s="14"/>
      <c r="K233" s="16" t="s">
        <v>1063</v>
      </c>
    </row>
    <row r="234" spans="1:11" ht="12.6" customHeight="1" x14ac:dyDescent="0.2">
      <c r="A234" s="13">
        <v>40553</v>
      </c>
      <c r="B234" s="19"/>
      <c r="C234" s="15">
        <v>6.25</v>
      </c>
      <c r="D234" s="14"/>
      <c r="E234" s="15">
        <f t="shared" si="19"/>
        <v>109.25799999999998</v>
      </c>
      <c r="F234" s="14"/>
      <c r="G234" s="15">
        <f t="shared" si="18"/>
        <v>6.25</v>
      </c>
      <c r="H234" s="14"/>
      <c r="I234" s="15">
        <f t="shared" si="20"/>
        <v>219.66700000000003</v>
      </c>
      <c r="J234" s="14"/>
      <c r="K234" s="13"/>
    </row>
    <row r="235" spans="1:11" ht="12.6" customHeight="1" x14ac:dyDescent="0.2">
      <c r="A235" s="13"/>
      <c r="B235" s="19" t="s">
        <v>52</v>
      </c>
      <c r="C235" s="15"/>
      <c r="D235" s="14"/>
      <c r="E235" s="15">
        <f t="shared" si="19"/>
        <v>109.25799999999998</v>
      </c>
      <c r="F235" s="14"/>
      <c r="G235" s="15">
        <f t="shared" si="18"/>
        <v>0</v>
      </c>
      <c r="H235" s="14">
        <v>2</v>
      </c>
      <c r="I235" s="15">
        <f t="shared" si="20"/>
        <v>217.66700000000003</v>
      </c>
      <c r="J235" s="14"/>
      <c r="K235" s="16" t="s">
        <v>1064</v>
      </c>
    </row>
    <row r="236" spans="1:11" ht="12.6" customHeight="1" x14ac:dyDescent="0.2">
      <c r="A236" s="13"/>
      <c r="B236" s="19" t="s">
        <v>45</v>
      </c>
      <c r="C236" s="15"/>
      <c r="D236" s="14"/>
      <c r="E236" s="15">
        <f t="shared" si="19"/>
        <v>109.25799999999998</v>
      </c>
      <c r="F236" s="14"/>
      <c r="G236" s="15">
        <f t="shared" si="18"/>
        <v>0</v>
      </c>
      <c r="H236" s="14"/>
      <c r="I236" s="15">
        <f t="shared" si="20"/>
        <v>217.66700000000003</v>
      </c>
      <c r="J236" s="14"/>
      <c r="K236" s="13" t="s">
        <v>1065</v>
      </c>
    </row>
    <row r="237" spans="1:11" ht="12.6" customHeight="1" x14ac:dyDescent="0.2">
      <c r="A237" s="13">
        <v>40909</v>
      </c>
      <c r="B237" s="19"/>
      <c r="C237" s="15">
        <v>3.75</v>
      </c>
      <c r="D237" s="14"/>
      <c r="E237" s="15">
        <f t="shared" si="19"/>
        <v>113.00799999999998</v>
      </c>
      <c r="F237" s="14"/>
      <c r="G237" s="15">
        <f t="shared" si="18"/>
        <v>3.75</v>
      </c>
      <c r="H237" s="14"/>
      <c r="I237" s="15">
        <f t="shared" si="20"/>
        <v>221.41700000000003</v>
      </c>
      <c r="J237" s="14"/>
      <c r="K237" s="13"/>
    </row>
    <row r="238" spans="1:11" ht="12.6" customHeight="1" x14ac:dyDescent="0.2">
      <c r="A238" s="13"/>
      <c r="B238" s="19" t="s">
        <v>65</v>
      </c>
      <c r="C238" s="15"/>
      <c r="D238" s="14">
        <v>5</v>
      </c>
      <c r="E238" s="15">
        <f t="shared" si="19"/>
        <v>108.00799999999998</v>
      </c>
      <c r="F238" s="14"/>
      <c r="G238" s="15">
        <f t="shared" si="18"/>
        <v>0</v>
      </c>
      <c r="H238" s="14"/>
      <c r="I238" s="15">
        <f t="shared" si="20"/>
        <v>221.41700000000003</v>
      </c>
      <c r="J238" s="14"/>
      <c r="K238" s="16" t="s">
        <v>157</v>
      </c>
    </row>
    <row r="239" spans="1:11" ht="12.6" customHeight="1" x14ac:dyDescent="0.2">
      <c r="A239" s="13"/>
      <c r="B239" s="19" t="s">
        <v>60</v>
      </c>
      <c r="C239" s="15"/>
      <c r="D239" s="14">
        <v>5</v>
      </c>
      <c r="E239" s="15">
        <f t="shared" si="19"/>
        <v>103.00799999999998</v>
      </c>
      <c r="F239" s="14"/>
      <c r="G239" s="15">
        <f t="shared" si="18"/>
        <v>0</v>
      </c>
      <c r="H239" s="14"/>
      <c r="I239" s="15">
        <f t="shared" si="20"/>
        <v>221.41700000000003</v>
      </c>
      <c r="J239" s="14"/>
      <c r="K239" s="13" t="s">
        <v>1066</v>
      </c>
    </row>
    <row r="240" spans="1:11" ht="12.6" customHeight="1" x14ac:dyDescent="0.2">
      <c r="A240" s="13">
        <v>40911</v>
      </c>
      <c r="B240" s="19"/>
      <c r="C240" s="15">
        <v>2.5</v>
      </c>
      <c r="D240" s="14"/>
      <c r="E240" s="15">
        <f t="shared" si="19"/>
        <v>105.50799999999998</v>
      </c>
      <c r="F240" s="14"/>
      <c r="G240" s="15">
        <f t="shared" si="18"/>
        <v>2.5</v>
      </c>
      <c r="H240" s="14"/>
      <c r="I240" s="15">
        <f t="shared" si="20"/>
        <v>223.91700000000003</v>
      </c>
      <c r="J240" s="14"/>
      <c r="K240" s="16"/>
    </row>
    <row r="241" spans="1:11" ht="12.6" customHeight="1" x14ac:dyDescent="0.2">
      <c r="A241" s="13"/>
      <c r="B241" s="19" t="s">
        <v>52</v>
      </c>
      <c r="C241" s="15"/>
      <c r="D241" s="14"/>
      <c r="E241" s="15">
        <f t="shared" si="19"/>
        <v>105.50799999999998</v>
      </c>
      <c r="F241" s="14"/>
      <c r="G241" s="15">
        <f t="shared" si="18"/>
        <v>0</v>
      </c>
      <c r="H241" s="14">
        <v>2</v>
      </c>
      <c r="I241" s="15">
        <f t="shared" si="20"/>
        <v>221.91700000000003</v>
      </c>
      <c r="J241" s="14"/>
      <c r="K241" s="13" t="s">
        <v>1067</v>
      </c>
    </row>
    <row r="242" spans="1:11" ht="12.6" customHeight="1" x14ac:dyDescent="0.2">
      <c r="A242" s="13">
        <v>40913</v>
      </c>
      <c r="B242" s="19"/>
      <c r="C242" s="15">
        <v>2.5</v>
      </c>
      <c r="D242" s="14"/>
      <c r="E242" s="15">
        <f t="shared" si="19"/>
        <v>108.00799999999998</v>
      </c>
      <c r="F242" s="14"/>
      <c r="G242" s="15">
        <f t="shared" si="18"/>
        <v>2.5</v>
      </c>
      <c r="H242" s="14"/>
      <c r="I242" s="15">
        <f t="shared" si="20"/>
        <v>224.41700000000003</v>
      </c>
      <c r="J242" s="14"/>
      <c r="K242" s="13"/>
    </row>
    <row r="243" spans="1:11" ht="12.6" customHeight="1" x14ac:dyDescent="0.2">
      <c r="A243" s="13"/>
      <c r="B243" s="19" t="s">
        <v>67</v>
      </c>
      <c r="C243" s="15"/>
      <c r="D243" s="14"/>
      <c r="E243" s="15">
        <f t="shared" si="19"/>
        <v>108.00799999999998</v>
      </c>
      <c r="F243" s="14"/>
      <c r="G243" s="15">
        <f t="shared" si="18"/>
        <v>0</v>
      </c>
      <c r="H243" s="14">
        <v>3</v>
      </c>
      <c r="I243" s="15">
        <f t="shared" si="20"/>
        <v>221.41700000000003</v>
      </c>
      <c r="J243" s="14"/>
      <c r="K243" s="13" t="s">
        <v>1068</v>
      </c>
    </row>
    <row r="244" spans="1:11" ht="12.6" customHeight="1" x14ac:dyDescent="0.2">
      <c r="A244" s="13">
        <v>40916</v>
      </c>
      <c r="B244" s="19"/>
      <c r="C244" s="15">
        <v>3.75</v>
      </c>
      <c r="D244" s="14"/>
      <c r="E244" s="15">
        <f t="shared" si="19"/>
        <v>111.75799999999998</v>
      </c>
      <c r="F244" s="14"/>
      <c r="G244" s="15">
        <f t="shared" si="18"/>
        <v>3.75</v>
      </c>
      <c r="H244" s="14"/>
      <c r="I244" s="15">
        <f t="shared" si="20"/>
        <v>225.16700000000003</v>
      </c>
      <c r="J244" s="14"/>
      <c r="K244" s="13"/>
    </row>
    <row r="245" spans="1:11" ht="12.6" customHeight="1" x14ac:dyDescent="0.2">
      <c r="A245" s="13"/>
      <c r="B245" s="19" t="s">
        <v>387</v>
      </c>
      <c r="C245" s="15"/>
      <c r="D245" s="14"/>
      <c r="E245" s="15">
        <f t="shared" si="19"/>
        <v>111.75799999999998</v>
      </c>
      <c r="F245" s="14"/>
      <c r="G245" s="15">
        <f t="shared" si="18"/>
        <v>0</v>
      </c>
      <c r="H245" s="14">
        <v>8</v>
      </c>
      <c r="I245" s="15">
        <f t="shared" si="20"/>
        <v>217.16700000000003</v>
      </c>
      <c r="J245" s="14"/>
      <c r="K245" s="13" t="s">
        <v>1069</v>
      </c>
    </row>
    <row r="246" spans="1:11" ht="12.6" customHeight="1" x14ac:dyDescent="0.2">
      <c r="A246" s="16"/>
      <c r="B246" s="19" t="s">
        <v>91</v>
      </c>
      <c r="C246" s="15"/>
      <c r="D246" s="14">
        <v>15</v>
      </c>
      <c r="E246" s="15">
        <f t="shared" si="19"/>
        <v>96.757999999999981</v>
      </c>
      <c r="F246" s="14"/>
      <c r="G246" s="15">
        <f t="shared" si="18"/>
        <v>0</v>
      </c>
      <c r="H246" s="14">
        <v>15</v>
      </c>
      <c r="I246" s="15">
        <f t="shared" si="20"/>
        <v>202.16700000000003</v>
      </c>
      <c r="J246" s="14"/>
      <c r="K246" s="38" t="s">
        <v>1070</v>
      </c>
    </row>
    <row r="247" spans="1:11" ht="12.6" customHeight="1" x14ac:dyDescent="0.2">
      <c r="A247" s="13"/>
      <c r="B247" s="19" t="s">
        <v>1071</v>
      </c>
      <c r="C247" s="15"/>
      <c r="D247" s="15"/>
      <c r="E247" s="15">
        <f t="shared" si="19"/>
        <v>96.757999999999981</v>
      </c>
      <c r="F247" s="14"/>
      <c r="G247" s="15">
        <f t="shared" si="18"/>
        <v>0</v>
      </c>
      <c r="H247" s="14">
        <v>26</v>
      </c>
      <c r="I247" s="15">
        <f t="shared" si="20"/>
        <v>176.16700000000003</v>
      </c>
      <c r="J247" s="14"/>
      <c r="K247" s="13" t="s">
        <v>1073</v>
      </c>
    </row>
    <row r="248" spans="1:11" ht="12.6" customHeight="1" x14ac:dyDescent="0.2">
      <c r="A248" s="13">
        <v>40919</v>
      </c>
      <c r="B248" s="19"/>
      <c r="C248" s="15">
        <v>3.75</v>
      </c>
      <c r="D248" s="14"/>
      <c r="E248" s="15">
        <f t="shared" si="19"/>
        <v>100.50799999999998</v>
      </c>
      <c r="F248" s="14"/>
      <c r="G248" s="15">
        <f t="shared" si="18"/>
        <v>3.75</v>
      </c>
      <c r="H248" s="14"/>
      <c r="I248" s="15">
        <f t="shared" si="20"/>
        <v>179.91700000000003</v>
      </c>
      <c r="J248" s="14"/>
      <c r="K248" s="13"/>
    </row>
    <row r="249" spans="1:11" ht="12.6" customHeight="1" x14ac:dyDescent="0.2">
      <c r="A249" s="16"/>
      <c r="B249" s="19" t="s">
        <v>90</v>
      </c>
      <c r="C249" s="15"/>
      <c r="D249" s="15"/>
      <c r="E249" s="15">
        <f t="shared" si="19"/>
        <v>100.50799999999998</v>
      </c>
      <c r="F249" s="14"/>
      <c r="G249" s="15">
        <f t="shared" si="18"/>
        <v>0</v>
      </c>
      <c r="H249" s="14"/>
      <c r="I249" s="15">
        <f t="shared" si="20"/>
        <v>179.91700000000003</v>
      </c>
      <c r="J249" s="14"/>
      <c r="K249" s="13" t="s">
        <v>1072</v>
      </c>
    </row>
    <row r="250" spans="1:11" ht="12.6" customHeight="1" x14ac:dyDescent="0.2">
      <c r="A250" s="13">
        <v>41640</v>
      </c>
      <c r="B250" s="19"/>
      <c r="C250" s="15">
        <v>17.5</v>
      </c>
      <c r="D250" s="14"/>
      <c r="E250" s="15">
        <f t="shared" si="19"/>
        <v>118.00799999999998</v>
      </c>
      <c r="F250" s="14"/>
      <c r="G250" s="15">
        <f t="shared" si="18"/>
        <v>17.5</v>
      </c>
      <c r="H250" s="14"/>
      <c r="I250" s="15">
        <f t="shared" si="20"/>
        <v>197.41700000000003</v>
      </c>
      <c r="J250" s="14"/>
      <c r="K250" s="16"/>
    </row>
    <row r="251" spans="1:11" ht="12.6" customHeight="1" x14ac:dyDescent="0.2">
      <c r="A251" s="13"/>
      <c r="B251" s="19" t="s">
        <v>65</v>
      </c>
      <c r="C251" s="15"/>
      <c r="D251" s="14">
        <v>5</v>
      </c>
      <c r="E251" s="15">
        <f t="shared" si="19"/>
        <v>113.00799999999998</v>
      </c>
      <c r="F251" s="14"/>
      <c r="G251" s="15">
        <f t="shared" si="18"/>
        <v>0</v>
      </c>
      <c r="H251" s="14"/>
      <c r="I251" s="15">
        <f t="shared" si="20"/>
        <v>197.41700000000003</v>
      </c>
      <c r="J251" s="14"/>
      <c r="K251" s="13" t="s">
        <v>1074</v>
      </c>
    </row>
    <row r="252" spans="1:11" ht="12.6" customHeight="1" x14ac:dyDescent="0.2">
      <c r="A252" s="13">
        <v>42005</v>
      </c>
      <c r="B252" s="19"/>
      <c r="C252" s="15">
        <v>15</v>
      </c>
      <c r="D252" s="14"/>
      <c r="E252" s="15">
        <f t="shared" si="19"/>
        <v>128.00799999999998</v>
      </c>
      <c r="F252" s="14"/>
      <c r="G252" s="15">
        <f t="shared" si="18"/>
        <v>15</v>
      </c>
      <c r="H252" s="14"/>
      <c r="I252" s="15">
        <f t="shared" si="20"/>
        <v>212.41700000000003</v>
      </c>
      <c r="J252" s="14"/>
      <c r="K252" s="13"/>
    </row>
    <row r="253" spans="1:11" ht="12.6" customHeight="1" x14ac:dyDescent="0.2">
      <c r="A253" s="13"/>
      <c r="B253" s="19"/>
      <c r="C253" s="15"/>
      <c r="D253" s="14">
        <v>1.502</v>
      </c>
      <c r="E253" s="15">
        <f t="shared" si="19"/>
        <v>126.50599999999999</v>
      </c>
      <c r="F253" s="14"/>
      <c r="G253" s="15">
        <f t="shared" si="18"/>
        <v>0</v>
      </c>
      <c r="H253" s="14"/>
      <c r="I253" s="15">
        <f t="shared" si="20"/>
        <v>212.41700000000003</v>
      </c>
      <c r="J253" s="14"/>
      <c r="K253" s="13" t="s">
        <v>1075</v>
      </c>
    </row>
    <row r="254" spans="1:11" ht="12.6" customHeight="1" x14ac:dyDescent="0.2">
      <c r="A254" s="13"/>
      <c r="B254" s="19" t="s">
        <v>65</v>
      </c>
      <c r="C254" s="15"/>
      <c r="D254" s="14">
        <v>5</v>
      </c>
      <c r="E254" s="15">
        <f t="shared" si="19"/>
        <v>121.50599999999999</v>
      </c>
      <c r="F254" s="14"/>
      <c r="G254" s="15">
        <f t="shared" si="18"/>
        <v>0</v>
      </c>
      <c r="H254" s="14"/>
      <c r="I254" s="15">
        <f t="shared" si="20"/>
        <v>212.41700000000003</v>
      </c>
      <c r="J254" s="14"/>
      <c r="K254" s="16" t="s">
        <v>171</v>
      </c>
    </row>
    <row r="255" spans="1:11" ht="12.6" customHeight="1" x14ac:dyDescent="0.2">
      <c r="A255" s="13">
        <v>42370</v>
      </c>
      <c r="B255" s="19"/>
      <c r="C255" s="15">
        <v>15</v>
      </c>
      <c r="D255" s="14"/>
      <c r="E255" s="15">
        <f t="shared" si="19"/>
        <v>136.50599999999997</v>
      </c>
      <c r="F255" s="14"/>
      <c r="G255" s="15">
        <f t="shared" si="18"/>
        <v>15</v>
      </c>
      <c r="H255" s="14"/>
      <c r="I255" s="15">
        <f t="shared" si="20"/>
        <v>227.41700000000003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72.5</v>
      </c>
      <c r="D256" s="36">
        <f>SUM(D230:D255)</f>
        <v>36.501999999999995</v>
      </c>
      <c r="E256" s="36"/>
      <c r="F256" s="37"/>
      <c r="G256" s="36">
        <f>SUM(G230:G255)</f>
        <v>72.5</v>
      </c>
      <c r="H256" s="36">
        <f>SUM(H230:H255)</f>
        <v>62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LEONAR, RONALD C.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JANUARY 15, 1982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/>
      <c r="C265" s="15"/>
      <c r="D265" s="14">
        <v>0.58499999999999996</v>
      </c>
      <c r="E265" s="15">
        <f>E255+C265-D265</f>
        <v>135.92099999999996</v>
      </c>
      <c r="F265" s="14"/>
      <c r="G265" s="15">
        <f>C265</f>
        <v>0</v>
      </c>
      <c r="H265" s="14"/>
      <c r="I265" s="15">
        <f>I255+G265-H265</f>
        <v>227.41700000000003</v>
      </c>
      <c r="J265" s="14"/>
      <c r="K265" s="16" t="s">
        <v>488</v>
      </c>
    </row>
    <row r="266" spans="1:11" ht="12.6" customHeight="1" x14ac:dyDescent="0.2">
      <c r="A266" s="13"/>
      <c r="B266" s="19" t="s">
        <v>65</v>
      </c>
      <c r="C266" s="15"/>
      <c r="D266" s="14">
        <v>5</v>
      </c>
      <c r="E266" s="15">
        <f>E265+C266-D266</f>
        <v>130.92099999999996</v>
      </c>
      <c r="F266" s="14"/>
      <c r="G266" s="15">
        <f t="shared" ref="G266:G290" si="21">C266</f>
        <v>0</v>
      </c>
      <c r="H266" s="14"/>
      <c r="I266" s="15">
        <f>I265+G266-H266</f>
        <v>227.41700000000003</v>
      </c>
      <c r="J266" s="14"/>
      <c r="K266" s="13" t="s">
        <v>174</v>
      </c>
    </row>
    <row r="267" spans="1:11" ht="12.6" customHeight="1" x14ac:dyDescent="0.2">
      <c r="A267" s="13">
        <v>42372</v>
      </c>
      <c r="B267" s="19"/>
      <c r="C267" s="15">
        <v>2.5</v>
      </c>
      <c r="D267" s="14"/>
      <c r="E267" s="15">
        <f t="shared" ref="E267:E290" si="22">E266+C267-D267</f>
        <v>133.42099999999996</v>
      </c>
      <c r="F267" s="14"/>
      <c r="G267" s="15">
        <f t="shared" si="21"/>
        <v>2.5</v>
      </c>
      <c r="H267" s="14"/>
      <c r="I267" s="15">
        <f t="shared" ref="I267:I290" si="23">I266+G267-H267</f>
        <v>229.91700000000003</v>
      </c>
      <c r="J267" s="14"/>
      <c r="K267" s="13"/>
    </row>
    <row r="268" spans="1:11" ht="12.6" customHeight="1" x14ac:dyDescent="0.2">
      <c r="A268" s="13"/>
      <c r="B268" s="19" t="s">
        <v>67</v>
      </c>
      <c r="C268" s="15"/>
      <c r="D268" s="14"/>
      <c r="E268" s="15">
        <f t="shared" si="22"/>
        <v>133.42099999999996</v>
      </c>
      <c r="F268" s="14"/>
      <c r="G268" s="15">
        <f t="shared" si="21"/>
        <v>0</v>
      </c>
      <c r="H268" s="14">
        <v>3</v>
      </c>
      <c r="I268" s="15">
        <f t="shared" si="23"/>
        <v>226.91700000000003</v>
      </c>
      <c r="J268" s="14"/>
      <c r="K268" s="16" t="s">
        <v>1076</v>
      </c>
    </row>
    <row r="269" spans="1:11" ht="12.6" customHeight="1" x14ac:dyDescent="0.2">
      <c r="A269" s="13">
        <v>42374</v>
      </c>
      <c r="B269" s="19"/>
      <c r="C269" s="15">
        <v>2.5</v>
      </c>
      <c r="D269" s="14"/>
      <c r="E269" s="15">
        <f t="shared" si="22"/>
        <v>135.92099999999996</v>
      </c>
      <c r="F269" s="14"/>
      <c r="G269" s="15">
        <f t="shared" si="21"/>
        <v>2.5</v>
      </c>
      <c r="H269" s="14"/>
      <c r="I269" s="15">
        <f t="shared" si="23"/>
        <v>229.41700000000003</v>
      </c>
      <c r="J269" s="14"/>
      <c r="K269" s="13"/>
    </row>
    <row r="270" spans="1:11" ht="12.6" customHeight="1" x14ac:dyDescent="0.2">
      <c r="A270" s="13"/>
      <c r="B270" s="19" t="s">
        <v>60</v>
      </c>
      <c r="C270" s="15"/>
      <c r="D270" s="14">
        <v>5</v>
      </c>
      <c r="E270" s="15">
        <f t="shared" si="22"/>
        <v>130.92099999999996</v>
      </c>
      <c r="F270" s="14"/>
      <c r="G270" s="15">
        <f t="shared" si="21"/>
        <v>0</v>
      </c>
      <c r="H270" s="14"/>
      <c r="I270" s="15">
        <f t="shared" si="23"/>
        <v>229.41700000000003</v>
      </c>
      <c r="J270" s="14"/>
      <c r="K270" s="16" t="s">
        <v>1077</v>
      </c>
    </row>
    <row r="271" spans="1:11" ht="12.6" customHeight="1" x14ac:dyDescent="0.2">
      <c r="A271" s="13"/>
      <c r="B271" s="19" t="s">
        <v>95</v>
      </c>
      <c r="C271" s="15"/>
      <c r="D271" s="14">
        <v>3</v>
      </c>
      <c r="E271" s="15">
        <f t="shared" si="22"/>
        <v>127.92099999999996</v>
      </c>
      <c r="F271" s="14"/>
      <c r="G271" s="15">
        <f t="shared" si="21"/>
        <v>0</v>
      </c>
      <c r="H271" s="14"/>
      <c r="I271" s="15">
        <f t="shared" si="23"/>
        <v>229.41700000000003</v>
      </c>
      <c r="J271" s="14"/>
      <c r="K271" s="13" t="s">
        <v>1078</v>
      </c>
    </row>
    <row r="272" spans="1:11" ht="12.6" customHeight="1" x14ac:dyDescent="0.2">
      <c r="A272" s="13">
        <v>42379</v>
      </c>
      <c r="B272" s="19"/>
      <c r="C272" s="15">
        <v>6.25</v>
      </c>
      <c r="D272" s="14"/>
      <c r="E272" s="15">
        <f t="shared" si="22"/>
        <v>134.17099999999996</v>
      </c>
      <c r="F272" s="14"/>
      <c r="G272" s="15">
        <f t="shared" si="21"/>
        <v>6.25</v>
      </c>
      <c r="H272" s="14"/>
      <c r="I272" s="15">
        <f t="shared" si="23"/>
        <v>235.66700000000003</v>
      </c>
      <c r="J272" s="14"/>
      <c r="K272" s="13"/>
    </row>
    <row r="273" spans="1:11" ht="12.6" customHeight="1" x14ac:dyDescent="0.2">
      <c r="A273" s="13"/>
      <c r="B273" s="19" t="s">
        <v>271</v>
      </c>
      <c r="C273" s="15"/>
      <c r="D273" s="14"/>
      <c r="E273" s="15">
        <f t="shared" si="22"/>
        <v>134.17099999999996</v>
      </c>
      <c r="F273" s="14"/>
      <c r="G273" s="15">
        <f t="shared" si="21"/>
        <v>0</v>
      </c>
      <c r="H273" s="14">
        <v>5</v>
      </c>
      <c r="I273" s="15">
        <f t="shared" si="23"/>
        <v>230.66700000000003</v>
      </c>
      <c r="J273" s="14"/>
      <c r="K273" s="16" t="s">
        <v>1079</v>
      </c>
    </row>
    <row r="274" spans="1:11" ht="12.6" customHeight="1" x14ac:dyDescent="0.2">
      <c r="A274" s="13">
        <v>42736</v>
      </c>
      <c r="B274" s="19"/>
      <c r="C274" s="15">
        <v>3.75</v>
      </c>
      <c r="D274" s="14"/>
      <c r="E274" s="15">
        <f t="shared" si="22"/>
        <v>137.92099999999996</v>
      </c>
      <c r="F274" s="14"/>
      <c r="G274" s="15">
        <f t="shared" si="21"/>
        <v>3.75</v>
      </c>
      <c r="H274" s="14"/>
      <c r="I274" s="15">
        <f t="shared" si="23"/>
        <v>234.41700000000003</v>
      </c>
      <c r="J274" s="14"/>
      <c r="K274" s="16"/>
    </row>
    <row r="275" spans="1:11" ht="12.6" customHeight="1" x14ac:dyDescent="0.2">
      <c r="A275" s="13"/>
      <c r="B275" s="19"/>
      <c r="C275" s="15"/>
      <c r="D275" s="14">
        <v>1.7070000000000001</v>
      </c>
      <c r="E275" s="15">
        <f t="shared" si="22"/>
        <v>136.21399999999997</v>
      </c>
      <c r="F275" s="14"/>
      <c r="G275" s="15">
        <f t="shared" si="21"/>
        <v>0</v>
      </c>
      <c r="H275" s="14"/>
      <c r="I275" s="15">
        <f t="shared" si="23"/>
        <v>234.41700000000003</v>
      </c>
      <c r="J275" s="14"/>
      <c r="K275" s="13" t="s">
        <v>498</v>
      </c>
    </row>
    <row r="276" spans="1:11" ht="12.6" customHeight="1" x14ac:dyDescent="0.2">
      <c r="A276" s="13">
        <v>42737</v>
      </c>
      <c r="B276" s="19"/>
      <c r="C276" s="15">
        <v>1.25</v>
      </c>
      <c r="D276" s="14"/>
      <c r="E276" s="15">
        <f t="shared" si="22"/>
        <v>137.46399999999997</v>
      </c>
      <c r="F276" s="14"/>
      <c r="G276" s="15">
        <f t="shared" si="21"/>
        <v>1.25</v>
      </c>
      <c r="H276" s="14"/>
      <c r="I276" s="15">
        <f t="shared" si="23"/>
        <v>235.66700000000003</v>
      </c>
      <c r="J276" s="14"/>
      <c r="K276" s="13"/>
    </row>
    <row r="277" spans="1:11" ht="12.6" customHeight="1" x14ac:dyDescent="0.2">
      <c r="A277" s="13"/>
      <c r="B277" s="19" t="s">
        <v>67</v>
      </c>
      <c r="C277" s="15"/>
      <c r="D277" s="14"/>
      <c r="E277" s="15">
        <f t="shared" si="22"/>
        <v>137.46399999999997</v>
      </c>
      <c r="F277" s="14"/>
      <c r="G277" s="15">
        <f t="shared" si="21"/>
        <v>0</v>
      </c>
      <c r="H277" s="14">
        <v>3</v>
      </c>
      <c r="I277" s="15">
        <f t="shared" si="23"/>
        <v>232.66700000000003</v>
      </c>
      <c r="J277" s="14"/>
      <c r="K277" s="13" t="s">
        <v>1080</v>
      </c>
    </row>
    <row r="278" spans="1:11" ht="12.6" customHeight="1" x14ac:dyDescent="0.2">
      <c r="A278" s="13">
        <v>42738</v>
      </c>
      <c r="B278" s="19"/>
      <c r="C278" s="15">
        <v>1.25</v>
      </c>
      <c r="D278" s="14"/>
      <c r="E278" s="15">
        <f t="shared" si="22"/>
        <v>138.71399999999997</v>
      </c>
      <c r="F278" s="14"/>
      <c r="G278" s="15">
        <f t="shared" si="21"/>
        <v>1.25</v>
      </c>
      <c r="H278" s="14"/>
      <c r="I278" s="15">
        <f t="shared" si="23"/>
        <v>233.91700000000003</v>
      </c>
      <c r="J278" s="14"/>
      <c r="K278" s="13"/>
    </row>
    <row r="279" spans="1:11" ht="12.6" customHeight="1" x14ac:dyDescent="0.2">
      <c r="A279" s="13"/>
      <c r="B279" s="19" t="s">
        <v>60</v>
      </c>
      <c r="C279" s="15"/>
      <c r="D279" s="14">
        <v>5</v>
      </c>
      <c r="E279" s="15">
        <f t="shared" si="22"/>
        <v>133.71399999999997</v>
      </c>
      <c r="F279" s="14"/>
      <c r="G279" s="15">
        <f t="shared" si="21"/>
        <v>0</v>
      </c>
      <c r="H279" s="14"/>
      <c r="I279" s="15">
        <f t="shared" si="23"/>
        <v>233.91700000000003</v>
      </c>
      <c r="J279" s="14"/>
      <c r="K279" s="13" t="s">
        <v>1081</v>
      </c>
    </row>
    <row r="280" spans="1:11" ht="12.6" customHeight="1" x14ac:dyDescent="0.2">
      <c r="A280" s="13">
        <v>42745</v>
      </c>
      <c r="B280" s="19"/>
      <c r="C280" s="15">
        <v>8.75</v>
      </c>
      <c r="D280" s="14"/>
      <c r="E280" s="15">
        <f t="shared" si="22"/>
        <v>142.46399999999997</v>
      </c>
      <c r="F280" s="14"/>
      <c r="G280" s="15">
        <f t="shared" si="21"/>
        <v>8.75</v>
      </c>
      <c r="H280" s="14"/>
      <c r="I280" s="15">
        <f t="shared" si="23"/>
        <v>242.66700000000003</v>
      </c>
      <c r="J280" s="14"/>
      <c r="K280" s="13"/>
    </row>
    <row r="281" spans="1:11" ht="12.6" customHeight="1" x14ac:dyDescent="0.2">
      <c r="A281" s="13"/>
      <c r="B281" s="19" t="s">
        <v>45</v>
      </c>
      <c r="C281" s="15"/>
      <c r="D281" s="14"/>
      <c r="E281" s="15">
        <f t="shared" si="22"/>
        <v>142.46399999999997</v>
      </c>
      <c r="F281" s="14"/>
      <c r="G281" s="15">
        <f t="shared" si="21"/>
        <v>0</v>
      </c>
      <c r="H281" s="14"/>
      <c r="I281" s="15">
        <f t="shared" si="23"/>
        <v>242.66700000000003</v>
      </c>
      <c r="J281" s="14"/>
      <c r="K281" s="13">
        <v>43018</v>
      </c>
    </row>
    <row r="282" spans="1:11" ht="12.6" customHeight="1" x14ac:dyDescent="0.2">
      <c r="A282" s="13">
        <v>42747</v>
      </c>
      <c r="B282" s="19"/>
      <c r="C282" s="15">
        <v>2.5</v>
      </c>
      <c r="D282" s="15"/>
      <c r="E282" s="15">
        <f t="shared" si="22"/>
        <v>144.96399999999997</v>
      </c>
      <c r="F282" s="14"/>
      <c r="G282" s="15">
        <f t="shared" si="21"/>
        <v>2.5</v>
      </c>
      <c r="H282" s="14"/>
      <c r="I282" s="15">
        <f t="shared" si="23"/>
        <v>245.16700000000003</v>
      </c>
      <c r="J282" s="14"/>
      <c r="K282" s="13"/>
    </row>
    <row r="283" spans="1:11" ht="12.6" customHeight="1" x14ac:dyDescent="0.2">
      <c r="A283" s="13"/>
      <c r="B283" s="19" t="s">
        <v>67</v>
      </c>
      <c r="C283" s="15"/>
      <c r="D283" s="14"/>
      <c r="E283" s="15">
        <f t="shared" si="22"/>
        <v>144.96399999999997</v>
      </c>
      <c r="F283" s="14"/>
      <c r="G283" s="15">
        <f t="shared" si="21"/>
        <v>0</v>
      </c>
      <c r="H283" s="14">
        <v>3</v>
      </c>
      <c r="I283" s="15">
        <f t="shared" si="23"/>
        <v>242.16700000000003</v>
      </c>
      <c r="J283" s="14"/>
      <c r="K283" s="16" t="s">
        <v>1082</v>
      </c>
    </row>
    <row r="284" spans="1:11" ht="12.6" customHeight="1" x14ac:dyDescent="0.2">
      <c r="A284" s="13">
        <v>43101</v>
      </c>
      <c r="B284" s="19"/>
      <c r="C284" s="15">
        <v>1.25</v>
      </c>
      <c r="D284" s="15"/>
      <c r="E284" s="15">
        <f t="shared" si="22"/>
        <v>146.21399999999997</v>
      </c>
      <c r="F284" s="14"/>
      <c r="G284" s="15">
        <f t="shared" si="21"/>
        <v>1.25</v>
      </c>
      <c r="H284" s="14"/>
      <c r="I284" s="15">
        <f t="shared" si="23"/>
        <v>243.41700000000003</v>
      </c>
      <c r="J284" s="14"/>
      <c r="K284" s="13"/>
    </row>
    <row r="285" spans="1:11" ht="12.6" customHeight="1" x14ac:dyDescent="0.2">
      <c r="A285" s="13"/>
      <c r="B285" s="19"/>
      <c r="C285" s="15"/>
      <c r="D285" s="14">
        <v>1.399</v>
      </c>
      <c r="E285" s="15">
        <f t="shared" si="22"/>
        <v>144.81499999999997</v>
      </c>
      <c r="F285" s="14"/>
      <c r="G285" s="15">
        <f t="shared" si="21"/>
        <v>0</v>
      </c>
      <c r="H285" s="14"/>
      <c r="I285" s="15">
        <f t="shared" si="23"/>
        <v>243.41700000000003</v>
      </c>
      <c r="J285" s="14"/>
      <c r="K285" s="16" t="s">
        <v>513</v>
      </c>
    </row>
    <row r="286" spans="1:11" ht="12.6" customHeight="1" x14ac:dyDescent="0.2">
      <c r="A286" s="13">
        <v>43105</v>
      </c>
      <c r="B286" s="19"/>
      <c r="C286" s="15">
        <v>5</v>
      </c>
      <c r="D286" s="15"/>
      <c r="E286" s="15">
        <f t="shared" si="22"/>
        <v>149.81499999999997</v>
      </c>
      <c r="F286" s="14"/>
      <c r="G286" s="15">
        <f t="shared" si="21"/>
        <v>5</v>
      </c>
      <c r="H286" s="14"/>
      <c r="I286" s="15">
        <f t="shared" si="23"/>
        <v>248.41700000000003</v>
      </c>
      <c r="J286" s="14"/>
      <c r="K286" s="13"/>
    </row>
    <row r="287" spans="1:11" ht="12.6" customHeight="1" x14ac:dyDescent="0.2">
      <c r="A287" s="13"/>
      <c r="B287" s="19" t="s">
        <v>67</v>
      </c>
      <c r="C287" s="15"/>
      <c r="D287" s="14"/>
      <c r="E287" s="15">
        <f t="shared" si="22"/>
        <v>149.81499999999997</v>
      </c>
      <c r="F287" s="14"/>
      <c r="G287" s="15">
        <f t="shared" si="21"/>
        <v>0</v>
      </c>
      <c r="H287" s="14">
        <v>3</v>
      </c>
      <c r="I287" s="15">
        <f t="shared" si="23"/>
        <v>245.41700000000003</v>
      </c>
      <c r="J287" s="14"/>
      <c r="K287" s="16" t="s">
        <v>1083</v>
      </c>
    </row>
    <row r="288" spans="1:11" ht="12.6" customHeight="1" x14ac:dyDescent="0.2">
      <c r="A288" s="13">
        <v>43108</v>
      </c>
      <c r="B288" s="19"/>
      <c r="C288" s="15">
        <v>3.75</v>
      </c>
      <c r="D288" s="14"/>
      <c r="E288" s="15">
        <f t="shared" si="22"/>
        <v>153.56499999999997</v>
      </c>
      <c r="F288" s="14"/>
      <c r="G288" s="15">
        <f t="shared" si="21"/>
        <v>3.75</v>
      </c>
      <c r="H288" s="14"/>
      <c r="I288" s="15">
        <f t="shared" si="23"/>
        <v>249.16700000000003</v>
      </c>
      <c r="J288" s="14"/>
      <c r="K288" s="13"/>
    </row>
    <row r="289" spans="1:11" ht="12.6" customHeight="1" x14ac:dyDescent="0.2">
      <c r="A289" s="13"/>
      <c r="B289" s="19" t="s">
        <v>184</v>
      </c>
      <c r="C289" s="15"/>
      <c r="D289" s="14">
        <v>10</v>
      </c>
      <c r="E289" s="15">
        <f t="shared" si="22"/>
        <v>143.56499999999997</v>
      </c>
      <c r="F289" s="14"/>
      <c r="G289" s="15">
        <f t="shared" si="21"/>
        <v>0</v>
      </c>
      <c r="H289" s="14"/>
      <c r="I289" s="15">
        <f t="shared" si="23"/>
        <v>249.16700000000003</v>
      </c>
      <c r="J289" s="14"/>
      <c r="K289" s="38" t="s">
        <v>741</v>
      </c>
    </row>
    <row r="290" spans="1:11" ht="12.6" customHeight="1" x14ac:dyDescent="0.2">
      <c r="A290" s="13">
        <v>43110</v>
      </c>
      <c r="B290" s="19"/>
      <c r="C290" s="15">
        <v>2.5</v>
      </c>
      <c r="D290" s="14"/>
      <c r="E290" s="15">
        <f t="shared" si="22"/>
        <v>146.06499999999997</v>
      </c>
      <c r="F290" s="14"/>
      <c r="G290" s="15">
        <f t="shared" si="21"/>
        <v>2.5</v>
      </c>
      <c r="H290" s="14"/>
      <c r="I290" s="15">
        <f t="shared" si="23"/>
        <v>251.66700000000003</v>
      </c>
      <c r="J290" s="14"/>
      <c r="K290" s="13"/>
    </row>
    <row r="291" spans="1:11" ht="12.6" customHeight="1" x14ac:dyDescent="0.2">
      <c r="A291" s="19"/>
      <c r="B291" s="19"/>
      <c r="C291" s="36">
        <f>SUM(C265:C290)</f>
        <v>41.25</v>
      </c>
      <c r="D291" s="36">
        <f>SUM(D265:D290)</f>
        <v>31.691000000000003</v>
      </c>
      <c r="E291" s="36"/>
      <c r="F291" s="37"/>
      <c r="G291" s="36">
        <f>SUM(G265:G290)</f>
        <v>41.25</v>
      </c>
      <c r="H291" s="36">
        <f>SUM(H265:H290)</f>
        <v>17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LEONAR, RONALD C.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JANUARY 15, 1982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 t="s">
        <v>67</v>
      </c>
      <c r="C304" s="15"/>
      <c r="D304" s="14"/>
      <c r="E304" s="15">
        <f>E290+C304-D304</f>
        <v>146.06499999999997</v>
      </c>
      <c r="F304" s="14"/>
      <c r="G304" s="15">
        <f>C304</f>
        <v>0</v>
      </c>
      <c r="H304" s="14">
        <v>3</v>
      </c>
      <c r="I304" s="15">
        <f>I290+G304-H304</f>
        <v>248.66700000000003</v>
      </c>
      <c r="J304" s="14"/>
      <c r="K304" s="13" t="s">
        <v>1084</v>
      </c>
    </row>
    <row r="305" spans="1:11" ht="12.6" customHeight="1" x14ac:dyDescent="0.2">
      <c r="A305" s="13"/>
      <c r="B305" s="19" t="s">
        <v>45</v>
      </c>
      <c r="C305" s="15"/>
      <c r="D305" s="14"/>
      <c r="E305" s="15">
        <f>E304+C305-D305</f>
        <v>146.06499999999997</v>
      </c>
      <c r="F305" s="14"/>
      <c r="G305" s="15">
        <f t="shared" ref="G305:G329" si="24">C305</f>
        <v>0</v>
      </c>
      <c r="H305" s="14"/>
      <c r="I305" s="15">
        <f>I304+G305-H305</f>
        <v>248.66700000000003</v>
      </c>
      <c r="J305" s="14"/>
      <c r="K305" s="13">
        <v>43444</v>
      </c>
    </row>
    <row r="306" spans="1:11" ht="12.6" customHeight="1" x14ac:dyDescent="0.2">
      <c r="A306" s="13">
        <v>43112</v>
      </c>
      <c r="B306" s="19"/>
      <c r="C306" s="15">
        <v>2.5</v>
      </c>
      <c r="D306" s="14"/>
      <c r="E306" s="15">
        <f t="shared" ref="E306:E329" si="25">E305+C306-D306</f>
        <v>148.56499999999997</v>
      </c>
      <c r="F306" s="14"/>
      <c r="G306" s="15">
        <f t="shared" si="24"/>
        <v>2.5</v>
      </c>
      <c r="H306" s="14"/>
      <c r="I306" s="15">
        <f t="shared" ref="I306:I329" si="26">I305+G306-H306</f>
        <v>251.16700000000003</v>
      </c>
      <c r="J306" s="14"/>
      <c r="K306" s="13"/>
    </row>
    <row r="307" spans="1:11" ht="12.6" customHeight="1" x14ac:dyDescent="0.2">
      <c r="A307" s="13"/>
      <c r="B307" s="19" t="s">
        <v>91</v>
      </c>
      <c r="C307" s="15"/>
      <c r="D307" s="14">
        <v>30</v>
      </c>
      <c r="E307" s="15">
        <f t="shared" si="25"/>
        <v>118.56499999999997</v>
      </c>
      <c r="F307" s="14"/>
      <c r="G307" s="15">
        <f t="shared" si="24"/>
        <v>0</v>
      </c>
      <c r="H307" s="14"/>
      <c r="I307" s="15">
        <f t="shared" si="26"/>
        <v>251.16700000000003</v>
      </c>
      <c r="J307" s="14"/>
      <c r="K307" s="75" t="s">
        <v>885</v>
      </c>
    </row>
    <row r="308" spans="1:11" ht="12.6" customHeight="1" x14ac:dyDescent="0.2">
      <c r="A308" s="13">
        <v>43466</v>
      </c>
      <c r="B308" s="19"/>
      <c r="C308" s="15">
        <v>1.25</v>
      </c>
      <c r="D308" s="14"/>
      <c r="E308" s="15">
        <f t="shared" si="25"/>
        <v>119.81499999999997</v>
      </c>
      <c r="F308" s="14"/>
      <c r="G308" s="15">
        <f t="shared" si="24"/>
        <v>1.25</v>
      </c>
      <c r="H308" s="14"/>
      <c r="I308" s="15">
        <f t="shared" si="26"/>
        <v>252.41700000000003</v>
      </c>
      <c r="J308" s="14"/>
      <c r="K308" s="13"/>
    </row>
    <row r="309" spans="1:11" ht="12.6" customHeight="1" x14ac:dyDescent="0.2">
      <c r="A309" s="13"/>
      <c r="B309" s="19" t="s">
        <v>65</v>
      </c>
      <c r="C309" s="15"/>
      <c r="D309" s="14">
        <v>5</v>
      </c>
      <c r="E309" s="15">
        <f t="shared" si="25"/>
        <v>114.81499999999997</v>
      </c>
      <c r="F309" s="14"/>
      <c r="G309" s="15">
        <f t="shared" si="24"/>
        <v>0</v>
      </c>
      <c r="H309" s="14"/>
      <c r="I309" s="15">
        <f t="shared" si="26"/>
        <v>252.41700000000003</v>
      </c>
      <c r="J309" s="14"/>
      <c r="K309" s="13" t="s">
        <v>886</v>
      </c>
    </row>
    <row r="310" spans="1:11" ht="12.6" customHeight="1" x14ac:dyDescent="0.2">
      <c r="A310" s="13">
        <v>43469</v>
      </c>
      <c r="B310" s="19"/>
      <c r="C310" s="15">
        <v>3.75</v>
      </c>
      <c r="D310" s="14"/>
      <c r="E310" s="15">
        <f t="shared" si="25"/>
        <v>118.56499999999997</v>
      </c>
      <c r="F310" s="14"/>
      <c r="G310" s="15">
        <f t="shared" si="24"/>
        <v>3.75</v>
      </c>
      <c r="H310" s="14"/>
      <c r="I310" s="15">
        <f t="shared" si="26"/>
        <v>256.16700000000003</v>
      </c>
      <c r="J310" s="14"/>
      <c r="K310" s="13"/>
    </row>
    <row r="311" spans="1:11" ht="12.6" customHeight="1" x14ac:dyDescent="0.2">
      <c r="A311" s="13"/>
      <c r="B311" s="19" t="s">
        <v>1086</v>
      </c>
      <c r="C311" s="15"/>
      <c r="D311" s="14"/>
      <c r="E311" s="15">
        <f t="shared" si="25"/>
        <v>118.56499999999997</v>
      </c>
      <c r="F311" s="14"/>
      <c r="G311" s="15">
        <f t="shared" si="24"/>
        <v>0</v>
      </c>
      <c r="H311" s="14">
        <v>41</v>
      </c>
      <c r="I311" s="15">
        <f t="shared" si="26"/>
        <v>215.16700000000003</v>
      </c>
      <c r="J311" s="14"/>
      <c r="K311" s="13" t="s">
        <v>1085</v>
      </c>
    </row>
    <row r="312" spans="1:11" ht="12.6" customHeight="1" x14ac:dyDescent="0.2">
      <c r="A312" s="13">
        <v>43831</v>
      </c>
      <c r="B312" s="19"/>
      <c r="C312" s="15">
        <v>11.25</v>
      </c>
      <c r="D312" s="14"/>
      <c r="E312" s="15">
        <f t="shared" si="25"/>
        <v>129.81499999999997</v>
      </c>
      <c r="F312" s="14"/>
      <c r="G312" s="15">
        <f t="shared" si="24"/>
        <v>11.25</v>
      </c>
      <c r="H312" s="14"/>
      <c r="I312" s="15">
        <f t="shared" si="26"/>
        <v>226.41700000000003</v>
      </c>
      <c r="J312" s="14"/>
      <c r="K312" s="16"/>
    </row>
    <row r="313" spans="1:11" ht="12.6" customHeight="1" x14ac:dyDescent="0.2">
      <c r="A313" s="13"/>
      <c r="B313" s="19"/>
      <c r="C313" s="15"/>
      <c r="D313" s="14">
        <v>0.62</v>
      </c>
      <c r="E313" s="15">
        <f t="shared" si="25"/>
        <v>129.19499999999996</v>
      </c>
      <c r="F313" s="14"/>
      <c r="G313" s="15">
        <f t="shared" si="24"/>
        <v>0</v>
      </c>
      <c r="H313" s="14"/>
      <c r="I313" s="15">
        <f t="shared" si="26"/>
        <v>226.41700000000003</v>
      </c>
      <c r="J313" s="14"/>
      <c r="K313" s="16" t="s">
        <v>755</v>
      </c>
    </row>
    <row r="314" spans="1:11" ht="12.6" customHeight="1" x14ac:dyDescent="0.2">
      <c r="A314" s="13"/>
      <c r="B314" s="19" t="s">
        <v>65</v>
      </c>
      <c r="C314" s="15"/>
      <c r="D314" s="14">
        <v>5</v>
      </c>
      <c r="E314" s="15">
        <f t="shared" si="25"/>
        <v>124.19499999999996</v>
      </c>
      <c r="F314" s="14"/>
      <c r="G314" s="15">
        <f t="shared" si="24"/>
        <v>0</v>
      </c>
      <c r="H314" s="14"/>
      <c r="I314" s="15">
        <f t="shared" si="26"/>
        <v>226.41700000000003</v>
      </c>
      <c r="J314" s="14"/>
      <c r="K314" s="16" t="s">
        <v>537</v>
      </c>
    </row>
    <row r="315" spans="1:11" ht="12.6" customHeight="1" x14ac:dyDescent="0.2">
      <c r="A315" s="13"/>
      <c r="B315" s="19" t="s">
        <v>95</v>
      </c>
      <c r="C315" s="15"/>
      <c r="D315" s="14">
        <v>3</v>
      </c>
      <c r="E315" s="15">
        <f t="shared" si="25"/>
        <v>121.19499999999996</v>
      </c>
      <c r="F315" s="14"/>
      <c r="G315" s="15">
        <f t="shared" si="24"/>
        <v>0</v>
      </c>
      <c r="H315" s="14"/>
      <c r="I315" s="15">
        <f t="shared" si="26"/>
        <v>226.41700000000003</v>
      </c>
      <c r="J315" s="14"/>
      <c r="K315" s="13" t="s">
        <v>1087</v>
      </c>
    </row>
    <row r="316" spans="1:11" ht="12.6" customHeight="1" x14ac:dyDescent="0.2">
      <c r="A316" s="13">
        <v>43836</v>
      </c>
      <c r="B316" s="19"/>
      <c r="C316" s="15">
        <v>6.25</v>
      </c>
      <c r="D316" s="14"/>
      <c r="E316" s="15">
        <f t="shared" si="25"/>
        <v>127.44499999999996</v>
      </c>
      <c r="F316" s="14"/>
      <c r="G316" s="15">
        <f t="shared" si="24"/>
        <v>6.25</v>
      </c>
      <c r="H316" s="14"/>
      <c r="I316" s="15">
        <f t="shared" si="26"/>
        <v>232.66700000000003</v>
      </c>
      <c r="J316" s="14"/>
      <c r="K316" s="13"/>
    </row>
    <row r="317" spans="1:11" ht="12.6" customHeight="1" x14ac:dyDescent="0.2">
      <c r="A317" s="13"/>
      <c r="B317" s="19" t="s">
        <v>67</v>
      </c>
      <c r="C317" s="15"/>
      <c r="D317" s="14"/>
      <c r="E317" s="15">
        <f t="shared" si="25"/>
        <v>127.44499999999996</v>
      </c>
      <c r="F317" s="14"/>
      <c r="G317" s="15">
        <f t="shared" si="24"/>
        <v>0</v>
      </c>
      <c r="H317" s="14">
        <v>3</v>
      </c>
      <c r="I317" s="15">
        <f t="shared" si="26"/>
        <v>229.66700000000003</v>
      </c>
      <c r="J317" s="14"/>
      <c r="K317" s="13" t="s">
        <v>1088</v>
      </c>
    </row>
    <row r="318" spans="1:11" ht="12.6" customHeight="1" x14ac:dyDescent="0.2">
      <c r="A318" s="13">
        <v>44197</v>
      </c>
      <c r="B318" s="19"/>
      <c r="C318" s="15">
        <v>8.75</v>
      </c>
      <c r="D318" s="14"/>
      <c r="E318" s="15">
        <f t="shared" si="25"/>
        <v>136.19499999999996</v>
      </c>
      <c r="F318" s="14"/>
      <c r="G318" s="15">
        <f t="shared" si="24"/>
        <v>8.75</v>
      </c>
      <c r="H318" s="14"/>
      <c r="I318" s="15">
        <f t="shared" si="26"/>
        <v>238.41700000000003</v>
      </c>
      <c r="J318" s="14"/>
      <c r="K318" s="13"/>
    </row>
    <row r="319" spans="1:11" ht="12.6" customHeight="1" x14ac:dyDescent="0.2">
      <c r="A319" s="13"/>
      <c r="B319" s="19"/>
      <c r="C319" s="15"/>
      <c r="D319" s="14">
        <v>0.443</v>
      </c>
      <c r="E319" s="15">
        <f t="shared" si="25"/>
        <v>135.75199999999995</v>
      </c>
      <c r="F319" s="14"/>
      <c r="G319" s="15">
        <f t="shared" si="24"/>
        <v>0</v>
      </c>
      <c r="H319" s="14"/>
      <c r="I319" s="15">
        <f t="shared" si="26"/>
        <v>238.41700000000003</v>
      </c>
      <c r="J319" s="14"/>
      <c r="K319" s="13" t="s">
        <v>762</v>
      </c>
    </row>
    <row r="320" spans="1:11" ht="12.6" customHeight="1" x14ac:dyDescent="0.2">
      <c r="A320" s="13"/>
      <c r="B320" s="19" t="s">
        <v>77</v>
      </c>
      <c r="C320" s="15"/>
      <c r="D320" s="14">
        <v>2</v>
      </c>
      <c r="E320" s="15">
        <f t="shared" si="25"/>
        <v>133.75199999999995</v>
      </c>
      <c r="F320" s="14"/>
      <c r="G320" s="15">
        <f t="shared" si="24"/>
        <v>0</v>
      </c>
      <c r="H320" s="14"/>
      <c r="I320" s="15">
        <f t="shared" si="26"/>
        <v>238.41700000000003</v>
      </c>
      <c r="J320" s="14"/>
      <c r="K320" s="13" t="s">
        <v>1089</v>
      </c>
    </row>
    <row r="321" spans="1:11" ht="12.6" customHeight="1" x14ac:dyDescent="0.2">
      <c r="A321" s="13">
        <v>44205</v>
      </c>
      <c r="B321" s="19"/>
      <c r="C321" s="15">
        <v>10</v>
      </c>
      <c r="D321" s="15"/>
      <c r="E321" s="15">
        <f t="shared" si="25"/>
        <v>143.75199999999995</v>
      </c>
      <c r="F321" s="14"/>
      <c r="G321" s="15">
        <f t="shared" si="24"/>
        <v>10</v>
      </c>
      <c r="H321" s="14"/>
      <c r="I321" s="15">
        <f t="shared" si="26"/>
        <v>248.41700000000003</v>
      </c>
      <c r="J321" s="14"/>
      <c r="K321" s="13"/>
    </row>
    <row r="322" spans="1:11" ht="12.6" customHeight="1" x14ac:dyDescent="0.2">
      <c r="A322" s="13"/>
      <c r="B322" s="19" t="s">
        <v>95</v>
      </c>
      <c r="C322" s="15"/>
      <c r="D322" s="14">
        <v>3</v>
      </c>
      <c r="E322" s="15">
        <f t="shared" si="25"/>
        <v>140.75199999999995</v>
      </c>
      <c r="F322" s="14"/>
      <c r="G322" s="15">
        <f t="shared" si="24"/>
        <v>0</v>
      </c>
      <c r="H322" s="14"/>
      <c r="I322" s="15">
        <f t="shared" si="26"/>
        <v>248.41700000000003</v>
      </c>
      <c r="J322" s="14"/>
      <c r="K322" s="16" t="s">
        <v>1090</v>
      </c>
    </row>
    <row r="323" spans="1:11" ht="12.6" customHeight="1" x14ac:dyDescent="0.2">
      <c r="A323" s="16"/>
      <c r="B323" s="19" t="s">
        <v>67</v>
      </c>
      <c r="C323" s="15"/>
      <c r="D323" s="15"/>
      <c r="E323" s="15">
        <f t="shared" si="25"/>
        <v>140.75199999999995</v>
      </c>
      <c r="F323" s="14"/>
      <c r="G323" s="15">
        <f t="shared" si="24"/>
        <v>0</v>
      </c>
      <c r="H323" s="14">
        <v>3</v>
      </c>
      <c r="I323" s="15">
        <f t="shared" si="26"/>
        <v>245.41700000000003</v>
      </c>
      <c r="J323" s="14"/>
      <c r="K323" s="13" t="s">
        <v>1091</v>
      </c>
    </row>
    <row r="324" spans="1:11" ht="12.6" customHeight="1" x14ac:dyDescent="0.2">
      <c r="A324" s="13">
        <v>44207</v>
      </c>
      <c r="B324" s="19"/>
      <c r="C324" s="15">
        <v>2.5</v>
      </c>
      <c r="D324" s="14"/>
      <c r="E324" s="15">
        <f t="shared" si="25"/>
        <v>143.25199999999995</v>
      </c>
      <c r="F324" s="14"/>
      <c r="G324" s="15">
        <f t="shared" si="24"/>
        <v>2.5</v>
      </c>
      <c r="H324" s="14"/>
      <c r="I324" s="15">
        <f t="shared" si="26"/>
        <v>247.91700000000003</v>
      </c>
      <c r="J324" s="14"/>
      <c r="K324" s="16"/>
    </row>
    <row r="325" spans="1:11" ht="12.6" customHeight="1" x14ac:dyDescent="0.2">
      <c r="A325" s="13"/>
      <c r="B325" s="19" t="s">
        <v>60</v>
      </c>
      <c r="C325" s="15"/>
      <c r="D325" s="14">
        <v>5</v>
      </c>
      <c r="E325" s="15">
        <f t="shared" si="25"/>
        <v>138.25199999999995</v>
      </c>
      <c r="F325" s="14"/>
      <c r="G325" s="15">
        <f t="shared" si="24"/>
        <v>0</v>
      </c>
      <c r="H325" s="14"/>
      <c r="I325" s="15">
        <f t="shared" si="26"/>
        <v>247.91700000000003</v>
      </c>
      <c r="J325" s="14"/>
      <c r="K325" s="13" t="s">
        <v>1092</v>
      </c>
    </row>
    <row r="326" spans="1:11" ht="12.6" customHeight="1" x14ac:dyDescent="0.2">
      <c r="A326" s="13">
        <v>44562</v>
      </c>
      <c r="B326" s="19"/>
      <c r="C326" s="15">
        <v>2.5</v>
      </c>
      <c r="D326" s="14"/>
      <c r="E326" s="15">
        <f t="shared" si="25"/>
        <v>140.75199999999995</v>
      </c>
      <c r="F326" s="14"/>
      <c r="G326" s="15">
        <f t="shared" si="24"/>
        <v>2.5</v>
      </c>
      <c r="H326" s="14"/>
      <c r="I326" s="15">
        <f t="shared" si="26"/>
        <v>250.41700000000003</v>
      </c>
      <c r="J326" s="14"/>
      <c r="K326" s="13"/>
    </row>
    <row r="327" spans="1:11" ht="12.6" customHeight="1" x14ac:dyDescent="0.2">
      <c r="A327" s="13"/>
      <c r="B327" s="19"/>
      <c r="C327" s="15"/>
      <c r="D327" s="14">
        <v>0.2</v>
      </c>
      <c r="E327" s="15">
        <f t="shared" si="25"/>
        <v>140.55199999999996</v>
      </c>
      <c r="F327" s="14"/>
      <c r="G327" s="15">
        <f t="shared" si="24"/>
        <v>0</v>
      </c>
      <c r="H327" s="14"/>
      <c r="I327" s="15">
        <f t="shared" si="26"/>
        <v>250.41700000000003</v>
      </c>
      <c r="J327" s="14"/>
      <c r="K327" s="13" t="s">
        <v>769</v>
      </c>
    </row>
    <row r="328" spans="1:11" ht="12.6" customHeight="1" x14ac:dyDescent="0.2">
      <c r="A328" s="13">
        <v>44568</v>
      </c>
      <c r="B328" s="19"/>
      <c r="C328" s="15">
        <v>7.5</v>
      </c>
      <c r="D328" s="14"/>
      <c r="E328" s="15">
        <f t="shared" si="25"/>
        <v>148.05199999999996</v>
      </c>
      <c r="F328" s="14"/>
      <c r="G328" s="15">
        <f t="shared" si="24"/>
        <v>7.5</v>
      </c>
      <c r="H328" s="14"/>
      <c r="I328" s="15">
        <f t="shared" si="26"/>
        <v>257.91700000000003</v>
      </c>
      <c r="J328" s="14"/>
      <c r="K328" s="13"/>
    </row>
    <row r="329" spans="1:11" ht="12.6" customHeight="1" x14ac:dyDescent="0.2">
      <c r="A329" s="13"/>
      <c r="B329" s="19" t="s">
        <v>1094</v>
      </c>
      <c r="C329" s="15"/>
      <c r="D329" s="14">
        <v>60</v>
      </c>
      <c r="E329" s="15">
        <f t="shared" si="25"/>
        <v>88.051999999999964</v>
      </c>
      <c r="F329" s="14"/>
      <c r="G329" s="15">
        <f t="shared" si="24"/>
        <v>0</v>
      </c>
      <c r="H329" s="14"/>
      <c r="I329" s="15">
        <f t="shared" si="26"/>
        <v>257.91700000000003</v>
      </c>
      <c r="J329" s="14"/>
      <c r="K329" s="75" t="s">
        <v>1093</v>
      </c>
    </row>
    <row r="330" spans="1:11" ht="12.6" customHeight="1" x14ac:dyDescent="0.2">
      <c r="A330" s="19"/>
      <c r="B330" s="19"/>
      <c r="C330" s="36">
        <f>SUM(C304:C329)</f>
        <v>56.25</v>
      </c>
      <c r="D330" s="36">
        <f>SUM(D304:D329)</f>
        <v>114.26300000000001</v>
      </c>
      <c r="E330" s="36"/>
      <c r="F330" s="37"/>
      <c r="G330" s="36">
        <f>SUM(G304:G329)</f>
        <v>56.25</v>
      </c>
      <c r="H330" s="36">
        <f>SUM(H304:H329)</f>
        <v>50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LEONAR, RONALD C.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JANUARY 15, 1982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>
        <v>44570</v>
      </c>
      <c r="B339" s="19"/>
      <c r="C339" s="15">
        <v>2.5</v>
      </c>
      <c r="D339" s="14"/>
      <c r="E339" s="15">
        <f>E329+C339-D339</f>
        <v>90.551999999999964</v>
      </c>
      <c r="F339" s="14"/>
      <c r="G339" s="15">
        <f>C339</f>
        <v>2.5</v>
      </c>
      <c r="H339" s="14"/>
      <c r="I339" s="15">
        <f>I329+G339-H339</f>
        <v>260.41700000000003</v>
      </c>
      <c r="J339" s="14"/>
      <c r="K339" s="16"/>
    </row>
    <row r="340" spans="1:11" ht="12.6" customHeight="1" x14ac:dyDescent="0.2">
      <c r="A340" s="13"/>
      <c r="B340" s="19" t="s">
        <v>60</v>
      </c>
      <c r="C340" s="15"/>
      <c r="D340" s="14">
        <v>5</v>
      </c>
      <c r="E340" s="15">
        <f>E339+C340-D340</f>
        <v>85.551999999999964</v>
      </c>
      <c r="F340" s="14"/>
      <c r="G340" s="15">
        <f t="shared" ref="G340:G364" si="27">C340</f>
        <v>0</v>
      </c>
      <c r="H340" s="14"/>
      <c r="I340" s="15">
        <f>I339+G340-H340</f>
        <v>260.41700000000003</v>
      </c>
      <c r="J340" s="14"/>
      <c r="K340" s="13" t="s">
        <v>1095</v>
      </c>
    </row>
    <row r="341" spans="1:11" ht="12.6" customHeight="1" x14ac:dyDescent="0.2">
      <c r="A341" s="13"/>
      <c r="B341" s="19" t="s">
        <v>60</v>
      </c>
      <c r="C341" s="15"/>
      <c r="D341" s="14">
        <v>5</v>
      </c>
      <c r="E341" s="15">
        <f t="shared" ref="E341:E364" si="28">E340+C341-D341</f>
        <v>80.551999999999964</v>
      </c>
      <c r="F341" s="14"/>
      <c r="G341" s="15">
        <f t="shared" si="27"/>
        <v>0</v>
      </c>
      <c r="H341" s="14"/>
      <c r="I341" s="15">
        <f t="shared" ref="I341:I364" si="29">I340+G341-H341</f>
        <v>260.41700000000003</v>
      </c>
      <c r="J341" s="14"/>
      <c r="K341" s="13" t="s">
        <v>1096</v>
      </c>
    </row>
    <row r="342" spans="1:11" ht="12.6" customHeight="1" x14ac:dyDescent="0.2">
      <c r="A342" s="13"/>
      <c r="B342" s="19" t="s">
        <v>67</v>
      </c>
      <c r="C342" s="15"/>
      <c r="D342" s="14"/>
      <c r="E342" s="15">
        <f t="shared" si="28"/>
        <v>80.551999999999964</v>
      </c>
      <c r="F342" s="14"/>
      <c r="G342" s="15">
        <f t="shared" si="27"/>
        <v>0</v>
      </c>
      <c r="H342" s="14">
        <v>3</v>
      </c>
      <c r="I342" s="15">
        <f t="shared" si="29"/>
        <v>257.41700000000003</v>
      </c>
      <c r="J342" s="14"/>
      <c r="K342" s="13" t="s">
        <v>1097</v>
      </c>
    </row>
    <row r="343" spans="1:11" ht="12.6" customHeight="1" x14ac:dyDescent="0.2">
      <c r="A343" s="13">
        <v>44571</v>
      </c>
      <c r="B343" s="19"/>
      <c r="C343" s="15">
        <v>1.25</v>
      </c>
      <c r="D343" s="14"/>
      <c r="E343" s="15">
        <f t="shared" si="28"/>
        <v>81.801999999999964</v>
      </c>
      <c r="F343" s="14"/>
      <c r="G343" s="15">
        <f t="shared" si="27"/>
        <v>1.25</v>
      </c>
      <c r="H343" s="14"/>
      <c r="I343" s="15">
        <f t="shared" si="29"/>
        <v>258.66700000000003</v>
      </c>
      <c r="J343" s="14"/>
      <c r="K343" s="13"/>
    </row>
    <row r="344" spans="1:11" ht="12.6" customHeight="1" x14ac:dyDescent="0.2">
      <c r="A344" s="13"/>
      <c r="B344" s="19" t="s">
        <v>52</v>
      </c>
      <c r="C344" s="15"/>
      <c r="D344" s="14"/>
      <c r="E344" s="15">
        <f t="shared" si="28"/>
        <v>81.801999999999964</v>
      </c>
      <c r="F344" s="14"/>
      <c r="G344" s="15">
        <f t="shared" si="27"/>
        <v>0</v>
      </c>
      <c r="H344" s="14">
        <v>2</v>
      </c>
      <c r="I344" s="15">
        <f t="shared" si="29"/>
        <v>256.66700000000003</v>
      </c>
      <c r="J344" s="14"/>
      <c r="K344" s="13" t="s">
        <v>1098</v>
      </c>
    </row>
    <row r="345" spans="1:11" ht="12.6" customHeight="1" x14ac:dyDescent="0.2">
      <c r="A345" s="13">
        <v>44572</v>
      </c>
      <c r="B345" s="19"/>
      <c r="C345" s="15">
        <v>1.25</v>
      </c>
      <c r="D345" s="14"/>
      <c r="E345" s="15">
        <f t="shared" si="28"/>
        <v>83.051999999999964</v>
      </c>
      <c r="F345" s="14"/>
      <c r="G345" s="15">
        <f t="shared" si="27"/>
        <v>1.25</v>
      </c>
      <c r="H345" s="14"/>
      <c r="I345" s="15">
        <f t="shared" si="29"/>
        <v>257.91700000000003</v>
      </c>
      <c r="J345" s="14"/>
      <c r="K345" s="13"/>
    </row>
    <row r="346" spans="1:11" ht="12.6" customHeight="1" x14ac:dyDescent="0.2">
      <c r="A346" s="13"/>
      <c r="B346" s="19" t="s">
        <v>60</v>
      </c>
      <c r="C346" s="15"/>
      <c r="D346" s="14">
        <v>5</v>
      </c>
      <c r="E346" s="15">
        <f t="shared" si="28"/>
        <v>78.051999999999964</v>
      </c>
      <c r="F346" s="14"/>
      <c r="G346" s="15">
        <f t="shared" si="27"/>
        <v>0</v>
      </c>
      <c r="H346" s="14"/>
      <c r="I346" s="15">
        <f t="shared" si="29"/>
        <v>257.91700000000003</v>
      </c>
      <c r="J346" s="14"/>
      <c r="K346" s="13" t="s">
        <v>1099</v>
      </c>
    </row>
    <row r="347" spans="1:11" ht="12.6" customHeight="1" x14ac:dyDescent="0.2">
      <c r="A347" s="13"/>
      <c r="B347" s="19" t="s">
        <v>60</v>
      </c>
      <c r="C347" s="15"/>
      <c r="D347" s="14">
        <v>5</v>
      </c>
      <c r="E347" s="15">
        <f t="shared" si="28"/>
        <v>73.051999999999964</v>
      </c>
      <c r="F347" s="14"/>
      <c r="G347" s="15">
        <f t="shared" si="27"/>
        <v>0</v>
      </c>
      <c r="H347" s="14"/>
      <c r="I347" s="15">
        <f t="shared" si="29"/>
        <v>257.91700000000003</v>
      </c>
      <c r="J347" s="14"/>
      <c r="K347" s="13" t="s">
        <v>1100</v>
      </c>
    </row>
    <row r="348" spans="1:11" ht="12.6" customHeight="1" x14ac:dyDescent="0.2">
      <c r="A348" s="13">
        <v>44927</v>
      </c>
      <c r="B348" s="19"/>
      <c r="C348" s="15">
        <v>2.5</v>
      </c>
      <c r="D348" s="14"/>
      <c r="E348" s="15">
        <f t="shared" si="28"/>
        <v>75.551999999999964</v>
      </c>
      <c r="F348" s="14"/>
      <c r="G348" s="15">
        <f t="shared" si="27"/>
        <v>2.5</v>
      </c>
      <c r="H348" s="14"/>
      <c r="I348" s="15">
        <f t="shared" si="29"/>
        <v>260.41700000000003</v>
      </c>
      <c r="J348" s="14"/>
      <c r="K348" s="16"/>
    </row>
    <row r="349" spans="1:11" ht="12.6" customHeight="1" x14ac:dyDescent="0.2">
      <c r="A349" s="13"/>
      <c r="B349" s="19" t="s">
        <v>1102</v>
      </c>
      <c r="C349" s="15"/>
      <c r="D349" s="14"/>
      <c r="E349" s="15">
        <f t="shared" si="28"/>
        <v>75.551999999999964</v>
      </c>
      <c r="F349" s="14"/>
      <c r="G349" s="15">
        <f t="shared" si="27"/>
        <v>0</v>
      </c>
      <c r="H349" s="14">
        <v>20</v>
      </c>
      <c r="I349" s="15">
        <f t="shared" si="29"/>
        <v>240.41700000000003</v>
      </c>
      <c r="J349" s="14"/>
      <c r="K349" s="13" t="s">
        <v>1101</v>
      </c>
    </row>
    <row r="350" spans="1:11" ht="12.6" customHeight="1" x14ac:dyDescent="0.2">
      <c r="A350" s="13">
        <v>44928</v>
      </c>
      <c r="B350" s="19"/>
      <c r="C350" s="15">
        <v>1.25</v>
      </c>
      <c r="D350" s="14"/>
      <c r="E350" s="15">
        <f t="shared" si="28"/>
        <v>76.801999999999964</v>
      </c>
      <c r="F350" s="14"/>
      <c r="G350" s="15">
        <f t="shared" si="27"/>
        <v>1.25</v>
      </c>
      <c r="H350" s="14"/>
      <c r="I350" s="15">
        <f t="shared" si="29"/>
        <v>241.66700000000003</v>
      </c>
      <c r="J350" s="14"/>
      <c r="K350" s="13"/>
    </row>
    <row r="351" spans="1:11" ht="12.6" customHeight="1" x14ac:dyDescent="0.2">
      <c r="A351" s="13"/>
      <c r="B351" s="19" t="s">
        <v>67</v>
      </c>
      <c r="C351" s="15"/>
      <c r="D351" s="14"/>
      <c r="E351" s="15">
        <f t="shared" si="28"/>
        <v>76.801999999999964</v>
      </c>
      <c r="F351" s="14"/>
      <c r="G351" s="15">
        <f t="shared" si="27"/>
        <v>0</v>
      </c>
      <c r="H351" s="14">
        <v>3</v>
      </c>
      <c r="I351" s="15">
        <f t="shared" si="29"/>
        <v>238.66700000000003</v>
      </c>
      <c r="J351" s="14"/>
      <c r="K351" s="13" t="s">
        <v>1103</v>
      </c>
    </row>
    <row r="352" spans="1:11" ht="12.6" customHeight="1" x14ac:dyDescent="0.2">
      <c r="A352" s="13">
        <v>44930</v>
      </c>
      <c r="B352" s="19"/>
      <c r="C352" s="15">
        <v>2.5</v>
      </c>
      <c r="D352" s="14"/>
      <c r="E352" s="15">
        <f t="shared" si="28"/>
        <v>79.301999999999964</v>
      </c>
      <c r="F352" s="14"/>
      <c r="G352" s="15">
        <f t="shared" si="27"/>
        <v>2.5</v>
      </c>
      <c r="H352" s="14"/>
      <c r="I352" s="15">
        <f t="shared" si="29"/>
        <v>241.16700000000003</v>
      </c>
      <c r="J352" s="14"/>
      <c r="K352" s="13"/>
    </row>
    <row r="353" spans="1:11" ht="12.6" customHeight="1" x14ac:dyDescent="0.2">
      <c r="A353" s="13"/>
      <c r="B353" s="19" t="s">
        <v>67</v>
      </c>
      <c r="C353" s="15"/>
      <c r="D353" s="14"/>
      <c r="E353" s="15">
        <f t="shared" si="28"/>
        <v>79.301999999999964</v>
      </c>
      <c r="F353" s="14"/>
      <c r="G353" s="15">
        <f t="shared" si="27"/>
        <v>0</v>
      </c>
      <c r="H353" s="14">
        <v>3</v>
      </c>
      <c r="I353" s="15">
        <f t="shared" si="29"/>
        <v>238.16700000000003</v>
      </c>
      <c r="J353" s="14"/>
      <c r="K353" s="13" t="s">
        <v>1104</v>
      </c>
    </row>
    <row r="354" spans="1:11" ht="12.6" customHeight="1" x14ac:dyDescent="0.2">
      <c r="A354" s="13">
        <v>44933</v>
      </c>
      <c r="B354" s="19"/>
      <c r="C354" s="15">
        <v>3.75</v>
      </c>
      <c r="D354" s="14"/>
      <c r="E354" s="15">
        <f t="shared" si="28"/>
        <v>83.051999999999964</v>
      </c>
      <c r="F354" s="14"/>
      <c r="G354" s="15">
        <f t="shared" si="27"/>
        <v>3.75</v>
      </c>
      <c r="H354" s="14"/>
      <c r="I354" s="15">
        <f t="shared" si="29"/>
        <v>241.91700000000003</v>
      </c>
      <c r="J354" s="14"/>
      <c r="K354" s="13"/>
    </row>
    <row r="355" spans="1:11" ht="12.6" customHeight="1" x14ac:dyDescent="0.2">
      <c r="A355" s="13"/>
      <c r="B355" s="19" t="s">
        <v>67</v>
      </c>
      <c r="C355" s="15"/>
      <c r="D355" s="14"/>
      <c r="E355" s="15">
        <f t="shared" si="28"/>
        <v>83.051999999999964</v>
      </c>
      <c r="F355" s="14"/>
      <c r="G355" s="15">
        <f t="shared" si="27"/>
        <v>0</v>
      </c>
      <c r="H355" s="14">
        <v>3</v>
      </c>
      <c r="I355" s="15">
        <f t="shared" si="29"/>
        <v>238.91700000000003</v>
      </c>
      <c r="J355" s="14"/>
      <c r="K355" s="13" t="s">
        <v>1105</v>
      </c>
    </row>
    <row r="356" spans="1:11" ht="12.6" customHeight="1" x14ac:dyDescent="0.2">
      <c r="A356" s="13">
        <v>44936</v>
      </c>
      <c r="B356" s="19"/>
      <c r="C356" s="15">
        <v>3.75</v>
      </c>
      <c r="D356" s="15"/>
      <c r="E356" s="15">
        <f t="shared" si="28"/>
        <v>86.801999999999964</v>
      </c>
      <c r="F356" s="14"/>
      <c r="G356" s="15">
        <f t="shared" si="27"/>
        <v>3.75</v>
      </c>
      <c r="H356" s="14"/>
      <c r="I356" s="15">
        <f t="shared" si="29"/>
        <v>242.66700000000003</v>
      </c>
      <c r="J356" s="14"/>
      <c r="K356" s="13"/>
    </row>
    <row r="357" spans="1:11" ht="12.6" customHeight="1" x14ac:dyDescent="0.2">
      <c r="A357" s="13"/>
      <c r="B357" s="19" t="s">
        <v>90</v>
      </c>
      <c r="C357" s="15"/>
      <c r="D357" s="14"/>
      <c r="E357" s="15">
        <f t="shared" si="28"/>
        <v>86.801999999999964</v>
      </c>
      <c r="F357" s="14"/>
      <c r="G357" s="15">
        <f t="shared" si="27"/>
        <v>0</v>
      </c>
      <c r="H357" s="14"/>
      <c r="I357" s="15">
        <f t="shared" si="29"/>
        <v>242.66700000000003</v>
      </c>
      <c r="J357" s="14"/>
      <c r="K357" s="16" t="s">
        <v>1106</v>
      </c>
    </row>
    <row r="358" spans="1:11" ht="12.6" customHeight="1" x14ac:dyDescent="0.2">
      <c r="A358" s="13">
        <v>44937</v>
      </c>
      <c r="B358" s="19"/>
      <c r="C358" s="15">
        <v>1.25</v>
      </c>
      <c r="D358" s="15"/>
      <c r="E358" s="15">
        <f t="shared" si="28"/>
        <v>88.051999999999964</v>
      </c>
      <c r="F358" s="14"/>
      <c r="G358" s="15">
        <f t="shared" si="27"/>
        <v>1.25</v>
      </c>
      <c r="H358" s="14"/>
      <c r="I358" s="15">
        <f t="shared" si="29"/>
        <v>243.91700000000003</v>
      </c>
      <c r="J358" s="14"/>
      <c r="K358" s="13"/>
    </row>
    <row r="359" spans="1:11" ht="12.6" customHeight="1" x14ac:dyDescent="0.2">
      <c r="A359" s="13"/>
      <c r="B359" s="19" t="s">
        <v>67</v>
      </c>
      <c r="C359" s="15"/>
      <c r="D359" s="14"/>
      <c r="E359" s="15">
        <f t="shared" si="28"/>
        <v>88.051999999999964</v>
      </c>
      <c r="F359" s="14"/>
      <c r="G359" s="15">
        <f t="shared" si="27"/>
        <v>0</v>
      </c>
      <c r="H359" s="14">
        <v>3</v>
      </c>
      <c r="I359" s="15">
        <f t="shared" si="29"/>
        <v>240.91700000000003</v>
      </c>
      <c r="J359" s="14"/>
      <c r="K359" s="13" t="s">
        <v>1107</v>
      </c>
    </row>
    <row r="360" spans="1:11" ht="12.6" customHeight="1" x14ac:dyDescent="0.2">
      <c r="A360" s="13">
        <v>45292</v>
      </c>
      <c r="B360" s="19"/>
      <c r="C360" s="15">
        <v>2.5</v>
      </c>
      <c r="D360" s="14"/>
      <c r="E360" s="15">
        <f t="shared" si="28"/>
        <v>90.551999999999964</v>
      </c>
      <c r="F360" s="14"/>
      <c r="G360" s="15">
        <f t="shared" si="27"/>
        <v>2.5</v>
      </c>
      <c r="H360" s="14"/>
      <c r="I360" s="15">
        <f t="shared" si="29"/>
        <v>243.41700000000003</v>
      </c>
      <c r="J360" s="14"/>
      <c r="K360" s="13"/>
    </row>
    <row r="361" spans="1:11" ht="12.6" customHeight="1" x14ac:dyDescent="0.2">
      <c r="A361" s="13"/>
      <c r="B361" s="19"/>
      <c r="C361" s="15"/>
      <c r="D361" s="14">
        <v>0.16300000000000001</v>
      </c>
      <c r="E361" s="15">
        <f t="shared" si="28"/>
        <v>90.388999999999967</v>
      </c>
      <c r="F361" s="14"/>
      <c r="G361" s="15">
        <f t="shared" si="27"/>
        <v>0</v>
      </c>
      <c r="H361" s="14"/>
      <c r="I361" s="15">
        <f t="shared" si="29"/>
        <v>243.41700000000003</v>
      </c>
      <c r="J361" s="14"/>
      <c r="K361" s="13" t="s">
        <v>791</v>
      </c>
    </row>
    <row r="362" spans="1:11" ht="12.6" customHeight="1" x14ac:dyDescent="0.2">
      <c r="A362" s="13"/>
      <c r="B362" s="19" t="s">
        <v>65</v>
      </c>
      <c r="C362" s="15"/>
      <c r="D362" s="14">
        <v>5</v>
      </c>
      <c r="E362" s="15">
        <f t="shared" si="28"/>
        <v>85.388999999999967</v>
      </c>
      <c r="F362" s="14"/>
      <c r="G362" s="15">
        <f t="shared" si="27"/>
        <v>0</v>
      </c>
      <c r="H362" s="14"/>
      <c r="I362" s="15">
        <f t="shared" si="29"/>
        <v>243.41700000000003</v>
      </c>
      <c r="J362" s="14"/>
      <c r="K362" s="13" t="s">
        <v>893</v>
      </c>
    </row>
    <row r="363" spans="1:11" ht="12.6" customHeight="1" x14ac:dyDescent="0.2">
      <c r="A363" s="13">
        <v>45293</v>
      </c>
      <c r="B363" s="19"/>
      <c r="C363" s="15">
        <v>1.25</v>
      </c>
      <c r="D363" s="14"/>
      <c r="E363" s="15">
        <f t="shared" si="28"/>
        <v>86.638999999999967</v>
      </c>
      <c r="F363" s="14"/>
      <c r="G363" s="15">
        <f t="shared" si="27"/>
        <v>1.25</v>
      </c>
      <c r="H363" s="14"/>
      <c r="I363" s="15">
        <f t="shared" si="29"/>
        <v>244.66700000000003</v>
      </c>
      <c r="J363" s="14"/>
      <c r="K363" s="13"/>
    </row>
    <row r="364" spans="1:11" ht="12.6" customHeight="1" x14ac:dyDescent="0.2">
      <c r="A364" s="13"/>
      <c r="B364" s="19" t="s">
        <v>90</v>
      </c>
      <c r="C364" s="15"/>
      <c r="D364" s="14"/>
      <c r="E364" s="15">
        <f t="shared" si="28"/>
        <v>86.638999999999967</v>
      </c>
      <c r="F364" s="14"/>
      <c r="G364" s="15">
        <f t="shared" si="27"/>
        <v>0</v>
      </c>
      <c r="H364" s="14"/>
      <c r="I364" s="15">
        <f t="shared" si="29"/>
        <v>244.66700000000003</v>
      </c>
      <c r="J364" s="14"/>
      <c r="K364" s="16" t="s">
        <v>1108</v>
      </c>
    </row>
    <row r="365" spans="1:11" ht="12.6" customHeight="1" x14ac:dyDescent="0.2">
      <c r="A365" s="19"/>
      <c r="B365" s="19"/>
      <c r="C365" s="36">
        <f>SUM(C339:C364)</f>
        <v>23.75</v>
      </c>
      <c r="D365" s="36">
        <f>SUM(D339:D364)</f>
        <v>25.163</v>
      </c>
      <c r="E365" s="36"/>
      <c r="F365" s="37"/>
      <c r="G365" s="36">
        <f>SUM(G339:G364)</f>
        <v>23.75</v>
      </c>
      <c r="H365" s="36">
        <f>SUM(H339:H364)</f>
        <v>37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3" spans="1:11" ht="12.6" customHeight="1" x14ac:dyDescent="0.2">
      <c r="A373" s="102" t="str">
        <f>A1</f>
        <v>LEONAR, RONALD C.</v>
      </c>
      <c r="B373" s="102"/>
      <c r="C373" s="102"/>
      <c r="D373" s="102"/>
      <c r="E373" s="102"/>
      <c r="F373" s="102"/>
      <c r="G373" s="102"/>
      <c r="H373" s="1"/>
      <c r="I373" s="103" t="s">
        <v>0</v>
      </c>
      <c r="J373" s="103"/>
      <c r="K373" s="2" t="str">
        <f>K1</f>
        <v>JANUARY 15, 1982</v>
      </c>
    </row>
    <row r="375" spans="1:11" ht="12.6" customHeight="1" x14ac:dyDescent="0.2">
      <c r="A375" s="104" t="s">
        <v>1</v>
      </c>
      <c r="B375" s="104" t="s">
        <v>2</v>
      </c>
      <c r="C375" s="107" t="s">
        <v>3</v>
      </c>
      <c r="D375" s="108"/>
      <c r="E375" s="108"/>
      <c r="F375" s="109"/>
      <c r="G375" s="107" t="s">
        <v>4</v>
      </c>
      <c r="H375" s="108"/>
      <c r="I375" s="108"/>
      <c r="J375" s="109"/>
      <c r="K375" s="4"/>
    </row>
    <row r="376" spans="1:11" ht="12.6" customHeight="1" x14ac:dyDescent="0.2">
      <c r="A376" s="105"/>
      <c r="B376" s="105"/>
      <c r="C376" s="94" t="s">
        <v>6</v>
      </c>
      <c r="D376" s="5" t="s">
        <v>7</v>
      </c>
      <c r="E376" s="94" t="s">
        <v>8</v>
      </c>
      <c r="F376" s="6" t="s">
        <v>7</v>
      </c>
      <c r="G376" s="94" t="s">
        <v>6</v>
      </c>
      <c r="H376" s="5" t="s">
        <v>7</v>
      </c>
      <c r="I376" s="94" t="s">
        <v>8</v>
      </c>
      <c r="J376" s="1" t="s">
        <v>7</v>
      </c>
      <c r="K376" s="7"/>
    </row>
    <row r="377" spans="1:11" ht="12.6" customHeight="1" x14ac:dyDescent="0.2">
      <c r="A377" s="105"/>
      <c r="B377" s="105"/>
      <c r="C377" s="95"/>
      <c r="D377" s="8" t="s">
        <v>10</v>
      </c>
      <c r="E377" s="95"/>
      <c r="F377" s="6" t="s">
        <v>10</v>
      </c>
      <c r="G377" s="95"/>
      <c r="H377" s="8" t="s">
        <v>10</v>
      </c>
      <c r="I377" s="95"/>
      <c r="J377" s="1" t="s">
        <v>10</v>
      </c>
      <c r="K377" s="7"/>
    </row>
    <row r="378" spans="1:11" ht="12.6" customHeight="1" x14ac:dyDescent="0.2">
      <c r="A378" s="106"/>
      <c r="B378" s="106"/>
      <c r="C378" s="96"/>
      <c r="D378" s="9" t="s">
        <v>12</v>
      </c>
      <c r="E378" s="96"/>
      <c r="F378" s="10" t="s">
        <v>13</v>
      </c>
      <c r="G378" s="96"/>
      <c r="H378" s="9" t="s">
        <v>12</v>
      </c>
      <c r="I378" s="96"/>
      <c r="J378" s="11" t="s">
        <v>13</v>
      </c>
      <c r="K378" s="12"/>
    </row>
    <row r="379" spans="1:11" ht="12.6" customHeight="1" x14ac:dyDescent="0.2">
      <c r="A379" s="13">
        <v>45297</v>
      </c>
      <c r="B379" s="19"/>
      <c r="C379" s="15">
        <v>5</v>
      </c>
      <c r="D379" s="14"/>
      <c r="E379" s="15">
        <f>E364+C379-D379</f>
        <v>91.638999999999967</v>
      </c>
      <c r="F379" s="14"/>
      <c r="G379" s="15">
        <f>C379</f>
        <v>5</v>
      </c>
      <c r="H379" s="14"/>
      <c r="I379" s="15">
        <f>I364+G379-H379</f>
        <v>249.66700000000003</v>
      </c>
      <c r="J379" s="14"/>
      <c r="K379" s="16"/>
    </row>
    <row r="380" spans="1:11" ht="12.6" customHeight="1" x14ac:dyDescent="0.2">
      <c r="A380" s="13"/>
      <c r="B380" s="19" t="s">
        <v>1110</v>
      </c>
      <c r="C380" s="15"/>
      <c r="D380" s="14">
        <v>8</v>
      </c>
      <c r="E380" s="15">
        <f>E379+C380-D380</f>
        <v>83.638999999999967</v>
      </c>
      <c r="F380" s="14"/>
      <c r="G380" s="15">
        <f t="shared" ref="G380:G390" si="30">C380</f>
        <v>0</v>
      </c>
      <c r="H380" s="14"/>
      <c r="I380" s="15">
        <f>I379+G380-H380</f>
        <v>249.66700000000003</v>
      </c>
      <c r="J380" s="14"/>
      <c r="K380" s="13" t="s">
        <v>1109</v>
      </c>
    </row>
    <row r="381" spans="1:11" ht="12.6" customHeight="1" x14ac:dyDescent="0.2">
      <c r="A381" s="13">
        <v>45298</v>
      </c>
      <c r="B381" s="19"/>
      <c r="C381" s="15">
        <v>1.25</v>
      </c>
      <c r="D381" s="14"/>
      <c r="E381" s="15">
        <f t="shared" ref="E381:E390" si="31">E380+C381-D381</f>
        <v>84.888999999999967</v>
      </c>
      <c r="F381" s="14"/>
      <c r="G381" s="15">
        <f t="shared" si="30"/>
        <v>1.25</v>
      </c>
      <c r="H381" s="14"/>
      <c r="I381" s="15">
        <f t="shared" ref="I381:I390" si="32">I380+G381-H381</f>
        <v>250.91700000000003</v>
      </c>
      <c r="J381" s="14"/>
      <c r="K381" s="13"/>
    </row>
    <row r="382" spans="1:11" ht="12.6" customHeight="1" x14ac:dyDescent="0.2">
      <c r="A382" s="13"/>
      <c r="B382" s="19" t="s">
        <v>95</v>
      </c>
      <c r="C382" s="15"/>
      <c r="D382" s="14">
        <v>3</v>
      </c>
      <c r="E382" s="15">
        <f t="shared" si="31"/>
        <v>81.888999999999967</v>
      </c>
      <c r="F382" s="14"/>
      <c r="G382" s="15">
        <f t="shared" si="30"/>
        <v>0</v>
      </c>
      <c r="H382" s="14"/>
      <c r="I382" s="15">
        <f t="shared" si="32"/>
        <v>250.91700000000003</v>
      </c>
      <c r="J382" s="14"/>
      <c r="K382" s="16" t="s">
        <v>1111</v>
      </c>
    </row>
    <row r="383" spans="1:11" ht="12.6" customHeight="1" x14ac:dyDescent="0.2">
      <c r="A383" s="13">
        <v>45658</v>
      </c>
      <c r="B383" s="19"/>
      <c r="C383" s="15">
        <v>7.5</v>
      </c>
      <c r="D383" s="14"/>
      <c r="E383" s="15">
        <f t="shared" si="31"/>
        <v>89.388999999999967</v>
      </c>
      <c r="F383" s="14"/>
      <c r="G383" s="15">
        <f t="shared" si="30"/>
        <v>7.5</v>
      </c>
      <c r="H383" s="14"/>
      <c r="I383" s="15">
        <f t="shared" si="32"/>
        <v>258.41700000000003</v>
      </c>
      <c r="J383" s="14"/>
      <c r="K383" s="13"/>
    </row>
    <row r="384" spans="1:11" ht="12.6" customHeight="1" x14ac:dyDescent="0.2">
      <c r="A384" s="13"/>
      <c r="B384" s="19"/>
      <c r="C384" s="15"/>
      <c r="D384" s="14">
        <v>0.19600000000000001</v>
      </c>
      <c r="E384" s="15">
        <f t="shared" si="31"/>
        <v>89.192999999999969</v>
      </c>
      <c r="F384" s="14"/>
      <c r="G384" s="15">
        <f t="shared" si="30"/>
        <v>0</v>
      </c>
      <c r="H384" s="14"/>
      <c r="I384" s="15">
        <f t="shared" si="32"/>
        <v>258.41700000000003</v>
      </c>
      <c r="J384" s="14"/>
      <c r="K384" s="16" t="s">
        <v>805</v>
      </c>
    </row>
    <row r="385" spans="1:11" ht="12.6" customHeight="1" x14ac:dyDescent="0.2">
      <c r="A385" s="13">
        <v>46023</v>
      </c>
      <c r="B385" s="19"/>
      <c r="C385" s="15">
        <v>15</v>
      </c>
      <c r="D385" s="14"/>
      <c r="E385" s="15">
        <f t="shared" si="31"/>
        <v>104.19299999999997</v>
      </c>
      <c r="F385" s="14"/>
      <c r="G385" s="15">
        <f t="shared" si="30"/>
        <v>15</v>
      </c>
      <c r="H385" s="14"/>
      <c r="I385" s="15">
        <f t="shared" si="32"/>
        <v>273.41700000000003</v>
      </c>
      <c r="J385" s="14"/>
      <c r="K385" s="13"/>
    </row>
    <row r="386" spans="1:11" ht="12.6" customHeight="1" x14ac:dyDescent="0.2">
      <c r="A386" s="13"/>
      <c r="B386" s="19" t="s">
        <v>65</v>
      </c>
      <c r="C386" s="15"/>
      <c r="D386" s="14">
        <v>5</v>
      </c>
      <c r="E386" s="15">
        <f t="shared" si="31"/>
        <v>99.192999999999969</v>
      </c>
      <c r="F386" s="14"/>
      <c r="G386" s="15">
        <f t="shared" si="30"/>
        <v>0</v>
      </c>
      <c r="H386" s="14"/>
      <c r="I386" s="15">
        <f t="shared" si="32"/>
        <v>273.41700000000003</v>
      </c>
      <c r="J386" s="14"/>
      <c r="K386" s="13" t="s">
        <v>585</v>
      </c>
    </row>
    <row r="387" spans="1:11" ht="12.6" customHeight="1" x14ac:dyDescent="0.2">
      <c r="A387" s="13"/>
      <c r="B387" s="19" t="s">
        <v>47</v>
      </c>
      <c r="C387" s="15"/>
      <c r="D387" s="14"/>
      <c r="E387" s="15">
        <f t="shared" si="31"/>
        <v>99.192999999999969</v>
      </c>
      <c r="F387" s="14"/>
      <c r="G387" s="15">
        <f t="shared" si="30"/>
        <v>0</v>
      </c>
      <c r="H387" s="14">
        <v>1</v>
      </c>
      <c r="I387" s="15">
        <f t="shared" si="32"/>
        <v>272.41700000000003</v>
      </c>
      <c r="J387" s="14"/>
      <c r="K387" s="13">
        <v>46174</v>
      </c>
    </row>
    <row r="388" spans="1:11" ht="12.6" customHeight="1" x14ac:dyDescent="0.2">
      <c r="A388" s="13">
        <v>46025</v>
      </c>
      <c r="B388" s="19"/>
      <c r="C388" s="15">
        <v>2.5</v>
      </c>
      <c r="D388" s="14"/>
      <c r="E388" s="15">
        <f t="shared" si="31"/>
        <v>101.69299999999997</v>
      </c>
      <c r="F388" s="14"/>
      <c r="G388" s="15">
        <f t="shared" si="30"/>
        <v>2.5</v>
      </c>
      <c r="H388" s="14"/>
      <c r="I388" s="15">
        <f t="shared" si="32"/>
        <v>274.91700000000003</v>
      </c>
      <c r="J388" s="14"/>
      <c r="K388" s="16"/>
    </row>
    <row r="389" spans="1:11" ht="12.6" customHeight="1" x14ac:dyDescent="0.2">
      <c r="A389" s="13"/>
      <c r="B389" s="19" t="s">
        <v>60</v>
      </c>
      <c r="C389" s="15"/>
      <c r="D389" s="14">
        <v>5</v>
      </c>
      <c r="E389" s="15">
        <f t="shared" si="31"/>
        <v>96.692999999999969</v>
      </c>
      <c r="F389" s="14"/>
      <c r="G389" s="15">
        <f t="shared" si="30"/>
        <v>0</v>
      </c>
      <c r="H389" s="14"/>
      <c r="I389" s="15">
        <f t="shared" si="32"/>
        <v>274.91700000000003</v>
      </c>
      <c r="J389" s="14"/>
      <c r="K389" s="16" t="s">
        <v>1112</v>
      </c>
    </row>
    <row r="390" spans="1:11" ht="12.6" customHeight="1" x14ac:dyDescent="0.2">
      <c r="A390" s="13">
        <v>46027</v>
      </c>
      <c r="B390" s="19"/>
      <c r="C390" s="15">
        <v>2.5</v>
      </c>
      <c r="D390" s="14"/>
      <c r="E390" s="15">
        <f t="shared" si="31"/>
        <v>99.192999999999969</v>
      </c>
      <c r="F390" s="14"/>
      <c r="G390" s="15">
        <f t="shared" si="30"/>
        <v>2.5</v>
      </c>
      <c r="H390" s="14"/>
      <c r="I390" s="15">
        <f t="shared" si="32"/>
        <v>277.41700000000003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/>
      <c r="F391" s="14"/>
      <c r="G391" s="15"/>
      <c r="H391" s="14"/>
      <c r="I391" s="15"/>
      <c r="J391" s="14"/>
      <c r="K391" s="13"/>
    </row>
    <row r="392" spans="1:11" ht="12.6" customHeight="1" x14ac:dyDescent="0.2">
      <c r="A392" s="13"/>
      <c r="B392" s="19"/>
      <c r="C392" s="15"/>
      <c r="D392" s="14"/>
      <c r="E392" s="15"/>
      <c r="F392" s="14"/>
      <c r="G392" s="15"/>
      <c r="H392" s="14"/>
      <c r="I392" s="15"/>
      <c r="J392" s="14"/>
      <c r="K392" s="13"/>
    </row>
    <row r="393" spans="1:11" ht="12.6" customHeight="1" x14ac:dyDescent="0.2">
      <c r="A393" s="13"/>
      <c r="B393" s="19"/>
      <c r="C393" s="15"/>
      <c r="D393" s="14"/>
      <c r="E393" s="15"/>
      <c r="F393" s="14"/>
      <c r="G393" s="15"/>
      <c r="H393" s="14"/>
      <c r="I393" s="15"/>
      <c r="J393" s="14"/>
      <c r="K393" s="13"/>
    </row>
    <row r="394" spans="1:11" ht="12.6" customHeight="1" x14ac:dyDescent="0.2">
      <c r="A394" s="13"/>
      <c r="B394" s="19"/>
      <c r="C394" s="15"/>
      <c r="D394" s="14"/>
      <c r="E394" s="15"/>
      <c r="F394" s="14"/>
      <c r="G394" s="15"/>
      <c r="H394" s="14"/>
      <c r="I394" s="15"/>
      <c r="J394" s="14"/>
      <c r="K394" s="13"/>
    </row>
    <row r="395" spans="1:11" ht="12.6" customHeight="1" x14ac:dyDescent="0.2">
      <c r="A395" s="13"/>
      <c r="B395" s="19"/>
      <c r="C395" s="15"/>
      <c r="D395" s="14"/>
      <c r="E395" s="15"/>
      <c r="F395" s="14"/>
      <c r="G395" s="15"/>
      <c r="H395" s="14"/>
      <c r="I395" s="15"/>
      <c r="J395" s="14"/>
      <c r="K395" s="13"/>
    </row>
    <row r="396" spans="1:11" ht="12.6" customHeight="1" x14ac:dyDescent="0.2">
      <c r="A396" s="13"/>
      <c r="B396" s="19"/>
      <c r="C396" s="15"/>
      <c r="D396" s="15"/>
      <c r="E396" s="15"/>
      <c r="F396" s="14"/>
      <c r="G396" s="15"/>
      <c r="H396" s="14"/>
      <c r="I396" s="15"/>
      <c r="J396" s="14"/>
      <c r="K396" s="13"/>
    </row>
    <row r="397" spans="1:11" ht="12.6" customHeight="1" x14ac:dyDescent="0.2">
      <c r="A397" s="13"/>
      <c r="B397" s="19"/>
      <c r="C397" s="15"/>
      <c r="D397" s="14"/>
      <c r="E397" s="15"/>
      <c r="F397" s="14"/>
      <c r="G397" s="15"/>
      <c r="H397" s="14"/>
      <c r="I397" s="15"/>
      <c r="J397" s="14"/>
      <c r="K397" s="16"/>
    </row>
    <row r="398" spans="1:11" ht="12.6" customHeight="1" x14ac:dyDescent="0.2">
      <c r="A398" s="16"/>
      <c r="B398" s="19"/>
      <c r="C398" s="15"/>
      <c r="D398" s="15"/>
      <c r="E398" s="15"/>
      <c r="F398" s="14"/>
      <c r="G398" s="15"/>
      <c r="H398" s="14"/>
      <c r="I398" s="15"/>
      <c r="J398" s="14"/>
      <c r="K398" s="13"/>
    </row>
    <row r="399" spans="1:11" ht="12.6" customHeight="1" x14ac:dyDescent="0.2">
      <c r="A399" s="13"/>
      <c r="B399" s="19"/>
      <c r="C399" s="15"/>
      <c r="D399" s="14"/>
      <c r="E399" s="15"/>
      <c r="F399" s="14"/>
      <c r="G399" s="15"/>
      <c r="H399" s="14"/>
      <c r="I399" s="15"/>
      <c r="J399" s="14"/>
      <c r="K399" s="16"/>
    </row>
    <row r="400" spans="1:11" ht="12.6" customHeight="1" x14ac:dyDescent="0.2">
      <c r="A400" s="13"/>
      <c r="B400" s="19"/>
      <c r="C400" s="15"/>
      <c r="D400" s="14"/>
      <c r="E400" s="15"/>
      <c r="F400" s="14"/>
      <c r="G400" s="15"/>
      <c r="H400" s="14"/>
      <c r="I400" s="15"/>
      <c r="J400" s="14"/>
      <c r="K400" s="13"/>
    </row>
    <row r="401" spans="1:12" ht="12.6" customHeight="1" x14ac:dyDescent="0.2">
      <c r="A401" s="13"/>
      <c r="B401" s="19"/>
      <c r="C401" s="15"/>
      <c r="D401" s="14"/>
      <c r="E401" s="15"/>
      <c r="F401" s="14"/>
      <c r="G401" s="15"/>
      <c r="H401" s="14"/>
      <c r="I401" s="15"/>
      <c r="J401" s="14"/>
      <c r="K401" s="13"/>
    </row>
    <row r="402" spans="1:12" ht="12.6" customHeight="1" x14ac:dyDescent="0.2">
      <c r="A402" s="13"/>
      <c r="B402" s="19"/>
      <c r="C402" s="15"/>
      <c r="D402" s="14"/>
      <c r="E402" s="15"/>
      <c r="F402" s="14"/>
      <c r="G402" s="15"/>
      <c r="H402" s="14"/>
      <c r="I402" s="15"/>
      <c r="J402" s="14"/>
      <c r="K402" s="13"/>
    </row>
    <row r="403" spans="1:12" ht="12.6" customHeight="1" x14ac:dyDescent="0.2">
      <c r="A403" s="13"/>
      <c r="B403" s="19"/>
      <c r="C403" s="15"/>
      <c r="D403" s="14"/>
      <c r="E403" s="15"/>
      <c r="F403" s="14"/>
      <c r="G403" s="15"/>
      <c r="H403" s="14"/>
      <c r="I403" s="15"/>
      <c r="J403" s="14"/>
      <c r="K403" s="16"/>
    </row>
    <row r="404" spans="1:12" ht="12.6" customHeight="1" x14ac:dyDescent="0.2">
      <c r="A404" s="13"/>
      <c r="B404" s="19"/>
      <c r="C404" s="15"/>
      <c r="D404" s="14"/>
      <c r="E404" s="15"/>
      <c r="F404" s="14"/>
      <c r="G404" s="15"/>
      <c r="H404" s="14"/>
      <c r="I404" s="15"/>
      <c r="J404" s="14"/>
      <c r="K404" s="16"/>
    </row>
    <row r="405" spans="1:12" ht="12.6" customHeight="1" x14ac:dyDescent="0.2">
      <c r="A405" s="19"/>
      <c r="B405" s="19"/>
      <c r="C405" s="36">
        <f>SUM(C379:C404)</f>
        <v>33.75</v>
      </c>
      <c r="D405" s="36">
        <f>SUM(D379:D404)</f>
        <v>21.195999999999998</v>
      </c>
      <c r="E405" s="36"/>
      <c r="F405" s="37"/>
      <c r="G405" s="36">
        <f>SUM(G379:G404)</f>
        <v>33.75</v>
      </c>
      <c r="H405" s="36">
        <f>SUM(H379:H404)</f>
        <v>1</v>
      </c>
      <c r="I405" s="15"/>
      <c r="J405" s="14"/>
      <c r="K405" s="16"/>
    </row>
    <row r="406" spans="1:12" ht="12.6" customHeight="1" x14ac:dyDescent="0.2">
      <c r="H406" s="27" t="s">
        <v>23</v>
      </c>
      <c r="J406" s="27" t="s">
        <v>28</v>
      </c>
    </row>
    <row r="408" spans="1:12" ht="12.6" customHeight="1" x14ac:dyDescent="0.2">
      <c r="C408" s="26">
        <f>SUM(C405+C365+C330+C291+C256+C217+C182+C143+C108+C69+C34)</f>
        <v>664.41700000000003</v>
      </c>
      <c r="D408" s="26">
        <f>SUM(D405+D365+D330+D291+D256+D217+D182+D143+D108+D69+D34)</f>
        <v>565.22400000000005</v>
      </c>
      <c r="E408" s="46"/>
      <c r="G408" s="26">
        <f>SUM(G405+G365+G330+G291+G256+G217+G182+G143+G108+G69+G34)</f>
        <v>664.41700000000003</v>
      </c>
      <c r="H408" s="26">
        <f>SUM(H405+H365+H330+H291+H256+H217+H182+H143+H108+H69+H34)</f>
        <v>387</v>
      </c>
      <c r="I408" s="46"/>
      <c r="K408" s="28">
        <v>319.875</v>
      </c>
      <c r="L408" s="3">
        <v>10</v>
      </c>
    </row>
    <row r="409" spans="1:12" ht="12.6" customHeight="1" x14ac:dyDescent="0.2">
      <c r="K409" s="47">
        <f>G408-K408</f>
        <v>344.54200000000003</v>
      </c>
    </row>
    <row r="412" spans="1:12" ht="12.6" customHeight="1" x14ac:dyDescent="0.2">
      <c r="B412" s="3" t="s">
        <v>33</v>
      </c>
      <c r="E412" s="46"/>
      <c r="F412" s="48">
        <v>674.41700000000003</v>
      </c>
      <c r="H412" s="48">
        <f>F412</f>
        <v>674.41700000000003</v>
      </c>
    </row>
    <row r="413" spans="1:12" ht="12.6" customHeight="1" x14ac:dyDescent="0.2">
      <c r="B413" s="3" t="s">
        <v>34</v>
      </c>
      <c r="E413" s="46"/>
      <c r="F413" s="48">
        <f>D408</f>
        <v>565.22400000000005</v>
      </c>
      <c r="H413" s="48">
        <f>H408</f>
        <v>387</v>
      </c>
    </row>
    <row r="414" spans="1:12" ht="12.6" customHeight="1" x14ac:dyDescent="0.2">
      <c r="B414" s="3" t="s">
        <v>35</v>
      </c>
      <c r="E414" s="46"/>
      <c r="F414" s="49"/>
      <c r="G414" s="50"/>
      <c r="H414" s="49"/>
    </row>
    <row r="415" spans="1:12" ht="12.6" customHeight="1" thickBot="1" x14ac:dyDescent="0.25">
      <c r="B415" s="3" t="s">
        <v>36</v>
      </c>
      <c r="E415" s="46"/>
      <c r="F415" s="51"/>
      <c r="G415" s="52"/>
      <c r="H415" s="51"/>
    </row>
    <row r="416" spans="1:12" ht="12.6" customHeight="1" thickTop="1" x14ac:dyDescent="0.2">
      <c r="B416" s="3" t="s">
        <v>37</v>
      </c>
      <c r="E416" s="46"/>
      <c r="F416" s="53">
        <f>SUM(F412-F413)</f>
        <v>109.19299999999998</v>
      </c>
      <c r="G416" s="50"/>
      <c r="H416" s="53">
        <f>SUM(H412-H413)</f>
        <v>287.41700000000003</v>
      </c>
      <c r="I416" s="54">
        <f>SUM(H416+F416)</f>
        <v>396.61</v>
      </c>
    </row>
    <row r="417" spans="2:11" ht="12.6" customHeight="1" x14ac:dyDescent="0.2">
      <c r="E417" s="46"/>
    </row>
    <row r="418" spans="2:11" ht="12.6" customHeight="1" x14ac:dyDescent="0.2">
      <c r="B418" s="1" t="s">
        <v>38</v>
      </c>
      <c r="C418" s="97" t="s">
        <v>39</v>
      </c>
      <c r="D418" s="97"/>
      <c r="E418" s="98" t="s">
        <v>40</v>
      </c>
      <c r="F418" s="98"/>
      <c r="H418" s="99" t="s">
        <v>41</v>
      </c>
      <c r="I418" s="99"/>
      <c r="J418" s="99"/>
    </row>
    <row r="419" spans="2:11" ht="12.6" customHeight="1" thickBot="1" x14ac:dyDescent="0.25">
      <c r="B419" s="55">
        <v>15971</v>
      </c>
      <c r="C419" s="97">
        <f>I416</f>
        <v>396.61</v>
      </c>
      <c r="D419" s="97"/>
      <c r="E419" s="100">
        <v>4.8192699999999998E-2</v>
      </c>
      <c r="F419" s="100"/>
      <c r="H419" s="101">
        <f>B419*C419*E419</f>
        <v>305265.01045633701</v>
      </c>
      <c r="I419" s="101"/>
      <c r="J419" s="101"/>
      <c r="K419" s="56"/>
    </row>
    <row r="420" spans="2:11" ht="12.6" customHeight="1" thickTop="1" x14ac:dyDescent="0.2"/>
  </sheetData>
  <mergeCells count="116">
    <mergeCell ref="C418:D418"/>
    <mergeCell ref="E418:F418"/>
    <mergeCell ref="H418:J418"/>
    <mergeCell ref="C419:D419"/>
    <mergeCell ref="E419:F419"/>
    <mergeCell ref="H419:J419"/>
    <mergeCell ref="A373:G373"/>
    <mergeCell ref="I373:J373"/>
    <mergeCell ref="A375:A378"/>
    <mergeCell ref="B375:B378"/>
    <mergeCell ref="C375:F375"/>
    <mergeCell ref="G375:J375"/>
    <mergeCell ref="C376:C378"/>
    <mergeCell ref="E376:E378"/>
    <mergeCell ref="G376:G378"/>
    <mergeCell ref="I376:I378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</mergeCells>
  <pageMargins left="0.25" right="0.25" top="0.75" bottom="0.75" header="0.3" footer="0.3"/>
  <pageSetup paperSize="5" orientation="portrait" horizontalDpi="0" verticalDpi="0" copies="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6"/>
  <sheetViews>
    <sheetView topLeftCell="A190" zoomScaleNormal="100" workbookViewId="0">
      <selection activeCell="I301" sqref="I301"/>
    </sheetView>
  </sheetViews>
  <sheetFormatPr defaultColWidth="11" defaultRowHeight="10.199999999999999" x14ac:dyDescent="0.2"/>
  <cols>
    <col min="1" max="1" width="9" style="3" bestFit="1" customWidth="1"/>
    <col min="2" max="2" width="20.44140625" style="3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817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818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36162</v>
      </c>
      <c r="B7" s="14" t="s">
        <v>819</v>
      </c>
      <c r="C7" s="15">
        <v>0.54200000000000004</v>
      </c>
      <c r="D7" s="14"/>
      <c r="E7" s="15">
        <f>C7+D7</f>
        <v>0.54200000000000004</v>
      </c>
      <c r="F7" s="14"/>
      <c r="G7" s="15">
        <f>C7</f>
        <v>0.54200000000000004</v>
      </c>
      <c r="H7" s="14"/>
      <c r="I7" s="15">
        <f>G7+H7</f>
        <v>0.54200000000000004</v>
      </c>
      <c r="J7" s="14"/>
      <c r="K7" s="16"/>
    </row>
    <row r="8" spans="1:11" ht="12.6" customHeight="1" x14ac:dyDescent="0.2">
      <c r="A8" s="13">
        <v>36526</v>
      </c>
      <c r="B8" s="17"/>
      <c r="C8" s="15">
        <v>13.75</v>
      </c>
      <c r="D8" s="18"/>
      <c r="E8" s="15">
        <f>E7+C8-D8</f>
        <v>14.292</v>
      </c>
      <c r="F8" s="14"/>
      <c r="G8" s="15">
        <f t="shared" ref="G8:G33" si="0">C8</f>
        <v>13.75</v>
      </c>
      <c r="H8" s="14"/>
      <c r="I8" s="15">
        <f>I7+G8-H8</f>
        <v>14.292</v>
      </c>
      <c r="J8" s="14"/>
      <c r="K8" s="16"/>
    </row>
    <row r="9" spans="1:11" ht="12.6" customHeight="1" x14ac:dyDescent="0.2">
      <c r="A9" s="13"/>
      <c r="B9" s="17" t="s">
        <v>65</v>
      </c>
      <c r="C9" s="15"/>
      <c r="D9" s="14">
        <v>5</v>
      </c>
      <c r="E9" s="15">
        <f t="shared" ref="E9:E33" si="1">E8+C9-D9</f>
        <v>9.2919999999999998</v>
      </c>
      <c r="F9" s="14"/>
      <c r="G9" s="15">
        <f t="shared" si="0"/>
        <v>0</v>
      </c>
      <c r="H9" s="14"/>
      <c r="I9" s="15">
        <f t="shared" ref="I9:I34" si="2">I8+G9-H9</f>
        <v>14.292</v>
      </c>
      <c r="J9" s="14"/>
      <c r="K9" s="16" t="s">
        <v>92</v>
      </c>
    </row>
    <row r="10" spans="1:11" ht="12.6" customHeight="1" x14ac:dyDescent="0.2">
      <c r="A10" s="13">
        <v>36530</v>
      </c>
      <c r="B10" s="19"/>
      <c r="C10" s="15">
        <v>5</v>
      </c>
      <c r="D10" s="14"/>
      <c r="E10" s="15">
        <f t="shared" si="1"/>
        <v>14.292</v>
      </c>
      <c r="F10" s="14"/>
      <c r="G10" s="15">
        <f t="shared" si="0"/>
        <v>5</v>
      </c>
      <c r="H10" s="14"/>
      <c r="I10" s="15">
        <f t="shared" si="2"/>
        <v>19.292000000000002</v>
      </c>
      <c r="J10" s="14"/>
      <c r="K10" s="13"/>
    </row>
    <row r="11" spans="1:11" ht="12.6" customHeight="1" x14ac:dyDescent="0.2">
      <c r="A11" s="13"/>
      <c r="B11" s="17" t="s">
        <v>47</v>
      </c>
      <c r="C11" s="15"/>
      <c r="D11" s="14"/>
      <c r="E11" s="15">
        <f t="shared" si="1"/>
        <v>14.292</v>
      </c>
      <c r="F11" s="14"/>
      <c r="G11" s="15">
        <f t="shared" si="0"/>
        <v>0</v>
      </c>
      <c r="H11" s="14">
        <v>1</v>
      </c>
      <c r="I11" s="15">
        <f t="shared" si="2"/>
        <v>18.292000000000002</v>
      </c>
      <c r="J11" s="14"/>
      <c r="K11" s="13">
        <v>36651</v>
      </c>
    </row>
    <row r="12" spans="1:11" ht="12.6" customHeight="1" x14ac:dyDescent="0.2">
      <c r="A12" s="13">
        <v>36535</v>
      </c>
      <c r="B12" s="19"/>
      <c r="C12" s="15">
        <v>6.25</v>
      </c>
      <c r="D12" s="14"/>
      <c r="E12" s="15">
        <f t="shared" si="1"/>
        <v>20.542000000000002</v>
      </c>
      <c r="F12" s="14"/>
      <c r="G12" s="15">
        <f t="shared" si="0"/>
        <v>6.25</v>
      </c>
      <c r="H12" s="14"/>
      <c r="I12" s="15">
        <f t="shared" si="2"/>
        <v>24.542000000000002</v>
      </c>
      <c r="J12" s="14"/>
      <c r="K12" s="13"/>
    </row>
    <row r="13" spans="1:11" ht="12.6" customHeight="1" x14ac:dyDescent="0.2">
      <c r="A13" s="13"/>
      <c r="B13" s="17"/>
      <c r="C13" s="15"/>
      <c r="D13" s="14"/>
      <c r="E13" s="15">
        <f t="shared" si="1"/>
        <v>20.542000000000002</v>
      </c>
      <c r="F13" s="14"/>
      <c r="G13" s="15">
        <f t="shared" si="0"/>
        <v>0</v>
      </c>
      <c r="H13" s="14"/>
      <c r="I13" s="15">
        <f t="shared" si="2"/>
        <v>24.542000000000002</v>
      </c>
      <c r="J13" s="14"/>
      <c r="K13" s="13"/>
    </row>
    <row r="14" spans="1:11" ht="12.6" customHeight="1" x14ac:dyDescent="0.2">
      <c r="A14" s="13"/>
      <c r="B14" s="17" t="s">
        <v>90</v>
      </c>
      <c r="C14" s="15"/>
      <c r="D14" s="14"/>
      <c r="E14" s="15">
        <f t="shared" si="1"/>
        <v>20.542000000000002</v>
      </c>
      <c r="F14" s="14"/>
      <c r="G14" s="15">
        <f t="shared" si="0"/>
        <v>0</v>
      </c>
      <c r="H14" s="14"/>
      <c r="I14" s="15">
        <f t="shared" si="2"/>
        <v>24.542000000000002</v>
      </c>
      <c r="J14" s="14"/>
      <c r="K14" s="13" t="s">
        <v>820</v>
      </c>
    </row>
    <row r="15" spans="1:11" ht="12.6" customHeight="1" x14ac:dyDescent="0.2">
      <c r="A15" s="13"/>
      <c r="B15" s="17" t="str">
        <f>+B11</f>
        <v>(01-00-00) SL</v>
      </c>
      <c r="C15" s="15"/>
      <c r="D15" s="14"/>
      <c r="E15" s="15">
        <f t="shared" si="1"/>
        <v>20.542000000000002</v>
      </c>
      <c r="F15" s="14"/>
      <c r="G15" s="15">
        <f t="shared" si="0"/>
        <v>0</v>
      </c>
      <c r="H15" s="14">
        <v>1</v>
      </c>
      <c r="I15" s="15">
        <f t="shared" si="2"/>
        <v>23.542000000000002</v>
      </c>
      <c r="J15" s="14"/>
      <c r="K15" s="13" t="s">
        <v>821</v>
      </c>
    </row>
    <row r="16" spans="1:11" ht="12.6" customHeight="1" x14ac:dyDescent="0.2">
      <c r="A16" s="13">
        <v>36892</v>
      </c>
      <c r="B16" s="19"/>
      <c r="C16" s="15">
        <v>3.75</v>
      </c>
      <c r="D16" s="14"/>
      <c r="E16" s="15">
        <f t="shared" si="1"/>
        <v>24.292000000000002</v>
      </c>
      <c r="F16" s="14"/>
      <c r="G16" s="15">
        <f t="shared" si="0"/>
        <v>3.75</v>
      </c>
      <c r="H16" s="14"/>
      <c r="I16" s="15">
        <f t="shared" si="2"/>
        <v>27.292000000000002</v>
      </c>
      <c r="J16" s="14"/>
      <c r="K16" s="13"/>
    </row>
    <row r="17" spans="1:11" ht="12.6" customHeight="1" x14ac:dyDescent="0.2">
      <c r="A17" s="13"/>
      <c r="B17" s="17" t="s">
        <v>65</v>
      </c>
      <c r="C17" s="15"/>
      <c r="D17" s="14">
        <v>5</v>
      </c>
      <c r="E17" s="15">
        <f t="shared" si="1"/>
        <v>19.292000000000002</v>
      </c>
      <c r="F17" s="14"/>
      <c r="G17" s="15">
        <f t="shared" si="0"/>
        <v>0</v>
      </c>
      <c r="H17" s="14"/>
      <c r="I17" s="15">
        <f t="shared" si="2"/>
        <v>27.292000000000002</v>
      </c>
      <c r="J17" s="14"/>
      <c r="K17" s="13" t="s">
        <v>93</v>
      </c>
    </row>
    <row r="18" spans="1:11" ht="12.6" customHeight="1" x14ac:dyDescent="0.2">
      <c r="A18" s="13">
        <v>36894</v>
      </c>
      <c r="B18" s="17"/>
      <c r="C18" s="15">
        <v>2.5</v>
      </c>
      <c r="D18" s="14"/>
      <c r="E18" s="15">
        <f t="shared" si="1"/>
        <v>21.792000000000002</v>
      </c>
      <c r="F18" s="14"/>
      <c r="G18" s="15">
        <f t="shared" si="0"/>
        <v>2.5</v>
      </c>
      <c r="H18" s="14"/>
      <c r="I18" s="15">
        <f t="shared" si="2"/>
        <v>29.792000000000002</v>
      </c>
      <c r="J18" s="14"/>
      <c r="K18" s="13"/>
    </row>
    <row r="19" spans="1:11" ht="12.6" customHeight="1" x14ac:dyDescent="0.2">
      <c r="A19" s="13"/>
      <c r="B19" s="17" t="s">
        <v>166</v>
      </c>
      <c r="C19" s="15"/>
      <c r="D19" s="14"/>
      <c r="E19" s="15">
        <f t="shared" si="1"/>
        <v>21.792000000000002</v>
      </c>
      <c r="F19" s="14"/>
      <c r="G19" s="15">
        <f t="shared" si="0"/>
        <v>0</v>
      </c>
      <c r="H19" s="14"/>
      <c r="I19" s="15">
        <f t="shared" si="2"/>
        <v>29.792000000000002</v>
      </c>
      <c r="J19" s="14"/>
      <c r="K19" s="13" t="s">
        <v>822</v>
      </c>
    </row>
    <row r="20" spans="1:11" ht="12.6" customHeight="1" x14ac:dyDescent="0.2">
      <c r="A20" s="13">
        <v>36896</v>
      </c>
      <c r="B20" s="17"/>
      <c r="C20" s="15">
        <v>2.5</v>
      </c>
      <c r="D20" s="21"/>
      <c r="E20" s="15">
        <f t="shared" si="1"/>
        <v>24.292000000000002</v>
      </c>
      <c r="F20" s="14"/>
      <c r="G20" s="15">
        <f t="shared" si="0"/>
        <v>2.5</v>
      </c>
      <c r="H20" s="14"/>
      <c r="I20" s="15">
        <f t="shared" si="2"/>
        <v>32.292000000000002</v>
      </c>
      <c r="J20" s="14"/>
      <c r="K20" s="13"/>
    </row>
    <row r="21" spans="1:11" ht="12.6" customHeight="1" x14ac:dyDescent="0.2">
      <c r="A21" s="13"/>
      <c r="B21" s="17" t="s">
        <v>56</v>
      </c>
      <c r="C21" s="15"/>
      <c r="D21" s="14">
        <v>4</v>
      </c>
      <c r="E21" s="15">
        <f t="shared" si="1"/>
        <v>20.292000000000002</v>
      </c>
      <c r="F21" s="14"/>
      <c r="G21" s="15">
        <f t="shared" si="0"/>
        <v>0</v>
      </c>
      <c r="H21" s="14"/>
      <c r="I21" s="15">
        <f t="shared" si="2"/>
        <v>32.292000000000002</v>
      </c>
      <c r="J21" s="14"/>
      <c r="K21" s="13" t="s">
        <v>823</v>
      </c>
    </row>
    <row r="22" spans="1:11" ht="12.6" customHeight="1" x14ac:dyDescent="0.2">
      <c r="A22" s="13">
        <v>37257</v>
      </c>
      <c r="B22" s="17"/>
      <c r="C22" s="15">
        <v>10</v>
      </c>
      <c r="D22" s="14"/>
      <c r="E22" s="15">
        <f t="shared" si="1"/>
        <v>30.292000000000002</v>
      </c>
      <c r="F22" s="14"/>
      <c r="G22" s="15">
        <f t="shared" si="0"/>
        <v>10</v>
      </c>
      <c r="H22" s="14"/>
      <c r="I22" s="15">
        <f t="shared" si="2"/>
        <v>42.292000000000002</v>
      </c>
      <c r="J22" s="14"/>
      <c r="K22" s="13"/>
    </row>
    <row r="23" spans="1:11" ht="12.6" customHeight="1" x14ac:dyDescent="0.2">
      <c r="A23" s="13"/>
      <c r="B23" s="17" t="s">
        <v>57</v>
      </c>
      <c r="C23" s="15"/>
      <c r="D23" s="14">
        <v>1</v>
      </c>
      <c r="E23" s="15">
        <f t="shared" si="1"/>
        <v>29.292000000000002</v>
      </c>
      <c r="F23" s="14"/>
      <c r="G23" s="15">
        <f t="shared" si="0"/>
        <v>0</v>
      </c>
      <c r="H23" s="14"/>
      <c r="I23" s="15">
        <f t="shared" si="2"/>
        <v>42.292000000000002</v>
      </c>
      <c r="J23" s="14"/>
      <c r="K23" s="13" t="s">
        <v>96</v>
      </c>
    </row>
    <row r="24" spans="1:11" ht="12.6" customHeight="1" x14ac:dyDescent="0.2">
      <c r="A24" s="13"/>
      <c r="B24" s="19" t="s">
        <v>95</v>
      </c>
      <c r="C24" s="15"/>
      <c r="D24" s="14">
        <v>3</v>
      </c>
      <c r="E24" s="15">
        <f t="shared" si="1"/>
        <v>26.292000000000002</v>
      </c>
      <c r="F24" s="14"/>
      <c r="G24" s="15">
        <f t="shared" si="0"/>
        <v>0</v>
      </c>
      <c r="H24" s="14"/>
      <c r="I24" s="15">
        <f t="shared" si="2"/>
        <v>42.292000000000002</v>
      </c>
      <c r="J24" s="14"/>
      <c r="K24" s="13" t="s">
        <v>824</v>
      </c>
    </row>
    <row r="25" spans="1:11" ht="12.6" customHeight="1" x14ac:dyDescent="0.2">
      <c r="A25" s="13">
        <v>37262</v>
      </c>
      <c r="B25" s="17"/>
      <c r="C25" s="15">
        <v>6.25</v>
      </c>
      <c r="D25" s="14"/>
      <c r="E25" s="15">
        <f t="shared" si="1"/>
        <v>32.542000000000002</v>
      </c>
      <c r="F25" s="14"/>
      <c r="G25" s="15">
        <f t="shared" si="0"/>
        <v>6.25</v>
      </c>
      <c r="H25" s="14"/>
      <c r="I25" s="15">
        <f t="shared" si="2"/>
        <v>48.542000000000002</v>
      </c>
      <c r="J25" s="14"/>
      <c r="K25" s="13"/>
    </row>
    <row r="26" spans="1:11" ht="12.6" customHeight="1" x14ac:dyDescent="0.2">
      <c r="A26" s="13"/>
      <c r="B26" s="19" t="s">
        <v>76</v>
      </c>
      <c r="C26" s="15"/>
      <c r="D26" s="14">
        <v>2</v>
      </c>
      <c r="E26" s="15">
        <f t="shared" si="1"/>
        <v>30.542000000000002</v>
      </c>
      <c r="F26" s="14"/>
      <c r="G26" s="15">
        <f t="shared" si="0"/>
        <v>0</v>
      </c>
      <c r="H26" s="14"/>
      <c r="I26" s="15">
        <f t="shared" si="2"/>
        <v>48.542000000000002</v>
      </c>
      <c r="J26" s="14"/>
      <c r="K26" s="13" t="s">
        <v>825</v>
      </c>
    </row>
    <row r="27" spans="1:11" ht="12.6" customHeight="1" x14ac:dyDescent="0.2">
      <c r="A27" s="13">
        <v>37624</v>
      </c>
      <c r="B27" s="17"/>
      <c r="C27" s="15">
        <v>11.25</v>
      </c>
      <c r="D27" s="14"/>
      <c r="E27" s="15">
        <f t="shared" si="1"/>
        <v>41.792000000000002</v>
      </c>
      <c r="F27" s="14"/>
      <c r="G27" s="15">
        <f t="shared" si="0"/>
        <v>11.25</v>
      </c>
      <c r="H27" s="14"/>
      <c r="I27" s="15">
        <f t="shared" si="2"/>
        <v>59.792000000000002</v>
      </c>
      <c r="J27" s="14"/>
      <c r="K27" s="13"/>
    </row>
    <row r="28" spans="1:11" ht="12.6" customHeight="1" x14ac:dyDescent="0.2">
      <c r="A28" s="13"/>
      <c r="B28" s="17" t="s">
        <v>166</v>
      </c>
      <c r="C28" s="15"/>
      <c r="D28" s="14"/>
      <c r="E28" s="15">
        <f t="shared" si="1"/>
        <v>41.792000000000002</v>
      </c>
      <c r="F28" s="14"/>
      <c r="G28" s="15">
        <f t="shared" si="0"/>
        <v>0</v>
      </c>
      <c r="H28" s="14"/>
      <c r="I28" s="15">
        <f t="shared" si="2"/>
        <v>59.792000000000002</v>
      </c>
      <c r="J28" s="14"/>
      <c r="K28" s="13" t="s">
        <v>826</v>
      </c>
    </row>
    <row r="29" spans="1:11" ht="12.6" customHeight="1" x14ac:dyDescent="0.2">
      <c r="A29" s="13">
        <v>37625</v>
      </c>
      <c r="B29" s="19"/>
      <c r="C29" s="15">
        <v>1.25</v>
      </c>
      <c r="D29" s="14"/>
      <c r="E29" s="15">
        <f t="shared" si="1"/>
        <v>43.042000000000002</v>
      </c>
      <c r="F29" s="14"/>
      <c r="G29" s="15">
        <f t="shared" si="0"/>
        <v>1.25</v>
      </c>
      <c r="H29" s="14"/>
      <c r="I29" s="15">
        <f t="shared" si="2"/>
        <v>61.042000000000002</v>
      </c>
      <c r="J29" s="14"/>
      <c r="K29" s="13"/>
    </row>
    <row r="30" spans="1:11" ht="12.6" customHeight="1" x14ac:dyDescent="0.2">
      <c r="A30" s="13"/>
      <c r="B30" s="19" t="s">
        <v>76</v>
      </c>
      <c r="C30" s="15"/>
      <c r="D30" s="14">
        <v>2</v>
      </c>
      <c r="E30" s="15">
        <f t="shared" si="1"/>
        <v>41.042000000000002</v>
      </c>
      <c r="F30" s="14"/>
      <c r="G30" s="15">
        <f t="shared" si="0"/>
        <v>0</v>
      </c>
      <c r="H30" s="14"/>
      <c r="I30" s="15">
        <f t="shared" si="2"/>
        <v>61.042000000000002</v>
      </c>
      <c r="J30" s="14"/>
      <c r="K30" s="16" t="s">
        <v>827</v>
      </c>
    </row>
    <row r="31" spans="1:11" ht="12.6" customHeight="1" x14ac:dyDescent="0.2">
      <c r="A31" s="13">
        <v>37627</v>
      </c>
      <c r="B31" s="19"/>
      <c r="C31" s="15">
        <v>2.5</v>
      </c>
      <c r="D31" s="14"/>
      <c r="E31" s="15">
        <f t="shared" si="1"/>
        <v>43.542000000000002</v>
      </c>
      <c r="F31" s="22"/>
      <c r="G31" s="15">
        <f t="shared" si="0"/>
        <v>2.5</v>
      </c>
      <c r="H31" s="22"/>
      <c r="I31" s="15">
        <f t="shared" si="2"/>
        <v>63.542000000000002</v>
      </c>
      <c r="J31" s="22"/>
      <c r="K31" s="23"/>
    </row>
    <row r="32" spans="1:11" ht="12.6" customHeight="1" x14ac:dyDescent="0.2">
      <c r="A32" s="13"/>
      <c r="B32" s="19" t="s">
        <v>52</v>
      </c>
      <c r="C32" s="15"/>
      <c r="D32" s="14"/>
      <c r="E32" s="15">
        <f t="shared" si="1"/>
        <v>43.542000000000002</v>
      </c>
      <c r="F32" s="22"/>
      <c r="G32" s="15">
        <f t="shared" si="0"/>
        <v>0</v>
      </c>
      <c r="H32" s="22">
        <v>2</v>
      </c>
      <c r="I32" s="15">
        <f t="shared" si="2"/>
        <v>61.542000000000002</v>
      </c>
      <c r="J32" s="22"/>
      <c r="K32" s="23" t="s">
        <v>828</v>
      </c>
    </row>
    <row r="33" spans="1:11" ht="12.6" customHeight="1" x14ac:dyDescent="0.2">
      <c r="A33" s="13">
        <v>37633</v>
      </c>
      <c r="B33" s="17"/>
      <c r="C33" s="15">
        <v>7.5</v>
      </c>
      <c r="D33" s="14"/>
      <c r="E33" s="15">
        <f t="shared" si="1"/>
        <v>51.042000000000002</v>
      </c>
      <c r="F33" s="22"/>
      <c r="G33" s="15">
        <f t="shared" si="0"/>
        <v>7.5</v>
      </c>
      <c r="H33" s="22"/>
      <c r="I33" s="15">
        <f t="shared" si="2"/>
        <v>69.042000000000002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73.042000000000002</v>
      </c>
      <c r="D34" s="25">
        <f>SUM(D9:D33)</f>
        <v>22</v>
      </c>
      <c r="E34" s="25"/>
      <c r="F34" s="22"/>
      <c r="G34" s="25">
        <f>SUM(G7:G33)</f>
        <v>73.042000000000002</v>
      </c>
      <c r="H34" s="25">
        <f>SUM(H7:H33)</f>
        <v>4</v>
      </c>
      <c r="I34" s="15">
        <f t="shared" si="2"/>
        <v>138.084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MARASIGAN, JAIME R.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JANUARY 18, 1999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56</v>
      </c>
      <c r="C43" s="15"/>
      <c r="D43" s="14">
        <v>4</v>
      </c>
      <c r="E43" s="15">
        <f>E33+C43-D43</f>
        <v>47.042000000000002</v>
      </c>
      <c r="F43" s="14"/>
      <c r="G43" s="15">
        <f>C43</f>
        <v>0</v>
      </c>
      <c r="H43" s="14"/>
      <c r="I43" s="15">
        <f>I33+G43-H43</f>
        <v>69.042000000000002</v>
      </c>
      <c r="J43" s="14"/>
      <c r="K43" s="13" t="s">
        <v>829</v>
      </c>
    </row>
    <row r="44" spans="1:11" ht="12.6" customHeight="1" x14ac:dyDescent="0.2">
      <c r="A44" s="13">
        <v>37989</v>
      </c>
      <c r="B44" s="17"/>
      <c r="C44" s="15">
        <v>3.75</v>
      </c>
      <c r="D44" s="14"/>
      <c r="E44" s="15">
        <f>E43+C44-D44</f>
        <v>50.792000000000002</v>
      </c>
      <c r="F44" s="14"/>
      <c r="G44" s="15">
        <f t="shared" ref="G44:G68" si="3">C44</f>
        <v>3.75</v>
      </c>
      <c r="H44" s="14"/>
      <c r="I44" s="15">
        <f>I43+G44-H44</f>
        <v>72.792000000000002</v>
      </c>
      <c r="J44" s="14"/>
      <c r="K44" s="13"/>
    </row>
    <row r="45" spans="1:11" ht="12.6" customHeight="1" x14ac:dyDescent="0.2">
      <c r="A45" s="13"/>
      <c r="B45" s="19" t="s">
        <v>81</v>
      </c>
      <c r="C45" s="15"/>
      <c r="D45" s="14"/>
      <c r="E45" s="15">
        <f t="shared" ref="E45:E68" si="4">E44+C45-D45</f>
        <v>50.792000000000002</v>
      </c>
      <c r="F45" s="14"/>
      <c r="G45" s="15">
        <f t="shared" si="3"/>
        <v>0</v>
      </c>
      <c r="H45" s="14"/>
      <c r="I45" s="15">
        <f t="shared" ref="I45:I68" si="5">I44+G45-H45</f>
        <v>72.792000000000002</v>
      </c>
      <c r="J45" s="14"/>
      <c r="K45" s="13">
        <v>38021</v>
      </c>
    </row>
    <row r="46" spans="1:11" ht="12.6" customHeight="1" x14ac:dyDescent="0.2">
      <c r="A46" s="13">
        <v>37994</v>
      </c>
      <c r="B46" s="17"/>
      <c r="C46" s="15">
        <v>6.25</v>
      </c>
      <c r="D46" s="14"/>
      <c r="E46" s="15">
        <f t="shared" si="4"/>
        <v>57.042000000000002</v>
      </c>
      <c r="F46" s="14"/>
      <c r="G46" s="15">
        <f t="shared" si="3"/>
        <v>6.25</v>
      </c>
      <c r="H46" s="14"/>
      <c r="I46" s="15">
        <f t="shared" si="5"/>
        <v>79.042000000000002</v>
      </c>
      <c r="J46" s="14"/>
      <c r="K46" s="13"/>
    </row>
    <row r="47" spans="1:11" ht="12.6" customHeight="1" x14ac:dyDescent="0.2">
      <c r="A47" s="13"/>
      <c r="B47" s="19" t="s">
        <v>831</v>
      </c>
      <c r="C47" s="15"/>
      <c r="D47" s="14"/>
      <c r="E47" s="15">
        <f t="shared" si="4"/>
        <v>57.042000000000002</v>
      </c>
      <c r="F47" s="14"/>
      <c r="G47" s="15">
        <f t="shared" si="3"/>
        <v>0</v>
      </c>
      <c r="H47" s="14"/>
      <c r="I47" s="15">
        <f t="shared" si="5"/>
        <v>79.042000000000002</v>
      </c>
      <c r="J47" s="14"/>
      <c r="K47" s="13" t="s">
        <v>830</v>
      </c>
    </row>
    <row r="48" spans="1:11" ht="12.6" customHeight="1" x14ac:dyDescent="0.2">
      <c r="A48" s="13">
        <v>37995</v>
      </c>
      <c r="B48" s="17"/>
      <c r="C48" s="15">
        <v>1.25</v>
      </c>
      <c r="D48" s="14"/>
      <c r="E48" s="15">
        <f t="shared" si="4"/>
        <v>58.292000000000002</v>
      </c>
      <c r="F48" s="14"/>
      <c r="G48" s="15">
        <f t="shared" si="3"/>
        <v>1.25</v>
      </c>
      <c r="H48" s="14"/>
      <c r="I48" s="15">
        <f t="shared" si="5"/>
        <v>80.292000000000002</v>
      </c>
      <c r="J48" s="14"/>
      <c r="K48" s="13"/>
    </row>
    <row r="49" spans="1:11" ht="12.6" customHeight="1" x14ac:dyDescent="0.2">
      <c r="A49" s="13"/>
      <c r="B49" s="19" t="s">
        <v>60</v>
      </c>
      <c r="C49" s="15"/>
      <c r="D49" s="14">
        <v>5</v>
      </c>
      <c r="E49" s="15">
        <f t="shared" si="4"/>
        <v>53.292000000000002</v>
      </c>
      <c r="F49" s="14"/>
      <c r="G49" s="15">
        <f t="shared" si="3"/>
        <v>0</v>
      </c>
      <c r="H49" s="14"/>
      <c r="I49" s="15">
        <f t="shared" si="5"/>
        <v>80.292000000000002</v>
      </c>
      <c r="J49" s="14"/>
      <c r="K49" s="13" t="s">
        <v>832</v>
      </c>
    </row>
    <row r="50" spans="1:11" ht="12.6" customHeight="1" x14ac:dyDescent="0.2">
      <c r="A50" s="13"/>
      <c r="B50" s="19" t="s">
        <v>45</v>
      </c>
      <c r="C50" s="15"/>
      <c r="D50" s="14"/>
      <c r="E50" s="15">
        <f t="shared" si="4"/>
        <v>53.292000000000002</v>
      </c>
      <c r="F50" s="14"/>
      <c r="G50" s="15">
        <f t="shared" si="3"/>
        <v>0</v>
      </c>
      <c r="H50" s="14"/>
      <c r="I50" s="15">
        <f t="shared" si="5"/>
        <v>80.292000000000002</v>
      </c>
      <c r="J50" s="14"/>
      <c r="K50" s="13">
        <v>38148</v>
      </c>
    </row>
    <row r="51" spans="1:11" ht="12.6" customHeight="1" x14ac:dyDescent="0.2">
      <c r="A51" s="13">
        <v>37996</v>
      </c>
      <c r="B51" s="17"/>
      <c r="C51" s="15">
        <v>1.25</v>
      </c>
      <c r="D51" s="14"/>
      <c r="E51" s="15">
        <f t="shared" si="4"/>
        <v>54.542000000000002</v>
      </c>
      <c r="F51" s="14"/>
      <c r="G51" s="15">
        <f t="shared" si="3"/>
        <v>1.25</v>
      </c>
      <c r="H51" s="14"/>
      <c r="I51" s="15">
        <f t="shared" si="5"/>
        <v>81.542000000000002</v>
      </c>
      <c r="J51" s="14"/>
      <c r="K51" s="16"/>
    </row>
    <row r="52" spans="1:11" ht="12.6" customHeight="1" x14ac:dyDescent="0.2">
      <c r="A52" s="13"/>
      <c r="B52" s="19" t="s">
        <v>52</v>
      </c>
      <c r="C52" s="15"/>
      <c r="D52" s="14"/>
      <c r="E52" s="15">
        <f t="shared" si="4"/>
        <v>54.542000000000002</v>
      </c>
      <c r="F52" s="14"/>
      <c r="G52" s="15">
        <f t="shared" si="3"/>
        <v>0</v>
      </c>
      <c r="H52" s="14">
        <v>2</v>
      </c>
      <c r="I52" s="15">
        <f t="shared" si="5"/>
        <v>79.542000000000002</v>
      </c>
      <c r="J52" s="14"/>
      <c r="K52" s="13" t="s">
        <v>833</v>
      </c>
    </row>
    <row r="53" spans="1:11" ht="12.6" customHeight="1" x14ac:dyDescent="0.2">
      <c r="A53" s="13">
        <v>38353</v>
      </c>
      <c r="B53" s="19"/>
      <c r="C53" s="15">
        <v>3.75</v>
      </c>
      <c r="D53" s="14"/>
      <c r="E53" s="15">
        <f t="shared" si="4"/>
        <v>58.292000000000002</v>
      </c>
      <c r="F53" s="14"/>
      <c r="G53" s="15">
        <f t="shared" si="3"/>
        <v>3.75</v>
      </c>
      <c r="H53" s="14"/>
      <c r="I53" s="15">
        <f t="shared" si="5"/>
        <v>83.292000000000002</v>
      </c>
      <c r="J53" s="14"/>
      <c r="K53" s="13"/>
    </row>
    <row r="54" spans="1:11" ht="12.6" customHeight="1" x14ac:dyDescent="0.2">
      <c r="A54" s="13"/>
      <c r="B54" s="19" t="s">
        <v>792</v>
      </c>
      <c r="C54" s="15"/>
      <c r="D54" s="14">
        <v>5.0999999999999997E-2</v>
      </c>
      <c r="E54" s="15">
        <f t="shared" si="4"/>
        <v>58.241</v>
      </c>
      <c r="F54" s="14"/>
      <c r="G54" s="15">
        <f t="shared" si="3"/>
        <v>0</v>
      </c>
      <c r="H54" s="14"/>
      <c r="I54" s="15">
        <f t="shared" si="5"/>
        <v>83.292000000000002</v>
      </c>
      <c r="J54" s="14"/>
      <c r="K54" s="13" t="s">
        <v>611</v>
      </c>
    </row>
    <row r="55" spans="1:11" ht="12.6" customHeight="1" x14ac:dyDescent="0.2">
      <c r="A55" s="13">
        <v>38356</v>
      </c>
      <c r="B55" s="19"/>
      <c r="C55" s="15">
        <v>3.75</v>
      </c>
      <c r="D55" s="14"/>
      <c r="E55" s="15">
        <f t="shared" si="4"/>
        <v>61.991</v>
      </c>
      <c r="F55" s="14"/>
      <c r="G55" s="15">
        <f t="shared" si="3"/>
        <v>3.75</v>
      </c>
      <c r="H55" s="14"/>
      <c r="I55" s="15">
        <f t="shared" si="5"/>
        <v>87.042000000000002</v>
      </c>
      <c r="J55" s="14"/>
      <c r="K55" s="13"/>
    </row>
    <row r="56" spans="1:11" ht="12.6" customHeight="1" x14ac:dyDescent="0.2">
      <c r="A56" s="13"/>
      <c r="B56" s="19" t="s">
        <v>45</v>
      </c>
      <c r="C56" s="15"/>
      <c r="D56" s="14"/>
      <c r="E56" s="15">
        <f t="shared" si="4"/>
        <v>61.991</v>
      </c>
      <c r="F56" s="14"/>
      <c r="G56" s="15">
        <f t="shared" si="3"/>
        <v>0</v>
      </c>
      <c r="H56" s="14"/>
      <c r="I56" s="15">
        <f t="shared" si="5"/>
        <v>87.042000000000002</v>
      </c>
      <c r="J56" s="14"/>
      <c r="K56" s="16" t="s">
        <v>834</v>
      </c>
    </row>
    <row r="57" spans="1:11" ht="12.6" customHeight="1" x14ac:dyDescent="0.2">
      <c r="A57" s="13">
        <v>38361</v>
      </c>
      <c r="B57" s="19"/>
      <c r="C57" s="15">
        <v>6.25</v>
      </c>
      <c r="D57" s="14"/>
      <c r="E57" s="15">
        <f t="shared" si="4"/>
        <v>68.241</v>
      </c>
      <c r="F57" s="14"/>
      <c r="G57" s="15">
        <f t="shared" si="3"/>
        <v>6.25</v>
      </c>
      <c r="H57" s="14"/>
      <c r="I57" s="15">
        <f t="shared" si="5"/>
        <v>93.292000000000002</v>
      </c>
      <c r="J57" s="14"/>
      <c r="K57" s="13"/>
    </row>
    <row r="58" spans="1:11" ht="12.6" customHeight="1" x14ac:dyDescent="0.2">
      <c r="A58" s="13"/>
      <c r="B58" s="19" t="s">
        <v>45</v>
      </c>
      <c r="C58" s="15"/>
      <c r="D58" s="14"/>
      <c r="E58" s="15">
        <f t="shared" si="4"/>
        <v>68.241</v>
      </c>
      <c r="F58" s="14"/>
      <c r="G58" s="15">
        <f t="shared" si="3"/>
        <v>0</v>
      </c>
      <c r="H58" s="14"/>
      <c r="I58" s="15">
        <f t="shared" si="5"/>
        <v>93.292000000000002</v>
      </c>
      <c r="J58" s="14"/>
      <c r="K58" s="13" t="s">
        <v>835</v>
      </c>
    </row>
    <row r="59" spans="1:11" ht="12.6" customHeight="1" x14ac:dyDescent="0.2">
      <c r="A59" s="13">
        <v>38718</v>
      </c>
      <c r="B59" s="19"/>
      <c r="C59" s="15">
        <v>5</v>
      </c>
      <c r="D59" s="14"/>
      <c r="E59" s="15">
        <f t="shared" si="4"/>
        <v>73.241</v>
      </c>
      <c r="F59" s="14"/>
      <c r="G59" s="15">
        <f t="shared" si="3"/>
        <v>5</v>
      </c>
      <c r="H59" s="14"/>
      <c r="I59" s="15">
        <f t="shared" si="5"/>
        <v>98.292000000000002</v>
      </c>
      <c r="J59" s="14"/>
      <c r="K59" s="13"/>
    </row>
    <row r="60" spans="1:11" ht="12.6" customHeight="1" x14ac:dyDescent="0.2">
      <c r="A60" s="13"/>
      <c r="B60" s="19" t="s">
        <v>65</v>
      </c>
      <c r="C60" s="15"/>
      <c r="D60" s="14">
        <v>5</v>
      </c>
      <c r="E60" s="15">
        <f t="shared" si="4"/>
        <v>68.241</v>
      </c>
      <c r="F60" s="14"/>
      <c r="G60" s="15">
        <f t="shared" si="3"/>
        <v>0</v>
      </c>
      <c r="H60" s="14"/>
      <c r="I60" s="15">
        <f t="shared" si="5"/>
        <v>98.292000000000002</v>
      </c>
      <c r="J60" s="14"/>
      <c r="K60" s="13" t="s">
        <v>339</v>
      </c>
    </row>
    <row r="61" spans="1:11" ht="12.6" customHeight="1" x14ac:dyDescent="0.2">
      <c r="A61" s="13"/>
      <c r="B61" s="19" t="s">
        <v>837</v>
      </c>
      <c r="C61" s="15"/>
      <c r="D61" s="14">
        <v>8.1000000000000003E-2</v>
      </c>
      <c r="E61" s="15">
        <f t="shared" si="4"/>
        <v>68.16</v>
      </c>
      <c r="F61" s="14"/>
      <c r="G61" s="15">
        <f t="shared" si="3"/>
        <v>0</v>
      </c>
      <c r="H61" s="14"/>
      <c r="I61" s="15">
        <f t="shared" si="5"/>
        <v>98.292000000000002</v>
      </c>
      <c r="J61" s="14"/>
      <c r="K61" s="13" t="s">
        <v>836</v>
      </c>
    </row>
    <row r="62" spans="1:11" ht="12.6" customHeight="1" x14ac:dyDescent="0.2">
      <c r="A62" s="13"/>
      <c r="B62" s="17" t="s">
        <v>47</v>
      </c>
      <c r="C62" s="15"/>
      <c r="D62" s="14"/>
      <c r="E62" s="15">
        <f t="shared" si="4"/>
        <v>68.16</v>
      </c>
      <c r="F62" s="14"/>
      <c r="G62" s="15">
        <f t="shared" si="3"/>
        <v>0</v>
      </c>
      <c r="H62" s="14">
        <v>1</v>
      </c>
      <c r="I62" s="15">
        <f t="shared" si="5"/>
        <v>97.292000000000002</v>
      </c>
      <c r="J62" s="14"/>
      <c r="K62" s="13">
        <v>38838</v>
      </c>
    </row>
    <row r="63" spans="1:11" ht="12.6" customHeight="1" x14ac:dyDescent="0.2">
      <c r="A63" s="13">
        <v>38720</v>
      </c>
      <c r="B63" s="19"/>
      <c r="C63" s="15">
        <v>2.5</v>
      </c>
      <c r="D63" s="14"/>
      <c r="E63" s="15">
        <f t="shared" si="4"/>
        <v>70.66</v>
      </c>
      <c r="F63" s="14"/>
      <c r="G63" s="15">
        <f t="shared" si="3"/>
        <v>2.5</v>
      </c>
      <c r="H63" s="14"/>
      <c r="I63" s="15">
        <f t="shared" si="5"/>
        <v>99.792000000000002</v>
      </c>
      <c r="J63" s="14"/>
      <c r="K63" s="13"/>
    </row>
    <row r="64" spans="1:11" ht="12.6" customHeight="1" x14ac:dyDescent="0.2">
      <c r="A64" s="29"/>
      <c r="B64" s="19" t="s">
        <v>45</v>
      </c>
      <c r="C64" s="15"/>
      <c r="D64" s="14"/>
      <c r="E64" s="15">
        <f t="shared" si="4"/>
        <v>70.66</v>
      </c>
      <c r="F64" s="14"/>
      <c r="G64" s="15">
        <f>C64</f>
        <v>0</v>
      </c>
      <c r="H64" s="14"/>
      <c r="I64" s="15">
        <f t="shared" si="5"/>
        <v>99.792000000000002</v>
      </c>
      <c r="J64" s="14"/>
      <c r="K64" s="29">
        <v>38811</v>
      </c>
    </row>
    <row r="65" spans="1:11" ht="12.6" customHeight="1" x14ac:dyDescent="0.2">
      <c r="A65" s="13">
        <v>38722</v>
      </c>
      <c r="B65" s="19"/>
      <c r="C65" s="15">
        <v>2.5</v>
      </c>
      <c r="D65" s="21"/>
      <c r="E65" s="15">
        <f t="shared" si="4"/>
        <v>73.16</v>
      </c>
      <c r="F65" s="14"/>
      <c r="G65" s="15">
        <f t="shared" si="3"/>
        <v>2.5</v>
      </c>
      <c r="H65" s="14"/>
      <c r="I65" s="15">
        <f t="shared" si="5"/>
        <v>102.292</v>
      </c>
      <c r="J65" s="14"/>
      <c r="K65" s="13"/>
    </row>
    <row r="66" spans="1:11" ht="12.6" customHeight="1" x14ac:dyDescent="0.2">
      <c r="A66" s="13"/>
      <c r="B66" s="19" t="s">
        <v>52</v>
      </c>
      <c r="C66" s="15"/>
      <c r="D66" s="14"/>
      <c r="E66" s="15">
        <f t="shared" si="4"/>
        <v>73.16</v>
      </c>
      <c r="F66" s="14"/>
      <c r="G66" s="15">
        <f t="shared" si="3"/>
        <v>0</v>
      </c>
      <c r="H66" s="14">
        <v>2</v>
      </c>
      <c r="I66" s="15">
        <f t="shared" si="5"/>
        <v>100.292</v>
      </c>
      <c r="J66" s="14"/>
      <c r="K66" s="13" t="s">
        <v>838</v>
      </c>
    </row>
    <row r="67" spans="1:11" ht="12.6" customHeight="1" x14ac:dyDescent="0.2">
      <c r="A67" s="30">
        <v>38724</v>
      </c>
      <c r="B67" s="19"/>
      <c r="C67" s="15">
        <v>2.5</v>
      </c>
      <c r="D67" s="14"/>
      <c r="E67" s="15">
        <f t="shared" si="4"/>
        <v>75.66</v>
      </c>
      <c r="F67" s="14"/>
      <c r="G67" s="15">
        <f t="shared" si="3"/>
        <v>2.5</v>
      </c>
      <c r="H67" s="31"/>
      <c r="I67" s="15">
        <f t="shared" si="5"/>
        <v>102.792</v>
      </c>
      <c r="J67" s="31"/>
      <c r="K67" s="30"/>
    </row>
    <row r="68" spans="1:11" ht="12.6" customHeight="1" x14ac:dyDescent="0.2">
      <c r="A68" s="13"/>
      <c r="B68" s="19" t="s">
        <v>840</v>
      </c>
      <c r="C68" s="15"/>
      <c r="D68" s="14"/>
      <c r="E68" s="15">
        <f t="shared" si="4"/>
        <v>75.66</v>
      </c>
      <c r="F68" s="14"/>
      <c r="G68" s="15">
        <f t="shared" si="3"/>
        <v>0</v>
      </c>
      <c r="H68" s="14"/>
      <c r="I68" s="15">
        <f t="shared" si="5"/>
        <v>102.792</v>
      </c>
      <c r="J68" s="14"/>
      <c r="K68" s="13" t="s">
        <v>839</v>
      </c>
    </row>
    <row r="69" spans="1:11" ht="12.6" customHeight="1" x14ac:dyDescent="0.2">
      <c r="A69" s="24" t="s">
        <v>15</v>
      </c>
      <c r="B69" s="19"/>
      <c r="C69" s="15">
        <f>SUM(C43:C68)</f>
        <v>38.75</v>
      </c>
      <c r="D69" s="15">
        <f>SUM(D43:D68)</f>
        <v>14.132</v>
      </c>
      <c r="E69" s="15" t="s">
        <v>17</v>
      </c>
      <c r="F69" s="32"/>
      <c r="G69" s="15">
        <f>SUM(G43:G68)</f>
        <v>38.75</v>
      </c>
      <c r="H69" s="15">
        <f>SUM(H43:H68)</f>
        <v>5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MARASIGAN, JAIME R.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JANUARY 18, 1999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>
        <v>38726</v>
      </c>
      <c r="B82" s="19"/>
      <c r="C82" s="15">
        <v>2.5</v>
      </c>
      <c r="D82" s="14"/>
      <c r="E82" s="15">
        <f>E68+C82-D82</f>
        <v>78.16</v>
      </c>
      <c r="F82" s="14"/>
      <c r="G82" s="15">
        <f>C82</f>
        <v>2.5</v>
      </c>
      <c r="H82" s="14"/>
      <c r="I82" s="15">
        <f>I68+G82-H82</f>
        <v>105.292</v>
      </c>
      <c r="J82" s="14"/>
      <c r="K82" s="13"/>
    </row>
    <row r="83" spans="1:11" ht="12.6" customHeight="1" x14ac:dyDescent="0.2">
      <c r="A83" s="13"/>
      <c r="B83" s="17" t="s">
        <v>52</v>
      </c>
      <c r="C83" s="15"/>
      <c r="D83" s="14"/>
      <c r="E83" s="15">
        <f>E82+C83-D83</f>
        <v>78.16</v>
      </c>
      <c r="F83" s="14"/>
      <c r="G83" s="15">
        <f t="shared" ref="G83:G107" si="6">C83</f>
        <v>0</v>
      </c>
      <c r="H83" s="14">
        <v>2</v>
      </c>
      <c r="I83" s="15">
        <f>I82+G83-H83</f>
        <v>103.292</v>
      </c>
      <c r="J83" s="22"/>
      <c r="K83" s="23" t="s">
        <v>841</v>
      </c>
    </row>
    <row r="84" spans="1:11" ht="12.6" customHeight="1" x14ac:dyDescent="0.2">
      <c r="A84" s="13">
        <v>38727</v>
      </c>
      <c r="B84" s="19"/>
      <c r="C84" s="15">
        <v>1.25</v>
      </c>
      <c r="D84" s="14"/>
      <c r="E84" s="15">
        <f t="shared" ref="E84:E107" si="7">E83+C84-D84</f>
        <v>79.41</v>
      </c>
      <c r="F84" s="14"/>
      <c r="G84" s="15">
        <f t="shared" si="6"/>
        <v>1.25</v>
      </c>
      <c r="H84" s="14"/>
      <c r="I84" s="15">
        <f t="shared" ref="I84:I107" si="8">I83+G84-H84</f>
        <v>104.542</v>
      </c>
      <c r="J84" s="14"/>
      <c r="K84" s="16"/>
    </row>
    <row r="85" spans="1:11" ht="12.6" customHeight="1" x14ac:dyDescent="0.2">
      <c r="A85" s="13"/>
      <c r="B85" s="19" t="s">
        <v>47</v>
      </c>
      <c r="C85" s="15"/>
      <c r="D85" s="14"/>
      <c r="E85" s="15">
        <f t="shared" si="7"/>
        <v>79.41</v>
      </c>
      <c r="F85" s="14"/>
      <c r="G85" s="15">
        <f t="shared" si="6"/>
        <v>0</v>
      </c>
      <c r="H85" s="14">
        <v>1</v>
      </c>
      <c r="I85" s="15">
        <f t="shared" si="8"/>
        <v>103.542</v>
      </c>
      <c r="J85" s="14"/>
      <c r="K85" s="13" t="s">
        <v>842</v>
      </c>
    </row>
    <row r="86" spans="1:11" ht="12.6" customHeight="1" x14ac:dyDescent="0.2">
      <c r="A86" s="29">
        <v>38729</v>
      </c>
      <c r="B86" s="19"/>
      <c r="C86" s="15">
        <v>2.5</v>
      </c>
      <c r="D86" s="14"/>
      <c r="E86" s="15">
        <f t="shared" si="7"/>
        <v>81.91</v>
      </c>
      <c r="F86" s="14"/>
      <c r="G86" s="15">
        <f t="shared" si="6"/>
        <v>2.5</v>
      </c>
      <c r="H86" s="14"/>
      <c r="I86" s="15">
        <f t="shared" si="8"/>
        <v>106.042</v>
      </c>
      <c r="J86" s="14"/>
      <c r="K86" s="13"/>
    </row>
    <row r="87" spans="1:11" ht="12.6" customHeight="1" x14ac:dyDescent="0.2">
      <c r="A87" s="13"/>
      <c r="B87" s="19" t="s">
        <v>195</v>
      </c>
      <c r="C87" s="15"/>
      <c r="D87" s="14"/>
      <c r="E87" s="15">
        <f t="shared" si="7"/>
        <v>81.91</v>
      </c>
      <c r="F87" s="14"/>
      <c r="G87" s="15">
        <f t="shared" si="6"/>
        <v>0</v>
      </c>
      <c r="H87" s="14"/>
      <c r="I87" s="15">
        <f t="shared" si="8"/>
        <v>106.042</v>
      </c>
      <c r="J87" s="14"/>
      <c r="K87" s="13" t="s">
        <v>843</v>
      </c>
    </row>
    <row r="88" spans="1:11" ht="12.6" customHeight="1" x14ac:dyDescent="0.2">
      <c r="A88" s="13">
        <v>39083</v>
      </c>
      <c r="B88" s="17"/>
      <c r="C88" s="15">
        <v>1.25</v>
      </c>
      <c r="D88" s="14"/>
      <c r="E88" s="15">
        <f t="shared" si="7"/>
        <v>83.16</v>
      </c>
      <c r="F88" s="14"/>
      <c r="G88" s="15">
        <f t="shared" si="6"/>
        <v>1.25</v>
      </c>
      <c r="H88" s="14"/>
      <c r="I88" s="15">
        <f t="shared" si="8"/>
        <v>107.292</v>
      </c>
      <c r="J88" s="14"/>
      <c r="K88" s="13"/>
    </row>
    <row r="89" spans="1:11" ht="12.6" customHeight="1" x14ac:dyDescent="0.2">
      <c r="A89" s="13"/>
      <c r="B89" s="19" t="s">
        <v>844</v>
      </c>
      <c r="C89" s="15"/>
      <c r="D89" s="14"/>
      <c r="E89" s="15">
        <f t="shared" si="7"/>
        <v>83.16</v>
      </c>
      <c r="F89" s="14"/>
      <c r="G89" s="15">
        <f t="shared" si="6"/>
        <v>0</v>
      </c>
      <c r="H89" s="14"/>
      <c r="I89" s="15">
        <f t="shared" si="8"/>
        <v>107.292</v>
      </c>
      <c r="J89" s="14"/>
      <c r="K89" s="16" t="s">
        <v>845</v>
      </c>
    </row>
    <row r="90" spans="1:11" ht="12.6" customHeight="1" x14ac:dyDescent="0.2">
      <c r="A90" s="13"/>
      <c r="B90" s="17" t="s">
        <v>129</v>
      </c>
      <c r="C90" s="15"/>
      <c r="D90" s="14"/>
      <c r="E90" s="15">
        <f t="shared" si="7"/>
        <v>83.16</v>
      </c>
      <c r="F90" s="14"/>
      <c r="G90" s="15">
        <f t="shared" si="6"/>
        <v>0</v>
      </c>
      <c r="H90" s="14">
        <v>0.5</v>
      </c>
      <c r="I90" s="15">
        <f t="shared" si="8"/>
        <v>106.792</v>
      </c>
      <c r="J90" s="14"/>
      <c r="K90" s="16" t="s">
        <v>846</v>
      </c>
    </row>
    <row r="91" spans="1:11" ht="12.6" customHeight="1" x14ac:dyDescent="0.2">
      <c r="A91" s="13">
        <v>39086</v>
      </c>
      <c r="B91" s="17"/>
      <c r="C91" s="15">
        <v>3.75</v>
      </c>
      <c r="D91" s="14"/>
      <c r="E91" s="15">
        <f t="shared" si="7"/>
        <v>86.91</v>
      </c>
      <c r="F91" s="14"/>
      <c r="G91" s="15">
        <f t="shared" si="6"/>
        <v>3.75</v>
      </c>
      <c r="H91" s="14"/>
      <c r="I91" s="15">
        <f t="shared" si="8"/>
        <v>110.542</v>
      </c>
      <c r="J91" s="14"/>
      <c r="K91" s="16"/>
    </row>
    <row r="92" spans="1:11" ht="12.6" customHeight="1" x14ac:dyDescent="0.2">
      <c r="A92" s="13"/>
      <c r="B92" s="19" t="s">
        <v>45</v>
      </c>
      <c r="C92" s="15"/>
      <c r="D92" s="14"/>
      <c r="E92" s="15">
        <f t="shared" si="7"/>
        <v>86.91</v>
      </c>
      <c r="F92" s="14"/>
      <c r="G92" s="15">
        <f t="shared" si="6"/>
        <v>0</v>
      </c>
      <c r="H92" s="14"/>
      <c r="I92" s="15">
        <f t="shared" si="8"/>
        <v>110.542</v>
      </c>
      <c r="J92" s="14"/>
      <c r="K92" s="13" t="s">
        <v>847</v>
      </c>
    </row>
    <row r="93" spans="1:11" ht="12.6" customHeight="1" x14ac:dyDescent="0.2">
      <c r="A93" s="13">
        <v>39089</v>
      </c>
      <c r="B93" s="17"/>
      <c r="C93" s="15">
        <v>3.75</v>
      </c>
      <c r="D93" s="14"/>
      <c r="E93" s="15">
        <f t="shared" si="7"/>
        <v>90.66</v>
      </c>
      <c r="F93" s="14"/>
      <c r="G93" s="15">
        <f t="shared" si="6"/>
        <v>3.75</v>
      </c>
      <c r="H93" s="14"/>
      <c r="I93" s="15">
        <f t="shared" si="8"/>
        <v>114.292</v>
      </c>
      <c r="J93" s="14"/>
      <c r="K93" s="13"/>
    </row>
    <row r="94" spans="1:11" ht="12.6" customHeight="1" x14ac:dyDescent="0.2">
      <c r="A94" s="13"/>
      <c r="B94" s="19" t="s">
        <v>52</v>
      </c>
      <c r="C94" s="15"/>
      <c r="D94" s="14"/>
      <c r="E94" s="15">
        <f t="shared" si="7"/>
        <v>90.66</v>
      </c>
      <c r="F94" s="14"/>
      <c r="G94" s="15">
        <f t="shared" si="6"/>
        <v>0</v>
      </c>
      <c r="H94" s="14">
        <v>2</v>
      </c>
      <c r="I94" s="15">
        <f t="shared" si="8"/>
        <v>112.292</v>
      </c>
      <c r="J94" s="14"/>
      <c r="K94" s="13" t="s">
        <v>848</v>
      </c>
    </row>
    <row r="95" spans="1:11" ht="12.6" customHeight="1" x14ac:dyDescent="0.2">
      <c r="A95" s="13">
        <v>39090</v>
      </c>
      <c r="B95" s="19"/>
      <c r="C95" s="15">
        <v>1.25</v>
      </c>
      <c r="D95" s="14"/>
      <c r="E95" s="15">
        <f t="shared" si="7"/>
        <v>91.91</v>
      </c>
      <c r="F95" s="14"/>
      <c r="G95" s="15">
        <f t="shared" si="6"/>
        <v>1.25</v>
      </c>
      <c r="H95" s="14"/>
      <c r="I95" s="15">
        <f t="shared" si="8"/>
        <v>113.542</v>
      </c>
      <c r="J95" s="14"/>
      <c r="K95" s="13"/>
    </row>
    <row r="96" spans="1:11" ht="12.6" customHeight="1" x14ac:dyDescent="0.2">
      <c r="A96" s="13"/>
      <c r="B96" s="19" t="s">
        <v>47</v>
      </c>
      <c r="C96" s="15"/>
      <c r="D96" s="14"/>
      <c r="E96" s="15">
        <f t="shared" si="7"/>
        <v>91.91</v>
      </c>
      <c r="F96" s="14"/>
      <c r="G96" s="15">
        <f t="shared" si="6"/>
        <v>0</v>
      </c>
      <c r="H96" s="14">
        <v>1</v>
      </c>
      <c r="I96" s="15">
        <f t="shared" si="8"/>
        <v>112.542</v>
      </c>
      <c r="J96" s="14"/>
      <c r="K96" s="33" t="s">
        <v>377</v>
      </c>
    </row>
    <row r="97" spans="1:11" ht="12.6" customHeight="1" x14ac:dyDescent="0.2">
      <c r="A97" s="13">
        <v>39091</v>
      </c>
      <c r="B97" s="19"/>
      <c r="C97" s="15">
        <v>1.25</v>
      </c>
      <c r="D97" s="14"/>
      <c r="E97" s="15">
        <f t="shared" si="7"/>
        <v>93.16</v>
      </c>
      <c r="F97" s="14"/>
      <c r="G97" s="15">
        <f t="shared" si="6"/>
        <v>1.25</v>
      </c>
      <c r="H97" s="14"/>
      <c r="I97" s="15">
        <f t="shared" si="8"/>
        <v>113.792</v>
      </c>
      <c r="J97" s="14"/>
      <c r="K97" s="13"/>
    </row>
    <row r="98" spans="1:11" ht="12.6" customHeight="1" x14ac:dyDescent="0.2">
      <c r="A98" s="13"/>
      <c r="B98" s="19" t="s">
        <v>47</v>
      </c>
      <c r="C98" s="15"/>
      <c r="D98" s="14"/>
      <c r="E98" s="15">
        <f t="shared" si="7"/>
        <v>93.16</v>
      </c>
      <c r="F98" s="14"/>
      <c r="G98" s="15">
        <f t="shared" si="6"/>
        <v>0</v>
      </c>
      <c r="H98" s="14">
        <v>1</v>
      </c>
      <c r="I98" s="15">
        <f t="shared" si="8"/>
        <v>112.792</v>
      </c>
      <c r="J98" s="14"/>
      <c r="K98" s="16" t="s">
        <v>849</v>
      </c>
    </row>
    <row r="99" spans="1:11" ht="12.6" customHeight="1" x14ac:dyDescent="0.2">
      <c r="A99" s="13">
        <v>39093</v>
      </c>
      <c r="B99" s="19"/>
      <c r="C99" s="15">
        <v>2.5</v>
      </c>
      <c r="D99" s="14"/>
      <c r="E99" s="15">
        <f t="shared" si="7"/>
        <v>95.66</v>
      </c>
      <c r="F99" s="14"/>
      <c r="G99" s="15">
        <f t="shared" si="6"/>
        <v>2.5</v>
      </c>
      <c r="H99" s="14"/>
      <c r="I99" s="15">
        <f t="shared" si="8"/>
        <v>115.292</v>
      </c>
      <c r="J99" s="14"/>
      <c r="K99" s="13"/>
    </row>
    <row r="100" spans="1:11" ht="12.6" customHeight="1" x14ac:dyDescent="0.2">
      <c r="A100" s="13"/>
      <c r="B100" s="19" t="s">
        <v>144</v>
      </c>
      <c r="C100" s="15"/>
      <c r="D100" s="14"/>
      <c r="E100" s="15">
        <f t="shared" si="7"/>
        <v>95.66</v>
      </c>
      <c r="F100" s="14"/>
      <c r="G100" s="15">
        <f t="shared" si="6"/>
        <v>0</v>
      </c>
      <c r="H100" s="14">
        <v>1.5</v>
      </c>
      <c r="I100" s="15">
        <f t="shared" si="8"/>
        <v>113.792</v>
      </c>
      <c r="J100" s="14"/>
      <c r="K100" s="13" t="s">
        <v>850</v>
      </c>
    </row>
    <row r="101" spans="1:11" ht="12.6" customHeight="1" x14ac:dyDescent="0.2">
      <c r="A101" s="13">
        <v>39094</v>
      </c>
      <c r="B101" s="19"/>
      <c r="C101" s="15">
        <v>1.25</v>
      </c>
      <c r="D101" s="14"/>
      <c r="E101" s="15">
        <f t="shared" si="7"/>
        <v>96.91</v>
      </c>
      <c r="F101" s="14"/>
      <c r="G101" s="15">
        <f t="shared" si="6"/>
        <v>1.25</v>
      </c>
      <c r="H101" s="14"/>
      <c r="I101" s="15">
        <f t="shared" si="8"/>
        <v>115.042</v>
      </c>
      <c r="J101" s="14"/>
      <c r="K101" s="13"/>
    </row>
    <row r="102" spans="1:11" ht="12.6" customHeight="1" x14ac:dyDescent="0.2">
      <c r="A102" s="13"/>
      <c r="B102" s="19" t="s">
        <v>47</v>
      </c>
      <c r="C102" s="15"/>
      <c r="D102" s="14"/>
      <c r="E102" s="15">
        <f t="shared" si="7"/>
        <v>96.91</v>
      </c>
      <c r="F102" s="14"/>
      <c r="G102" s="15">
        <f t="shared" si="6"/>
        <v>0</v>
      </c>
      <c r="H102" s="14">
        <v>1</v>
      </c>
      <c r="I102" s="15">
        <f t="shared" si="8"/>
        <v>114.042</v>
      </c>
      <c r="J102" s="14"/>
      <c r="K102" s="13">
        <v>39153</v>
      </c>
    </row>
    <row r="103" spans="1:11" ht="12.6" customHeight="1" x14ac:dyDescent="0.2">
      <c r="A103" s="13">
        <v>39448</v>
      </c>
      <c r="B103" s="19"/>
      <c r="C103" s="15">
        <v>1.25</v>
      </c>
      <c r="D103" s="14"/>
      <c r="E103" s="15">
        <f t="shared" si="7"/>
        <v>98.16</v>
      </c>
      <c r="F103" s="14"/>
      <c r="G103" s="15">
        <f t="shared" si="6"/>
        <v>1.25</v>
      </c>
      <c r="H103" s="14"/>
      <c r="I103" s="15">
        <f t="shared" si="8"/>
        <v>115.292</v>
      </c>
      <c r="J103" s="14"/>
      <c r="K103" s="19"/>
    </row>
    <row r="104" spans="1:11" ht="12.6" customHeight="1" x14ac:dyDescent="0.2">
      <c r="A104" s="13"/>
      <c r="B104" s="19" t="s">
        <v>851</v>
      </c>
      <c r="C104" s="15"/>
      <c r="D104" s="14">
        <v>0.104</v>
      </c>
      <c r="E104" s="15">
        <f t="shared" si="7"/>
        <v>98.055999999999997</v>
      </c>
      <c r="F104" s="14"/>
      <c r="G104" s="15">
        <f t="shared" si="6"/>
        <v>0</v>
      </c>
      <c r="H104" s="14"/>
      <c r="I104" s="15">
        <f t="shared" si="8"/>
        <v>115.292</v>
      </c>
      <c r="J104" s="14"/>
      <c r="K104" s="13" t="s">
        <v>637</v>
      </c>
    </row>
    <row r="105" spans="1:11" ht="12.6" customHeight="1" x14ac:dyDescent="0.2">
      <c r="A105" s="13"/>
      <c r="B105" s="19" t="s">
        <v>858</v>
      </c>
      <c r="C105" s="15"/>
      <c r="D105" s="14">
        <v>5</v>
      </c>
      <c r="E105" s="15">
        <f t="shared" si="7"/>
        <v>93.055999999999997</v>
      </c>
      <c r="F105" s="14"/>
      <c r="G105" s="15">
        <f t="shared" si="6"/>
        <v>0</v>
      </c>
      <c r="H105" s="14"/>
      <c r="I105" s="15">
        <f t="shared" si="8"/>
        <v>115.292</v>
      </c>
      <c r="J105" s="14"/>
      <c r="K105" s="13" t="s">
        <v>857</v>
      </c>
    </row>
    <row r="106" spans="1:11" ht="12.6" customHeight="1" x14ac:dyDescent="0.2">
      <c r="A106" s="13">
        <v>39450</v>
      </c>
      <c r="B106" s="19"/>
      <c r="C106" s="15">
        <v>2.5</v>
      </c>
      <c r="D106" s="14"/>
      <c r="E106" s="15">
        <f t="shared" si="7"/>
        <v>95.555999999999997</v>
      </c>
      <c r="F106" s="14"/>
      <c r="G106" s="15">
        <f t="shared" si="6"/>
        <v>2.5</v>
      </c>
      <c r="H106" s="14"/>
      <c r="I106" s="15">
        <f t="shared" si="8"/>
        <v>117.792</v>
      </c>
      <c r="J106" s="14"/>
      <c r="K106" s="13"/>
    </row>
    <row r="107" spans="1:11" ht="12.6" customHeight="1" x14ac:dyDescent="0.2">
      <c r="A107" s="13"/>
      <c r="B107" s="19" t="s">
        <v>45</v>
      </c>
      <c r="C107" s="15"/>
      <c r="D107" s="14"/>
      <c r="E107" s="15">
        <f t="shared" si="7"/>
        <v>95.555999999999997</v>
      </c>
      <c r="F107" s="14"/>
      <c r="G107" s="15">
        <f t="shared" si="6"/>
        <v>0</v>
      </c>
      <c r="H107" s="14"/>
      <c r="I107" s="15">
        <f t="shared" si="8"/>
        <v>117.792</v>
      </c>
      <c r="J107" s="14"/>
      <c r="K107" s="13" t="s">
        <v>852</v>
      </c>
    </row>
    <row r="108" spans="1:11" ht="12.6" customHeight="1" x14ac:dyDescent="0.2">
      <c r="A108" s="19"/>
      <c r="B108" s="19"/>
      <c r="C108" s="15">
        <f>SUM(C82:C107)</f>
        <v>25</v>
      </c>
      <c r="D108" s="15">
        <f>SUM(D82:D107)</f>
        <v>5.1040000000000001</v>
      </c>
      <c r="E108" s="15"/>
      <c r="F108" s="14"/>
      <c r="G108" s="15">
        <f>SUM(G82:G107)</f>
        <v>25</v>
      </c>
      <c r="H108" s="15">
        <f>SUM(H82:H107)</f>
        <v>10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MARASIGAN, JAIME R.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JANUARY 18, 1999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39452</v>
      </c>
      <c r="B117" s="19"/>
      <c r="C117" s="15">
        <v>2.5</v>
      </c>
      <c r="D117" s="14"/>
      <c r="E117" s="15">
        <f>E107+C117-D117</f>
        <v>98.055999999999997</v>
      </c>
      <c r="F117" s="14"/>
      <c r="G117" s="15">
        <f>C117</f>
        <v>2.5</v>
      </c>
      <c r="H117" s="14"/>
      <c r="I117" s="15">
        <f>I107+G117-H117</f>
        <v>120.292</v>
      </c>
      <c r="J117" s="14"/>
      <c r="K117" s="13"/>
    </row>
    <row r="118" spans="1:11" ht="12.6" customHeight="1" x14ac:dyDescent="0.2">
      <c r="A118" s="13"/>
      <c r="B118" s="19" t="s">
        <v>47</v>
      </c>
      <c r="C118" s="15"/>
      <c r="D118" s="14"/>
      <c r="E118" s="15">
        <f>E117+C118-D118</f>
        <v>98.055999999999997</v>
      </c>
      <c r="F118" s="14"/>
      <c r="G118" s="15">
        <f t="shared" ref="G118:G142" si="9">C118</f>
        <v>0</v>
      </c>
      <c r="H118" s="14">
        <v>1</v>
      </c>
      <c r="I118" s="15">
        <f>I117+G118-H118</f>
        <v>119.292</v>
      </c>
      <c r="J118" s="22"/>
      <c r="K118" s="13">
        <v>39483</v>
      </c>
    </row>
    <row r="119" spans="1:11" ht="12.6" customHeight="1" x14ac:dyDescent="0.2">
      <c r="A119" s="13">
        <v>39453</v>
      </c>
      <c r="B119" s="17"/>
      <c r="C119" s="15">
        <v>1.25</v>
      </c>
      <c r="D119" s="14"/>
      <c r="E119" s="15">
        <f t="shared" ref="E119:E142" si="10">E118+C119-D119</f>
        <v>99.305999999999997</v>
      </c>
      <c r="F119" s="14"/>
      <c r="G119" s="15">
        <f t="shared" si="9"/>
        <v>1.25</v>
      </c>
      <c r="H119" s="14"/>
      <c r="I119" s="15">
        <f t="shared" ref="I119:I142" si="11">I118+G119-H119</f>
        <v>120.542</v>
      </c>
      <c r="J119" s="14"/>
      <c r="K119" s="23"/>
    </row>
    <row r="120" spans="1:11" ht="12.6" customHeight="1" x14ac:dyDescent="0.2">
      <c r="A120" s="13"/>
      <c r="B120" s="19" t="s">
        <v>129</v>
      </c>
      <c r="C120" s="15"/>
      <c r="D120" s="14"/>
      <c r="E120" s="15">
        <f t="shared" si="10"/>
        <v>99.305999999999997</v>
      </c>
      <c r="F120" s="14"/>
      <c r="G120" s="15">
        <f t="shared" si="9"/>
        <v>0</v>
      </c>
      <c r="H120" s="14">
        <v>0.5</v>
      </c>
      <c r="I120" s="15">
        <f t="shared" si="11"/>
        <v>120.042</v>
      </c>
      <c r="J120" s="14"/>
      <c r="K120" s="16" t="s">
        <v>853</v>
      </c>
    </row>
    <row r="121" spans="1:11" ht="12.6" customHeight="1" x14ac:dyDescent="0.2">
      <c r="A121" s="13"/>
      <c r="B121" s="19" t="s">
        <v>52</v>
      </c>
      <c r="C121" s="15"/>
      <c r="D121" s="14"/>
      <c r="E121" s="15">
        <f t="shared" si="10"/>
        <v>99.305999999999997</v>
      </c>
      <c r="F121" s="14"/>
      <c r="G121" s="15">
        <f t="shared" si="9"/>
        <v>0</v>
      </c>
      <c r="H121" s="14">
        <v>2</v>
      </c>
      <c r="I121" s="15">
        <f t="shared" si="11"/>
        <v>118.042</v>
      </c>
      <c r="J121" s="14"/>
      <c r="K121" s="13" t="s">
        <v>854</v>
      </c>
    </row>
    <row r="122" spans="1:11" ht="12.6" customHeight="1" x14ac:dyDescent="0.2">
      <c r="A122" s="29">
        <v>39455</v>
      </c>
      <c r="B122" s="19"/>
      <c r="C122" s="15">
        <v>2.5</v>
      </c>
      <c r="D122" s="14"/>
      <c r="E122" s="15">
        <f t="shared" si="10"/>
        <v>101.806</v>
      </c>
      <c r="F122" s="14"/>
      <c r="G122" s="15">
        <f t="shared" si="9"/>
        <v>2.5</v>
      </c>
      <c r="H122" s="14"/>
      <c r="I122" s="15">
        <f t="shared" si="11"/>
        <v>120.542</v>
      </c>
      <c r="J122" s="14"/>
      <c r="K122" s="13"/>
    </row>
    <row r="123" spans="1:11" ht="12.6" customHeight="1" x14ac:dyDescent="0.2">
      <c r="A123" s="13"/>
      <c r="B123" s="19" t="s">
        <v>47</v>
      </c>
      <c r="C123" s="15"/>
      <c r="D123" s="14"/>
      <c r="E123" s="15">
        <f t="shared" si="10"/>
        <v>101.806</v>
      </c>
      <c r="F123" s="14"/>
      <c r="G123" s="15">
        <f t="shared" si="9"/>
        <v>0</v>
      </c>
      <c r="H123" s="14">
        <v>1</v>
      </c>
      <c r="I123" s="15">
        <f t="shared" si="11"/>
        <v>119.542</v>
      </c>
      <c r="J123" s="14"/>
      <c r="K123" s="13">
        <v>39455</v>
      </c>
    </row>
    <row r="124" spans="1:11" ht="12.6" customHeight="1" x14ac:dyDescent="0.2">
      <c r="A124" s="13">
        <v>39456</v>
      </c>
      <c r="B124" s="17"/>
      <c r="C124" s="15">
        <v>1.25</v>
      </c>
      <c r="D124" s="14"/>
      <c r="E124" s="15">
        <f t="shared" si="10"/>
        <v>103.056</v>
      </c>
      <c r="F124" s="14"/>
      <c r="G124" s="15">
        <f t="shared" si="9"/>
        <v>1.25</v>
      </c>
      <c r="H124" s="14"/>
      <c r="I124" s="15">
        <f t="shared" si="11"/>
        <v>120.792</v>
      </c>
      <c r="J124" s="14"/>
      <c r="K124" s="13"/>
    </row>
    <row r="125" spans="1:11" ht="12.6" customHeight="1" x14ac:dyDescent="0.2">
      <c r="A125" s="13"/>
      <c r="B125" s="19" t="s">
        <v>67</v>
      </c>
      <c r="C125" s="15"/>
      <c r="D125" s="14"/>
      <c r="E125" s="15">
        <f t="shared" si="10"/>
        <v>103.056</v>
      </c>
      <c r="F125" s="14"/>
      <c r="G125" s="15">
        <f t="shared" si="9"/>
        <v>0</v>
      </c>
      <c r="H125" s="14">
        <v>3</v>
      </c>
      <c r="I125" s="15">
        <f t="shared" si="11"/>
        <v>117.792</v>
      </c>
      <c r="J125" s="14"/>
      <c r="K125" s="16" t="s">
        <v>855</v>
      </c>
    </row>
    <row r="126" spans="1:11" ht="12.6" customHeight="1" x14ac:dyDescent="0.2">
      <c r="A126" s="13"/>
      <c r="B126" s="17" t="s">
        <v>296</v>
      </c>
      <c r="C126" s="15"/>
      <c r="D126" s="14">
        <v>1.5</v>
      </c>
      <c r="E126" s="15">
        <f t="shared" si="10"/>
        <v>101.556</v>
      </c>
      <c r="F126" s="14"/>
      <c r="G126" s="15">
        <f t="shared" si="9"/>
        <v>0</v>
      </c>
      <c r="H126" s="14"/>
      <c r="I126" s="15">
        <f t="shared" si="11"/>
        <v>117.792</v>
      </c>
      <c r="J126" s="14"/>
      <c r="K126" s="16" t="s">
        <v>856</v>
      </c>
    </row>
    <row r="127" spans="1:11" ht="12.6" customHeight="1" x14ac:dyDescent="0.2">
      <c r="A127" s="13">
        <v>39459</v>
      </c>
      <c r="B127" s="17"/>
      <c r="C127" s="15">
        <v>3.75</v>
      </c>
      <c r="D127" s="14"/>
      <c r="E127" s="15">
        <f t="shared" si="10"/>
        <v>105.306</v>
      </c>
      <c r="F127" s="14"/>
      <c r="G127" s="15">
        <f t="shared" si="9"/>
        <v>3.75</v>
      </c>
      <c r="H127" s="14"/>
      <c r="I127" s="15">
        <f t="shared" si="11"/>
        <v>121.542</v>
      </c>
      <c r="J127" s="14"/>
      <c r="K127" s="13"/>
    </row>
    <row r="128" spans="1:11" ht="12.6" customHeight="1" x14ac:dyDescent="0.2">
      <c r="A128" s="13"/>
      <c r="B128" s="17" t="s">
        <v>860</v>
      </c>
      <c r="C128" s="15"/>
      <c r="D128" s="14"/>
      <c r="E128" s="15">
        <f t="shared" si="10"/>
        <v>105.306</v>
      </c>
      <c r="F128" s="14"/>
      <c r="G128" s="15">
        <f t="shared" si="9"/>
        <v>0</v>
      </c>
      <c r="H128" s="14"/>
      <c r="I128" s="15">
        <f t="shared" si="11"/>
        <v>121.542</v>
      </c>
      <c r="J128" s="14"/>
      <c r="K128" s="13" t="s">
        <v>859</v>
      </c>
    </row>
    <row r="129" spans="1:11" ht="12.6" customHeight="1" x14ac:dyDescent="0.2">
      <c r="A129" s="13">
        <v>39825</v>
      </c>
      <c r="B129" s="19"/>
      <c r="C129" s="15">
        <v>15</v>
      </c>
      <c r="D129" s="14"/>
      <c r="E129" s="15">
        <f t="shared" si="10"/>
        <v>120.306</v>
      </c>
      <c r="F129" s="14"/>
      <c r="G129" s="15">
        <f t="shared" si="9"/>
        <v>15</v>
      </c>
      <c r="H129" s="14"/>
      <c r="I129" s="15">
        <f t="shared" si="11"/>
        <v>136.542</v>
      </c>
      <c r="J129" s="14"/>
      <c r="K129" s="13"/>
    </row>
    <row r="130" spans="1:11" ht="12.6" customHeight="1" x14ac:dyDescent="0.2">
      <c r="A130" s="13"/>
      <c r="B130" s="19" t="s">
        <v>65</v>
      </c>
      <c r="C130" s="15"/>
      <c r="D130" s="14">
        <v>5</v>
      </c>
      <c r="E130" s="15">
        <f t="shared" si="10"/>
        <v>115.306</v>
      </c>
      <c r="F130" s="14"/>
      <c r="G130" s="15">
        <f t="shared" si="9"/>
        <v>0</v>
      </c>
      <c r="H130" s="14"/>
      <c r="I130" s="15">
        <f t="shared" si="11"/>
        <v>136.542</v>
      </c>
      <c r="J130" s="14"/>
      <c r="K130" s="13" t="s">
        <v>861</v>
      </c>
    </row>
    <row r="131" spans="1:11" ht="12.6" customHeight="1" x14ac:dyDescent="0.2">
      <c r="A131" s="13">
        <v>40190</v>
      </c>
      <c r="B131" s="19"/>
      <c r="C131" s="15">
        <v>15</v>
      </c>
      <c r="D131" s="14"/>
      <c r="E131" s="15">
        <f t="shared" si="10"/>
        <v>130.30599999999998</v>
      </c>
      <c r="F131" s="14"/>
      <c r="G131" s="15">
        <f t="shared" si="9"/>
        <v>15</v>
      </c>
      <c r="H131" s="14"/>
      <c r="I131" s="15">
        <f t="shared" si="11"/>
        <v>151.542</v>
      </c>
      <c r="J131" s="14"/>
      <c r="K131" s="33"/>
    </row>
    <row r="132" spans="1:11" ht="12.6" customHeight="1" x14ac:dyDescent="0.2">
      <c r="A132" s="13"/>
      <c r="B132" s="19" t="s">
        <v>65</v>
      </c>
      <c r="C132" s="15"/>
      <c r="D132" s="14">
        <v>5</v>
      </c>
      <c r="E132" s="15">
        <f t="shared" si="10"/>
        <v>125.30599999999998</v>
      </c>
      <c r="F132" s="14"/>
      <c r="G132" s="15">
        <f t="shared" si="9"/>
        <v>0</v>
      </c>
      <c r="H132" s="14"/>
      <c r="I132" s="15">
        <f t="shared" si="11"/>
        <v>151.542</v>
      </c>
      <c r="J132" s="14"/>
      <c r="K132" s="13" t="s">
        <v>862</v>
      </c>
    </row>
    <row r="133" spans="1:11" ht="12.6" customHeight="1" x14ac:dyDescent="0.2">
      <c r="A133" s="13">
        <v>40550</v>
      </c>
      <c r="B133" s="19"/>
      <c r="C133" s="15">
        <v>8.75</v>
      </c>
      <c r="D133" s="14"/>
      <c r="E133" s="15">
        <f t="shared" si="10"/>
        <v>134.05599999999998</v>
      </c>
      <c r="F133" s="14"/>
      <c r="G133" s="15">
        <f t="shared" si="9"/>
        <v>8.75</v>
      </c>
      <c r="H133" s="14"/>
      <c r="I133" s="15">
        <f t="shared" si="11"/>
        <v>160.292</v>
      </c>
      <c r="J133" s="14"/>
      <c r="K133" s="16"/>
    </row>
    <row r="134" spans="1:11" ht="12.6" customHeight="1" x14ac:dyDescent="0.2">
      <c r="A134" s="13"/>
      <c r="B134" s="19" t="s">
        <v>52</v>
      </c>
      <c r="C134" s="15"/>
      <c r="D134" s="14"/>
      <c r="E134" s="15">
        <f t="shared" si="10"/>
        <v>134.05599999999998</v>
      </c>
      <c r="F134" s="14"/>
      <c r="G134" s="15">
        <f t="shared" si="9"/>
        <v>0</v>
      </c>
      <c r="H134" s="14">
        <v>2</v>
      </c>
      <c r="I134" s="15">
        <f t="shared" si="11"/>
        <v>158.292</v>
      </c>
      <c r="J134" s="14"/>
      <c r="K134" s="13" t="s">
        <v>863</v>
      </c>
    </row>
    <row r="135" spans="1:11" ht="12.6" customHeight="1" x14ac:dyDescent="0.2">
      <c r="A135" s="13">
        <v>40909</v>
      </c>
      <c r="B135" s="19"/>
      <c r="C135" s="15">
        <v>7.5</v>
      </c>
      <c r="D135" s="14"/>
      <c r="E135" s="15">
        <f t="shared" si="10"/>
        <v>141.55599999999998</v>
      </c>
      <c r="F135" s="14"/>
      <c r="G135" s="15">
        <f t="shared" si="9"/>
        <v>7.5</v>
      </c>
      <c r="H135" s="14"/>
      <c r="I135" s="15">
        <f t="shared" si="11"/>
        <v>165.792</v>
      </c>
      <c r="J135" s="14"/>
      <c r="K135" s="13"/>
    </row>
    <row r="136" spans="1:11" ht="12.6" customHeight="1" x14ac:dyDescent="0.2">
      <c r="A136" s="13"/>
      <c r="B136" s="19" t="s">
        <v>65</v>
      </c>
      <c r="C136" s="15"/>
      <c r="D136" s="14">
        <v>5</v>
      </c>
      <c r="E136" s="15">
        <f t="shared" si="10"/>
        <v>136.55599999999998</v>
      </c>
      <c r="F136" s="14"/>
      <c r="G136" s="15">
        <f t="shared" si="9"/>
        <v>0</v>
      </c>
      <c r="H136" s="14"/>
      <c r="I136" s="15">
        <f t="shared" si="11"/>
        <v>165.792</v>
      </c>
      <c r="J136" s="14"/>
      <c r="K136" s="13" t="s">
        <v>161</v>
      </c>
    </row>
    <row r="137" spans="1:11" ht="12.6" customHeight="1" x14ac:dyDescent="0.2">
      <c r="A137" s="13">
        <v>40911</v>
      </c>
      <c r="B137" s="19"/>
      <c r="C137" s="15">
        <v>2.5</v>
      </c>
      <c r="D137" s="14"/>
      <c r="E137" s="15">
        <f t="shared" si="10"/>
        <v>139.05599999999998</v>
      </c>
      <c r="F137" s="14"/>
      <c r="G137" s="15">
        <f t="shared" si="9"/>
        <v>2.5</v>
      </c>
      <c r="H137" s="14"/>
      <c r="I137" s="15">
        <f t="shared" si="11"/>
        <v>168.292</v>
      </c>
      <c r="J137" s="14"/>
      <c r="K137" s="13"/>
    </row>
    <row r="138" spans="1:11" ht="12.6" customHeight="1" x14ac:dyDescent="0.2">
      <c r="A138" s="13"/>
      <c r="B138" s="19" t="s">
        <v>166</v>
      </c>
      <c r="C138" s="15"/>
      <c r="D138" s="14"/>
      <c r="E138" s="15">
        <f t="shared" si="10"/>
        <v>139.05599999999998</v>
      </c>
      <c r="F138" s="14"/>
      <c r="G138" s="15">
        <f t="shared" si="9"/>
        <v>0</v>
      </c>
      <c r="H138" s="14"/>
      <c r="I138" s="15">
        <f t="shared" si="11"/>
        <v>168.292</v>
      </c>
      <c r="J138" s="14"/>
      <c r="K138" s="19" t="s">
        <v>864</v>
      </c>
    </row>
    <row r="139" spans="1:11" ht="12.6" customHeight="1" x14ac:dyDescent="0.2">
      <c r="A139" s="13">
        <v>40916</v>
      </c>
      <c r="B139" s="19"/>
      <c r="C139" s="15">
        <v>6.25</v>
      </c>
      <c r="D139" s="14"/>
      <c r="E139" s="15">
        <f t="shared" si="10"/>
        <v>145.30599999999998</v>
      </c>
      <c r="F139" s="14"/>
      <c r="G139" s="15">
        <f t="shared" si="9"/>
        <v>6.25</v>
      </c>
      <c r="H139" s="14"/>
      <c r="I139" s="15">
        <f t="shared" si="11"/>
        <v>174.542</v>
      </c>
      <c r="J139" s="14"/>
      <c r="K139" s="13"/>
    </row>
    <row r="140" spans="1:11" ht="12.6" customHeight="1" x14ac:dyDescent="0.2">
      <c r="A140" s="13"/>
      <c r="B140" s="19" t="s">
        <v>52</v>
      </c>
      <c r="C140" s="15"/>
      <c r="D140" s="14"/>
      <c r="E140" s="15">
        <f t="shared" si="10"/>
        <v>145.30599999999998</v>
      </c>
      <c r="F140" s="14"/>
      <c r="G140" s="15">
        <f t="shared" si="9"/>
        <v>0</v>
      </c>
      <c r="H140" s="14">
        <v>2</v>
      </c>
      <c r="I140" s="15">
        <f t="shared" si="11"/>
        <v>172.542</v>
      </c>
      <c r="J140" s="14"/>
      <c r="K140" s="13" t="s">
        <v>865</v>
      </c>
    </row>
    <row r="141" spans="1:11" ht="12.6" customHeight="1" x14ac:dyDescent="0.2">
      <c r="A141" s="13">
        <v>40917</v>
      </c>
      <c r="B141" s="19"/>
      <c r="C141" s="15">
        <v>1.25</v>
      </c>
      <c r="D141" s="14"/>
      <c r="E141" s="15">
        <f t="shared" si="10"/>
        <v>146.55599999999998</v>
      </c>
      <c r="F141" s="14"/>
      <c r="G141" s="15">
        <f t="shared" si="9"/>
        <v>1.25</v>
      </c>
      <c r="H141" s="14"/>
      <c r="I141" s="15">
        <f t="shared" si="11"/>
        <v>173.792</v>
      </c>
      <c r="J141" s="14"/>
      <c r="K141" s="13"/>
    </row>
    <row r="142" spans="1:11" ht="12.6" customHeight="1" x14ac:dyDescent="0.2">
      <c r="A142" s="13"/>
      <c r="B142" s="19" t="s">
        <v>95</v>
      </c>
      <c r="C142" s="15"/>
      <c r="D142" s="14">
        <v>3</v>
      </c>
      <c r="E142" s="15">
        <f t="shared" si="10"/>
        <v>143.55599999999998</v>
      </c>
      <c r="F142" s="14"/>
      <c r="G142" s="15">
        <f t="shared" si="9"/>
        <v>0</v>
      </c>
      <c r="H142" s="14"/>
      <c r="I142" s="15">
        <f t="shared" si="11"/>
        <v>173.792</v>
      </c>
      <c r="J142" s="14"/>
      <c r="K142" s="16" t="s">
        <v>866</v>
      </c>
    </row>
    <row r="143" spans="1:11" ht="12.6" customHeight="1" x14ac:dyDescent="0.2">
      <c r="A143" s="19"/>
      <c r="B143" s="19"/>
      <c r="C143" s="15">
        <f>SUM(C117:C142)</f>
        <v>67.5</v>
      </c>
      <c r="D143" s="15">
        <f>SUM(D117:D142)</f>
        <v>19.5</v>
      </c>
      <c r="E143" s="15"/>
      <c r="F143" s="14"/>
      <c r="G143" s="15">
        <f>SUM(G117:G142)</f>
        <v>67.5</v>
      </c>
      <c r="H143" s="15">
        <f>SUM(H117:H142)</f>
        <v>11.5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MARASIGAN, JAIME R.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JANUARY 18, 1999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41275</v>
      </c>
      <c r="B156" s="19"/>
      <c r="C156" s="15">
        <v>5</v>
      </c>
      <c r="D156" s="14"/>
      <c r="E156" s="15">
        <f>E142+C156-D156</f>
        <v>148.55599999999998</v>
      </c>
      <c r="F156" s="14"/>
      <c r="G156" s="15">
        <f>C156</f>
        <v>5</v>
      </c>
      <c r="H156" s="14"/>
      <c r="I156" s="15">
        <f>I142+G156-H156</f>
        <v>178.792</v>
      </c>
      <c r="J156" s="14"/>
      <c r="K156" s="13"/>
    </row>
    <row r="157" spans="1:11" ht="12.6" customHeight="1" x14ac:dyDescent="0.2">
      <c r="A157" s="13"/>
      <c r="B157" s="19" t="s">
        <v>77</v>
      </c>
      <c r="C157" s="15"/>
      <c r="D157" s="14">
        <v>2</v>
      </c>
      <c r="E157" s="15">
        <f>E156+C157-D157</f>
        <v>146.55599999999998</v>
      </c>
      <c r="F157" s="14"/>
      <c r="G157" s="15">
        <f t="shared" ref="G157:G181" si="12">C157</f>
        <v>0</v>
      </c>
      <c r="H157" s="14"/>
      <c r="I157" s="15">
        <f>I156+G157-H157</f>
        <v>178.792</v>
      </c>
      <c r="J157" s="14"/>
      <c r="K157" s="13" t="s">
        <v>161</v>
      </c>
    </row>
    <row r="158" spans="1:11" ht="12.6" customHeight="1" x14ac:dyDescent="0.2">
      <c r="A158" s="13">
        <v>41278</v>
      </c>
      <c r="B158" s="19"/>
      <c r="C158" s="15">
        <v>3.75</v>
      </c>
      <c r="D158" s="14"/>
      <c r="E158" s="15">
        <f t="shared" ref="E158:E181" si="13">E157+C158-D158</f>
        <v>150.30599999999998</v>
      </c>
      <c r="F158" s="22"/>
      <c r="G158" s="15">
        <f t="shared" si="12"/>
        <v>3.75</v>
      </c>
      <c r="H158" s="34"/>
      <c r="I158" s="15">
        <f t="shared" ref="I158:I181" si="14">I157+G158-H158</f>
        <v>182.542</v>
      </c>
      <c r="J158" s="14"/>
      <c r="K158" s="13"/>
    </row>
    <row r="159" spans="1:11" ht="12.6" customHeight="1" x14ac:dyDescent="0.2">
      <c r="A159" s="13"/>
      <c r="B159" s="19" t="s">
        <v>90</v>
      </c>
      <c r="C159" s="15"/>
      <c r="D159" s="14"/>
      <c r="E159" s="15">
        <f t="shared" si="13"/>
        <v>150.30599999999998</v>
      </c>
      <c r="F159" s="14"/>
      <c r="G159" s="15">
        <f t="shared" si="12"/>
        <v>0</v>
      </c>
      <c r="H159" s="34"/>
      <c r="I159" s="15">
        <f t="shared" si="14"/>
        <v>182.542</v>
      </c>
      <c r="J159" s="14"/>
      <c r="K159" s="13" t="s">
        <v>867</v>
      </c>
    </row>
    <row r="160" spans="1:11" ht="12.6" customHeight="1" x14ac:dyDescent="0.2">
      <c r="A160" s="13">
        <v>41279</v>
      </c>
      <c r="B160" s="19"/>
      <c r="C160" s="15">
        <v>1.25</v>
      </c>
      <c r="D160" s="14"/>
      <c r="E160" s="15">
        <f t="shared" si="13"/>
        <v>151.55599999999998</v>
      </c>
      <c r="F160" s="14"/>
      <c r="G160" s="15">
        <f t="shared" si="12"/>
        <v>1.25</v>
      </c>
      <c r="H160" s="34"/>
      <c r="I160" s="15">
        <f t="shared" si="14"/>
        <v>183.792</v>
      </c>
      <c r="J160" s="14"/>
      <c r="K160" s="16"/>
    </row>
    <row r="161" spans="1:11" ht="12.6" customHeight="1" x14ac:dyDescent="0.2">
      <c r="A161" s="13"/>
      <c r="B161" s="19" t="s">
        <v>689</v>
      </c>
      <c r="C161" s="15"/>
      <c r="D161" s="14"/>
      <c r="E161" s="15">
        <f t="shared" si="13"/>
        <v>151.55599999999998</v>
      </c>
      <c r="F161" s="14"/>
      <c r="G161" s="15">
        <f t="shared" si="12"/>
        <v>0</v>
      </c>
      <c r="H161" s="34">
        <v>6</v>
      </c>
      <c r="I161" s="15">
        <f t="shared" si="14"/>
        <v>177.792</v>
      </c>
      <c r="J161" s="14"/>
      <c r="K161" s="13" t="s">
        <v>868</v>
      </c>
    </row>
    <row r="162" spans="1:11" ht="12.6" customHeight="1" x14ac:dyDescent="0.2">
      <c r="A162" s="13"/>
      <c r="B162" s="19" t="s">
        <v>870</v>
      </c>
      <c r="C162" s="15"/>
      <c r="D162" s="14">
        <v>8</v>
      </c>
      <c r="E162" s="15">
        <f t="shared" si="13"/>
        <v>143.55599999999998</v>
      </c>
      <c r="F162" s="14"/>
      <c r="G162" s="15">
        <f t="shared" si="12"/>
        <v>0</v>
      </c>
      <c r="H162" s="34"/>
      <c r="I162" s="15">
        <f t="shared" si="14"/>
        <v>177.792</v>
      </c>
      <c r="J162" s="14"/>
      <c r="K162" s="16" t="s">
        <v>869</v>
      </c>
    </row>
    <row r="163" spans="1:11" ht="12.6" customHeight="1" x14ac:dyDescent="0.2">
      <c r="A163" s="13">
        <v>41280</v>
      </c>
      <c r="B163" s="19"/>
      <c r="C163" s="15">
        <v>1.25</v>
      </c>
      <c r="D163" s="22"/>
      <c r="E163" s="15">
        <f t="shared" si="13"/>
        <v>144.80599999999998</v>
      </c>
      <c r="F163" s="22"/>
      <c r="G163" s="15">
        <f t="shared" si="12"/>
        <v>1.25</v>
      </c>
      <c r="H163" s="14"/>
      <c r="I163" s="15">
        <f t="shared" si="14"/>
        <v>179.042</v>
      </c>
      <c r="J163" s="14"/>
      <c r="K163" s="13"/>
    </row>
    <row r="164" spans="1:11" ht="12.6" customHeight="1" x14ac:dyDescent="0.2">
      <c r="A164" s="13"/>
      <c r="B164" s="19" t="s">
        <v>125</v>
      </c>
      <c r="C164" s="15"/>
      <c r="D164" s="22"/>
      <c r="E164" s="15">
        <f t="shared" si="13"/>
        <v>144.80599999999998</v>
      </c>
      <c r="F164" s="14"/>
      <c r="G164" s="15">
        <f t="shared" si="12"/>
        <v>0</v>
      </c>
      <c r="H164" s="34">
        <v>4</v>
      </c>
      <c r="I164" s="15">
        <f t="shared" si="14"/>
        <v>175.042</v>
      </c>
      <c r="J164" s="14"/>
      <c r="K164" s="13" t="s">
        <v>871</v>
      </c>
    </row>
    <row r="165" spans="1:11" ht="12.6" customHeight="1" x14ac:dyDescent="0.2">
      <c r="A165" s="13">
        <v>41284</v>
      </c>
      <c r="B165" s="19"/>
      <c r="C165" s="15">
        <v>5</v>
      </c>
      <c r="D165" s="14"/>
      <c r="E165" s="15">
        <f t="shared" si="13"/>
        <v>149.80599999999998</v>
      </c>
      <c r="F165" s="14"/>
      <c r="G165" s="15">
        <f t="shared" si="12"/>
        <v>5</v>
      </c>
      <c r="H165" s="34"/>
      <c r="I165" s="15">
        <f t="shared" si="14"/>
        <v>180.042</v>
      </c>
      <c r="J165" s="14"/>
      <c r="K165" s="13"/>
    </row>
    <row r="166" spans="1:11" ht="12.6" customHeight="1" x14ac:dyDescent="0.2">
      <c r="A166" s="13"/>
      <c r="B166" s="19" t="s">
        <v>903</v>
      </c>
      <c r="C166" s="15"/>
      <c r="D166" s="14"/>
      <c r="E166" s="15">
        <f t="shared" si="13"/>
        <v>149.80599999999998</v>
      </c>
      <c r="F166" s="22"/>
      <c r="G166" s="15">
        <f t="shared" si="12"/>
        <v>0</v>
      </c>
      <c r="H166" s="34">
        <v>15</v>
      </c>
      <c r="I166" s="15">
        <f t="shared" si="14"/>
        <v>165.042</v>
      </c>
      <c r="J166" s="14"/>
      <c r="K166" s="13" t="s">
        <v>872</v>
      </c>
    </row>
    <row r="167" spans="1:11" ht="12.6" customHeight="1" x14ac:dyDescent="0.2">
      <c r="A167" s="13">
        <v>41640</v>
      </c>
      <c r="B167" s="19"/>
      <c r="C167" s="15">
        <v>3.75</v>
      </c>
      <c r="D167" s="14"/>
      <c r="E167" s="15">
        <f t="shared" si="13"/>
        <v>153.55599999999998</v>
      </c>
      <c r="F167" s="22"/>
      <c r="G167" s="15">
        <f t="shared" si="12"/>
        <v>3.75</v>
      </c>
      <c r="H167" s="35"/>
      <c r="I167" s="15">
        <f t="shared" si="14"/>
        <v>168.792</v>
      </c>
      <c r="J167" s="14"/>
      <c r="K167" s="16"/>
    </row>
    <row r="168" spans="1:11" ht="12.6" customHeight="1" x14ac:dyDescent="0.2">
      <c r="A168" s="13">
        <v>42005</v>
      </c>
      <c r="B168" s="19"/>
      <c r="C168" s="15">
        <v>15</v>
      </c>
      <c r="D168" s="14"/>
      <c r="E168" s="15">
        <f t="shared" si="13"/>
        <v>168.55599999999998</v>
      </c>
      <c r="F168" s="14"/>
      <c r="G168" s="15">
        <f t="shared" si="12"/>
        <v>15</v>
      </c>
      <c r="H168" s="32"/>
      <c r="I168" s="15">
        <f t="shared" si="14"/>
        <v>183.792</v>
      </c>
      <c r="J168" s="14"/>
      <c r="K168" s="13"/>
    </row>
    <row r="169" spans="1:11" ht="12.6" customHeight="1" x14ac:dyDescent="0.2">
      <c r="A169" s="13"/>
      <c r="B169" s="19" t="s">
        <v>65</v>
      </c>
      <c r="C169" s="15"/>
      <c r="D169" s="14">
        <v>5</v>
      </c>
      <c r="E169" s="15">
        <f t="shared" si="13"/>
        <v>163.55599999999998</v>
      </c>
      <c r="F169" s="22"/>
      <c r="G169" s="15">
        <f t="shared" si="12"/>
        <v>0</v>
      </c>
      <c r="H169" s="34"/>
      <c r="I169" s="15">
        <f t="shared" si="14"/>
        <v>183.792</v>
      </c>
      <c r="J169" s="14"/>
      <c r="K169" s="13" t="s">
        <v>171</v>
      </c>
    </row>
    <row r="170" spans="1:11" ht="12.6" customHeight="1" x14ac:dyDescent="0.2">
      <c r="A170" s="13">
        <v>42007</v>
      </c>
      <c r="B170" s="19"/>
      <c r="C170" s="15">
        <v>2.5</v>
      </c>
      <c r="D170" s="14"/>
      <c r="E170" s="15">
        <f t="shared" si="13"/>
        <v>166.05599999999998</v>
      </c>
      <c r="F170" s="14"/>
      <c r="G170" s="15">
        <f t="shared" si="12"/>
        <v>2.5</v>
      </c>
      <c r="H170" s="14"/>
      <c r="I170" s="15">
        <f t="shared" si="14"/>
        <v>186.292</v>
      </c>
      <c r="J170" s="14"/>
      <c r="K170" s="13"/>
    </row>
    <row r="171" spans="1:11" ht="12.6" customHeight="1" x14ac:dyDescent="0.2">
      <c r="A171" s="13"/>
      <c r="B171" s="19" t="s">
        <v>90</v>
      </c>
      <c r="C171" s="15"/>
      <c r="D171" s="14"/>
      <c r="E171" s="15">
        <f t="shared" si="13"/>
        <v>166.05599999999998</v>
      </c>
      <c r="F171" s="14"/>
      <c r="G171" s="15">
        <f t="shared" si="12"/>
        <v>0</v>
      </c>
      <c r="H171" s="34"/>
      <c r="I171" s="15">
        <f t="shared" si="14"/>
        <v>186.292</v>
      </c>
      <c r="J171" s="14"/>
      <c r="K171" s="16" t="s">
        <v>874</v>
      </c>
    </row>
    <row r="172" spans="1:11" ht="12.6" customHeight="1" x14ac:dyDescent="0.2">
      <c r="A172" s="13">
        <v>42010</v>
      </c>
      <c r="B172" s="19"/>
      <c r="C172" s="15">
        <v>3.75</v>
      </c>
      <c r="D172" s="14"/>
      <c r="E172" s="15">
        <f t="shared" si="13"/>
        <v>169.80599999999998</v>
      </c>
      <c r="F172" s="14"/>
      <c r="G172" s="15">
        <f t="shared" si="12"/>
        <v>3.75</v>
      </c>
      <c r="H172" s="34"/>
      <c r="I172" s="15">
        <f t="shared" si="14"/>
        <v>190.042</v>
      </c>
      <c r="J172" s="14"/>
      <c r="K172" s="13"/>
    </row>
    <row r="173" spans="1:11" ht="12.6" customHeight="1" x14ac:dyDescent="0.2">
      <c r="A173" s="13"/>
      <c r="B173" s="19" t="s">
        <v>876</v>
      </c>
      <c r="C173" s="15"/>
      <c r="D173" s="14">
        <v>20</v>
      </c>
      <c r="E173" s="15">
        <f t="shared" si="13"/>
        <v>149.80599999999998</v>
      </c>
      <c r="F173" s="14"/>
      <c r="G173" s="15">
        <f t="shared" si="12"/>
        <v>0</v>
      </c>
      <c r="H173" s="35">
        <v>25</v>
      </c>
      <c r="I173" s="15">
        <f t="shared" si="14"/>
        <v>165.042</v>
      </c>
      <c r="J173" s="14"/>
      <c r="K173" s="13" t="s">
        <v>875</v>
      </c>
    </row>
    <row r="174" spans="1:11" ht="12.6" customHeight="1" x14ac:dyDescent="0.2">
      <c r="A174" s="13">
        <v>42370</v>
      </c>
      <c r="B174" s="19"/>
      <c r="C174" s="15">
        <v>8.75</v>
      </c>
      <c r="D174" s="14"/>
      <c r="E174" s="15">
        <f t="shared" si="13"/>
        <v>158.55599999999998</v>
      </c>
      <c r="F174" s="22"/>
      <c r="G174" s="15">
        <f t="shared" si="12"/>
        <v>8.75</v>
      </c>
      <c r="H174" s="14"/>
      <c r="I174" s="15">
        <f t="shared" si="14"/>
        <v>173.792</v>
      </c>
      <c r="J174" s="14"/>
      <c r="K174" s="13"/>
    </row>
    <row r="175" spans="1:11" ht="12.6" customHeight="1" x14ac:dyDescent="0.2">
      <c r="A175" s="13"/>
      <c r="B175" s="19" t="s">
        <v>65</v>
      </c>
      <c r="C175" s="15"/>
      <c r="D175" s="14">
        <v>5</v>
      </c>
      <c r="E175" s="15">
        <f t="shared" si="13"/>
        <v>153.55599999999998</v>
      </c>
      <c r="F175" s="22"/>
      <c r="G175" s="15">
        <f t="shared" si="12"/>
        <v>0</v>
      </c>
      <c r="H175" s="34"/>
      <c r="I175" s="15">
        <f t="shared" si="14"/>
        <v>173.792</v>
      </c>
      <c r="J175" s="14"/>
      <c r="K175" s="13" t="s">
        <v>174</v>
      </c>
    </row>
    <row r="176" spans="1:11" ht="12.6" customHeight="1" x14ac:dyDescent="0.2">
      <c r="A176" s="13">
        <v>42380</v>
      </c>
      <c r="B176" s="19"/>
      <c r="C176" s="15">
        <v>12.5</v>
      </c>
      <c r="D176" s="14"/>
      <c r="E176" s="15">
        <f t="shared" si="13"/>
        <v>166.05599999999998</v>
      </c>
      <c r="F176" s="14"/>
      <c r="G176" s="15">
        <f t="shared" si="12"/>
        <v>12.5</v>
      </c>
      <c r="H176" s="32"/>
      <c r="I176" s="15">
        <f t="shared" si="14"/>
        <v>186.292</v>
      </c>
      <c r="J176" s="14"/>
      <c r="K176" s="16"/>
    </row>
    <row r="177" spans="1:11" ht="12.6" customHeight="1" x14ac:dyDescent="0.2">
      <c r="A177" s="13"/>
      <c r="B177" s="19" t="s">
        <v>91</v>
      </c>
      <c r="C177" s="15"/>
      <c r="D177" s="14">
        <v>15</v>
      </c>
      <c r="E177" s="15">
        <f t="shared" si="13"/>
        <v>151.05599999999998</v>
      </c>
      <c r="F177" s="14"/>
      <c r="G177" s="15">
        <f t="shared" si="12"/>
        <v>0</v>
      </c>
      <c r="H177" s="34">
        <v>15</v>
      </c>
      <c r="I177" s="15">
        <f t="shared" si="14"/>
        <v>171.292</v>
      </c>
      <c r="J177" s="14"/>
      <c r="K177" s="13">
        <v>42411</v>
      </c>
    </row>
    <row r="178" spans="1:11" ht="12.6" customHeight="1" x14ac:dyDescent="0.2">
      <c r="A178" s="13">
        <v>42381</v>
      </c>
      <c r="B178" s="19"/>
      <c r="C178" s="15">
        <v>1.25</v>
      </c>
      <c r="D178" s="14"/>
      <c r="E178" s="15">
        <f t="shared" si="13"/>
        <v>152.30599999999998</v>
      </c>
      <c r="F178" s="14"/>
      <c r="G178" s="15">
        <f t="shared" si="12"/>
        <v>1.25</v>
      </c>
      <c r="H178" s="34"/>
      <c r="I178" s="15">
        <f t="shared" si="14"/>
        <v>172.542</v>
      </c>
      <c r="J178" s="14"/>
      <c r="K178" s="13"/>
    </row>
    <row r="179" spans="1:11" ht="12.6" customHeight="1" x14ac:dyDescent="0.2">
      <c r="A179" s="13"/>
      <c r="B179" s="19" t="s">
        <v>195</v>
      </c>
      <c r="C179" s="15"/>
      <c r="D179" s="14"/>
      <c r="E179" s="15">
        <f t="shared" si="13"/>
        <v>152.30599999999998</v>
      </c>
      <c r="F179" s="14"/>
      <c r="G179" s="15">
        <f t="shared" si="12"/>
        <v>0</v>
      </c>
      <c r="H179" s="34"/>
      <c r="I179" s="15">
        <f t="shared" si="14"/>
        <v>172.542</v>
      </c>
      <c r="J179" s="14"/>
      <c r="K179" s="16" t="s">
        <v>877</v>
      </c>
    </row>
    <row r="180" spans="1:11" ht="12.6" customHeight="1" x14ac:dyDescent="0.2">
      <c r="A180" s="13">
        <v>42736</v>
      </c>
      <c r="B180" s="19"/>
      <c r="C180" s="15">
        <v>1.25</v>
      </c>
      <c r="D180" s="14"/>
      <c r="E180" s="15">
        <f t="shared" si="13"/>
        <v>153.55599999999998</v>
      </c>
      <c r="F180" s="14"/>
      <c r="G180" s="15">
        <f t="shared" si="12"/>
        <v>1.25</v>
      </c>
      <c r="H180" s="34"/>
      <c r="I180" s="15">
        <f t="shared" si="14"/>
        <v>173.792</v>
      </c>
      <c r="J180" s="14"/>
      <c r="K180" s="13"/>
    </row>
    <row r="181" spans="1:11" ht="12.6" customHeight="1" x14ac:dyDescent="0.2">
      <c r="A181" s="13"/>
      <c r="B181" s="19" t="s">
        <v>45</v>
      </c>
      <c r="C181" s="15"/>
      <c r="D181" s="14"/>
      <c r="E181" s="15">
        <f t="shared" si="13"/>
        <v>153.55599999999998</v>
      </c>
      <c r="F181" s="14"/>
      <c r="G181" s="15">
        <f t="shared" si="12"/>
        <v>0</v>
      </c>
      <c r="H181" s="34"/>
      <c r="I181" s="15">
        <f t="shared" si="14"/>
        <v>173.792</v>
      </c>
      <c r="J181" s="14"/>
      <c r="K181" s="13" t="s">
        <v>878</v>
      </c>
    </row>
    <row r="182" spans="1:11" ht="12.6" customHeight="1" x14ac:dyDescent="0.2">
      <c r="A182" s="19"/>
      <c r="B182" s="19"/>
      <c r="C182" s="15">
        <f>SUM(C156:C181)</f>
        <v>65</v>
      </c>
      <c r="D182" s="15">
        <f>SUM(D156:D181)</f>
        <v>55</v>
      </c>
      <c r="E182" s="36"/>
      <c r="F182" s="37"/>
      <c r="G182" s="15">
        <f>SUM(G156:G181)</f>
        <v>65</v>
      </c>
      <c r="H182" s="15">
        <f>SUM(H156:H181)</f>
        <v>65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MARASIGAN, JAIME R.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JANUARY 18, 1999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42738</v>
      </c>
      <c r="B191" s="19"/>
      <c r="C191" s="15">
        <v>2.5</v>
      </c>
      <c r="D191" s="14"/>
      <c r="E191" s="15">
        <f>E181+C191-D191</f>
        <v>156.05599999999998</v>
      </c>
      <c r="F191" s="14"/>
      <c r="G191" s="15">
        <f>C191</f>
        <v>2.5</v>
      </c>
      <c r="H191" s="34"/>
      <c r="I191" s="15">
        <f>I181+G191-H191</f>
        <v>176.292</v>
      </c>
      <c r="J191" s="14"/>
      <c r="K191" s="13"/>
    </row>
    <row r="192" spans="1:11" ht="12.6" customHeight="1" x14ac:dyDescent="0.2">
      <c r="A192" s="13"/>
      <c r="B192" s="19" t="s">
        <v>45</v>
      </c>
      <c r="C192" s="15"/>
      <c r="D192" s="14"/>
      <c r="E192" s="15">
        <f>E191+C192-D192</f>
        <v>156.05599999999998</v>
      </c>
      <c r="F192" s="14"/>
      <c r="G192" s="15">
        <f t="shared" ref="G192:G216" si="15">C192</f>
        <v>0</v>
      </c>
      <c r="H192" s="34"/>
      <c r="I192" s="15">
        <f>I191+G192-H192</f>
        <v>176.292</v>
      </c>
      <c r="J192" s="14"/>
      <c r="K192" s="13" t="s">
        <v>727</v>
      </c>
    </row>
    <row r="193" spans="1:11" ht="12.6" customHeight="1" x14ac:dyDescent="0.2">
      <c r="A193" s="13">
        <v>42740</v>
      </c>
      <c r="B193" s="19"/>
      <c r="C193" s="15">
        <v>2.5</v>
      </c>
      <c r="D193" s="14"/>
      <c r="E193" s="15">
        <f t="shared" ref="E193:E216" si="16">E192+C193-D193</f>
        <v>158.55599999999998</v>
      </c>
      <c r="F193" s="22"/>
      <c r="G193" s="15">
        <f t="shared" si="15"/>
        <v>2.5</v>
      </c>
      <c r="H193" s="34"/>
      <c r="I193" s="15">
        <f t="shared" ref="I193:I216" si="17">I192+G193-H193</f>
        <v>178.792</v>
      </c>
      <c r="J193" s="14"/>
      <c r="K193" s="38"/>
    </row>
    <row r="194" spans="1:11" ht="12.6" customHeight="1" x14ac:dyDescent="0.2">
      <c r="A194" s="13"/>
      <c r="B194" s="19" t="s">
        <v>45</v>
      </c>
      <c r="C194" s="15"/>
      <c r="D194" s="14"/>
      <c r="E194" s="15">
        <f t="shared" si="16"/>
        <v>158.55599999999998</v>
      </c>
      <c r="F194" s="14"/>
      <c r="G194" s="15">
        <f t="shared" si="15"/>
        <v>0</v>
      </c>
      <c r="H194" s="34"/>
      <c r="I194" s="15">
        <f t="shared" si="17"/>
        <v>178.792</v>
      </c>
      <c r="J194" s="14"/>
      <c r="K194" s="13" t="s">
        <v>879</v>
      </c>
    </row>
    <row r="195" spans="1:11" ht="12.6" customHeight="1" x14ac:dyDescent="0.2">
      <c r="A195" s="13"/>
      <c r="B195" s="19" t="s">
        <v>74</v>
      </c>
      <c r="C195" s="15"/>
      <c r="D195" s="14">
        <v>1</v>
      </c>
      <c r="E195" s="15">
        <f t="shared" si="16"/>
        <v>157.55599999999998</v>
      </c>
      <c r="F195" s="14"/>
      <c r="G195" s="15">
        <f t="shared" si="15"/>
        <v>0</v>
      </c>
      <c r="H195" s="34"/>
      <c r="I195" s="15">
        <f t="shared" si="17"/>
        <v>178.792</v>
      </c>
      <c r="J195" s="14"/>
      <c r="K195" s="13" t="s">
        <v>880</v>
      </c>
    </row>
    <row r="196" spans="1:11" ht="12.6" customHeight="1" x14ac:dyDescent="0.2">
      <c r="A196" s="13">
        <v>42742</v>
      </c>
      <c r="B196" s="19"/>
      <c r="C196" s="15">
        <v>2.5</v>
      </c>
      <c r="D196" s="14"/>
      <c r="E196" s="15">
        <f t="shared" si="16"/>
        <v>160.05599999999998</v>
      </c>
      <c r="F196" s="14"/>
      <c r="G196" s="15">
        <f t="shared" si="15"/>
        <v>2.5</v>
      </c>
      <c r="H196" s="34"/>
      <c r="I196" s="15">
        <f t="shared" si="17"/>
        <v>181.292</v>
      </c>
      <c r="J196" s="14"/>
      <c r="K196" s="13"/>
    </row>
    <row r="197" spans="1:11" ht="12.6" customHeight="1" x14ac:dyDescent="0.2">
      <c r="A197" s="13"/>
      <c r="B197" s="19" t="s">
        <v>91</v>
      </c>
      <c r="C197" s="15"/>
      <c r="D197" s="14">
        <v>15</v>
      </c>
      <c r="E197" s="15">
        <f t="shared" si="16"/>
        <v>145.05599999999998</v>
      </c>
      <c r="F197" s="14"/>
      <c r="G197" s="15">
        <f t="shared" si="15"/>
        <v>0</v>
      </c>
      <c r="H197" s="34">
        <v>15</v>
      </c>
      <c r="I197" s="15">
        <f t="shared" si="17"/>
        <v>166.292</v>
      </c>
      <c r="J197" s="14"/>
      <c r="K197" s="13" t="s">
        <v>881</v>
      </c>
    </row>
    <row r="198" spans="1:11" ht="12.6" customHeight="1" x14ac:dyDescent="0.2">
      <c r="A198" s="13">
        <v>42747</v>
      </c>
      <c r="B198" s="19"/>
      <c r="C198" s="15">
        <v>6.25</v>
      </c>
      <c r="D198" s="22"/>
      <c r="E198" s="15">
        <f t="shared" si="16"/>
        <v>151.30599999999998</v>
      </c>
      <c r="F198" s="22"/>
      <c r="G198" s="15">
        <f t="shared" si="15"/>
        <v>6.25</v>
      </c>
      <c r="H198" s="34"/>
      <c r="I198" s="15">
        <f t="shared" si="17"/>
        <v>172.542</v>
      </c>
      <c r="J198" s="14"/>
      <c r="K198" s="16"/>
    </row>
    <row r="199" spans="1:11" ht="12.6" customHeight="1" x14ac:dyDescent="0.2">
      <c r="A199" s="13"/>
      <c r="B199" s="19" t="s">
        <v>87</v>
      </c>
      <c r="C199" s="15"/>
      <c r="D199" s="22">
        <v>3</v>
      </c>
      <c r="E199" s="15">
        <f t="shared" si="16"/>
        <v>148.30599999999998</v>
      </c>
      <c r="F199" s="14"/>
      <c r="G199" s="15">
        <f t="shared" si="15"/>
        <v>0</v>
      </c>
      <c r="H199" s="34"/>
      <c r="I199" s="15">
        <f t="shared" si="17"/>
        <v>172.542</v>
      </c>
      <c r="J199" s="14"/>
      <c r="K199" s="16" t="s">
        <v>882</v>
      </c>
    </row>
    <row r="200" spans="1:11" ht="12.6" customHeight="1" x14ac:dyDescent="0.2">
      <c r="A200" s="13">
        <v>43101</v>
      </c>
      <c r="B200" s="19"/>
      <c r="C200" s="15">
        <v>1.25</v>
      </c>
      <c r="D200" s="14"/>
      <c r="E200" s="15">
        <f t="shared" si="16"/>
        <v>149.55599999999998</v>
      </c>
      <c r="F200" s="14"/>
      <c r="G200" s="15">
        <f t="shared" si="15"/>
        <v>1.25</v>
      </c>
      <c r="H200" s="34"/>
      <c r="I200" s="15">
        <f t="shared" si="17"/>
        <v>173.792</v>
      </c>
      <c r="J200" s="14"/>
      <c r="K200" s="13"/>
    </row>
    <row r="201" spans="1:11" ht="12.6" customHeight="1" x14ac:dyDescent="0.2">
      <c r="A201" s="13"/>
      <c r="B201" s="19" t="s">
        <v>57</v>
      </c>
      <c r="C201" s="15"/>
      <c r="D201" s="22">
        <v>1</v>
      </c>
      <c r="E201" s="15">
        <f t="shared" si="16"/>
        <v>148.55599999999998</v>
      </c>
      <c r="F201" s="22"/>
      <c r="G201" s="15">
        <f t="shared" si="15"/>
        <v>0</v>
      </c>
      <c r="H201" s="34"/>
      <c r="I201" s="15">
        <f t="shared" si="17"/>
        <v>173.792</v>
      </c>
      <c r="J201" s="14"/>
      <c r="K201" s="13" t="s">
        <v>734</v>
      </c>
    </row>
    <row r="202" spans="1:11" ht="12.6" customHeight="1" x14ac:dyDescent="0.2">
      <c r="A202" s="13">
        <v>43103</v>
      </c>
      <c r="B202" s="19"/>
      <c r="C202" s="15">
        <v>2.5</v>
      </c>
      <c r="D202" s="14"/>
      <c r="E202" s="15">
        <f t="shared" si="16"/>
        <v>151.05599999999998</v>
      </c>
      <c r="F202" s="22"/>
      <c r="G202" s="15">
        <f t="shared" si="15"/>
        <v>2.5</v>
      </c>
      <c r="H202" s="34"/>
      <c r="I202" s="15">
        <f t="shared" si="17"/>
        <v>176.292</v>
      </c>
      <c r="J202" s="14"/>
      <c r="K202" s="13"/>
    </row>
    <row r="203" spans="1:11" ht="12.6" customHeight="1" x14ac:dyDescent="0.2">
      <c r="A203" s="13"/>
      <c r="B203" s="19" t="s">
        <v>90</v>
      </c>
      <c r="C203" s="15"/>
      <c r="D203" s="14"/>
      <c r="E203" s="15">
        <f t="shared" si="16"/>
        <v>151.05599999999998</v>
      </c>
      <c r="F203" s="14"/>
      <c r="G203" s="15">
        <f t="shared" si="15"/>
        <v>0</v>
      </c>
      <c r="H203" s="34"/>
      <c r="I203" s="15">
        <f t="shared" si="17"/>
        <v>176.292</v>
      </c>
      <c r="J203" s="14"/>
      <c r="K203" s="16" t="s">
        <v>883</v>
      </c>
    </row>
    <row r="204" spans="1:11" ht="12.6" customHeight="1" x14ac:dyDescent="0.2">
      <c r="A204" s="13">
        <v>43109</v>
      </c>
      <c r="B204" s="19"/>
      <c r="C204" s="15">
        <v>7.5</v>
      </c>
      <c r="D204" s="14"/>
      <c r="E204" s="15">
        <f t="shared" si="16"/>
        <v>158.55599999999998</v>
      </c>
      <c r="F204" s="22"/>
      <c r="G204" s="15">
        <f t="shared" si="15"/>
        <v>7.5</v>
      </c>
      <c r="H204" s="34"/>
      <c r="I204" s="15">
        <f t="shared" si="17"/>
        <v>183.792</v>
      </c>
      <c r="J204" s="14"/>
      <c r="K204" s="13"/>
    </row>
    <row r="205" spans="1:11" ht="12.6" customHeight="1" x14ac:dyDescent="0.2">
      <c r="A205" s="13"/>
      <c r="B205" s="19" t="s">
        <v>67</v>
      </c>
      <c r="C205" s="15"/>
      <c r="D205" s="14"/>
      <c r="E205" s="15">
        <f t="shared" si="16"/>
        <v>158.55599999999998</v>
      </c>
      <c r="F205" s="14"/>
      <c r="G205" s="15">
        <f t="shared" si="15"/>
        <v>0</v>
      </c>
      <c r="H205" s="34">
        <v>3</v>
      </c>
      <c r="I205" s="15">
        <f t="shared" si="17"/>
        <v>180.792</v>
      </c>
      <c r="J205" s="14"/>
      <c r="K205" s="16" t="s">
        <v>884</v>
      </c>
    </row>
    <row r="206" spans="1:11" ht="12.6" customHeight="1" x14ac:dyDescent="0.2">
      <c r="A206" s="13">
        <v>43112</v>
      </c>
      <c r="B206" s="19"/>
      <c r="C206" s="15">
        <v>3.75</v>
      </c>
      <c r="D206" s="22"/>
      <c r="E206" s="15">
        <f t="shared" si="16"/>
        <v>162.30599999999998</v>
      </c>
      <c r="F206" s="14"/>
      <c r="G206" s="15">
        <f t="shared" si="15"/>
        <v>3.75</v>
      </c>
      <c r="H206" s="34"/>
      <c r="I206" s="15">
        <f t="shared" si="17"/>
        <v>184.542</v>
      </c>
      <c r="J206" s="14"/>
      <c r="K206" s="16"/>
    </row>
    <row r="207" spans="1:11" ht="12.6" customHeight="1" x14ac:dyDescent="0.2">
      <c r="A207" s="13"/>
      <c r="B207" s="19" t="s">
        <v>184</v>
      </c>
      <c r="C207" s="15"/>
      <c r="D207" s="22">
        <v>10</v>
      </c>
      <c r="E207" s="15">
        <f t="shared" si="16"/>
        <v>152.30599999999998</v>
      </c>
      <c r="F207" s="14"/>
      <c r="G207" s="15">
        <f t="shared" si="15"/>
        <v>0</v>
      </c>
      <c r="H207" s="34">
        <v>10</v>
      </c>
      <c r="I207" s="15">
        <f t="shared" si="17"/>
        <v>174.542</v>
      </c>
      <c r="J207" s="14"/>
      <c r="K207" s="38" t="s">
        <v>885</v>
      </c>
    </row>
    <row r="208" spans="1:11" ht="12.6" customHeight="1" x14ac:dyDescent="0.2">
      <c r="A208" s="13">
        <v>43466</v>
      </c>
      <c r="B208" s="19"/>
      <c r="C208" s="15">
        <v>1.25</v>
      </c>
      <c r="D208" s="14"/>
      <c r="E208" s="15">
        <f t="shared" si="16"/>
        <v>153.55599999999998</v>
      </c>
      <c r="F208" s="14"/>
      <c r="G208" s="15">
        <f t="shared" si="15"/>
        <v>1.25</v>
      </c>
      <c r="H208" s="34"/>
      <c r="I208" s="15">
        <f t="shared" si="17"/>
        <v>175.792</v>
      </c>
      <c r="J208" s="14"/>
      <c r="K208" s="13"/>
    </row>
    <row r="209" spans="1:11" ht="12.6" customHeight="1" x14ac:dyDescent="0.2">
      <c r="A209" s="13"/>
      <c r="B209" s="19" t="s">
        <v>65</v>
      </c>
      <c r="C209" s="15"/>
      <c r="D209" s="14">
        <v>5</v>
      </c>
      <c r="E209" s="15">
        <f t="shared" si="16"/>
        <v>148.55599999999998</v>
      </c>
      <c r="F209" s="22"/>
      <c r="G209" s="15">
        <f t="shared" si="15"/>
        <v>0</v>
      </c>
      <c r="H209" s="34"/>
      <c r="I209" s="15">
        <f t="shared" si="17"/>
        <v>175.792</v>
      </c>
      <c r="J209" s="14"/>
      <c r="K209" s="16" t="s">
        <v>886</v>
      </c>
    </row>
    <row r="210" spans="1:11" ht="12.6" customHeight="1" x14ac:dyDescent="0.2">
      <c r="A210" s="13">
        <v>43474</v>
      </c>
      <c r="B210" s="19"/>
      <c r="C210" s="15">
        <v>10</v>
      </c>
      <c r="D210" s="14"/>
      <c r="E210" s="15">
        <f t="shared" si="16"/>
        <v>158.55599999999998</v>
      </c>
      <c r="F210" s="22"/>
      <c r="G210" s="15">
        <f t="shared" si="15"/>
        <v>10</v>
      </c>
      <c r="H210" s="34"/>
      <c r="I210" s="15">
        <f t="shared" si="17"/>
        <v>185.792</v>
      </c>
      <c r="J210" s="14"/>
      <c r="K210" s="13"/>
    </row>
    <row r="211" spans="1:11" ht="12.6" customHeight="1" x14ac:dyDescent="0.2">
      <c r="A211" s="13"/>
      <c r="B211" s="19" t="s">
        <v>76</v>
      </c>
      <c r="C211" s="15"/>
      <c r="D211" s="14">
        <v>2</v>
      </c>
      <c r="E211" s="15">
        <f t="shared" si="16"/>
        <v>156.55599999999998</v>
      </c>
      <c r="F211" s="14"/>
      <c r="G211" s="15">
        <f t="shared" si="15"/>
        <v>0</v>
      </c>
      <c r="H211" s="34"/>
      <c r="I211" s="15">
        <f t="shared" si="17"/>
        <v>185.792</v>
      </c>
      <c r="J211" s="14"/>
      <c r="K211" s="16" t="s">
        <v>887</v>
      </c>
    </row>
    <row r="212" spans="1:11" ht="12.6" customHeight="1" x14ac:dyDescent="0.2">
      <c r="A212" s="13">
        <v>43831</v>
      </c>
      <c r="B212" s="19"/>
      <c r="C212" s="15">
        <v>5</v>
      </c>
      <c r="D212" s="14"/>
      <c r="E212" s="15">
        <f t="shared" si="16"/>
        <v>161.55599999999998</v>
      </c>
      <c r="F212" s="14"/>
      <c r="G212" s="15">
        <f t="shared" si="15"/>
        <v>5</v>
      </c>
      <c r="H212" s="34"/>
      <c r="I212" s="15">
        <f t="shared" si="17"/>
        <v>190.792</v>
      </c>
      <c r="J212" s="14"/>
      <c r="K212" s="13"/>
    </row>
    <row r="213" spans="1:11" ht="12.6" customHeight="1" x14ac:dyDescent="0.2">
      <c r="A213" s="13"/>
      <c r="B213" s="19" t="s">
        <v>889</v>
      </c>
      <c r="C213" s="15"/>
      <c r="D213" s="14"/>
      <c r="E213" s="15">
        <f t="shared" si="16"/>
        <v>161.55599999999998</v>
      </c>
      <c r="F213" s="14"/>
      <c r="G213" s="15">
        <f t="shared" si="15"/>
        <v>0</v>
      </c>
      <c r="H213" s="34">
        <v>12</v>
      </c>
      <c r="I213" s="15">
        <f t="shared" si="17"/>
        <v>178.792</v>
      </c>
      <c r="J213" s="14"/>
      <c r="K213" s="13" t="s">
        <v>888</v>
      </c>
    </row>
    <row r="214" spans="1:11" ht="12.6" customHeight="1" x14ac:dyDescent="0.2">
      <c r="A214" s="13"/>
      <c r="B214" s="19" t="s">
        <v>87</v>
      </c>
      <c r="C214" s="15"/>
      <c r="D214" s="14">
        <v>3</v>
      </c>
      <c r="E214" s="15">
        <f t="shared" si="16"/>
        <v>158.55599999999998</v>
      </c>
      <c r="F214" s="14"/>
      <c r="G214" s="15">
        <f t="shared" si="15"/>
        <v>0</v>
      </c>
      <c r="H214" s="14"/>
      <c r="I214" s="15">
        <f t="shared" si="17"/>
        <v>178.792</v>
      </c>
      <c r="J214" s="14"/>
      <c r="K214" s="16" t="s">
        <v>537</v>
      </c>
    </row>
    <row r="215" spans="1:11" ht="12.6" customHeight="1" x14ac:dyDescent="0.2">
      <c r="A215" s="13">
        <v>43841</v>
      </c>
      <c r="B215" s="19"/>
      <c r="C215" s="15">
        <v>12.5</v>
      </c>
      <c r="D215" s="14"/>
      <c r="E215" s="15">
        <f t="shared" si="16"/>
        <v>171.05599999999998</v>
      </c>
      <c r="F215" s="14"/>
      <c r="G215" s="15">
        <f t="shared" si="15"/>
        <v>12.5</v>
      </c>
      <c r="H215" s="14"/>
      <c r="I215" s="15">
        <f t="shared" si="17"/>
        <v>191.292</v>
      </c>
      <c r="J215" s="14"/>
      <c r="K215" s="13"/>
    </row>
    <row r="216" spans="1:11" ht="12.6" customHeight="1" x14ac:dyDescent="0.2">
      <c r="A216" s="13"/>
      <c r="B216" s="19" t="s">
        <v>91</v>
      </c>
      <c r="C216" s="15"/>
      <c r="D216" s="14">
        <v>30</v>
      </c>
      <c r="E216" s="15">
        <f t="shared" si="16"/>
        <v>141.05599999999998</v>
      </c>
      <c r="F216" s="14"/>
      <c r="G216" s="15">
        <f t="shared" si="15"/>
        <v>0</v>
      </c>
      <c r="H216" s="14"/>
      <c r="I216" s="15">
        <f t="shared" si="17"/>
        <v>191.292</v>
      </c>
      <c r="J216" s="14"/>
      <c r="K216" s="75" t="s">
        <v>890</v>
      </c>
    </row>
    <row r="217" spans="1:11" ht="12.6" customHeight="1" x14ac:dyDescent="0.2">
      <c r="A217" s="19"/>
      <c r="B217" s="19"/>
      <c r="C217" s="15">
        <f>SUM(C191:C216)</f>
        <v>57.5</v>
      </c>
      <c r="D217" s="15">
        <f>SUM(D191:D216)</f>
        <v>70</v>
      </c>
      <c r="E217" s="36"/>
      <c r="F217" s="39"/>
      <c r="G217" s="15">
        <f>SUM(G191:G216)</f>
        <v>57.5</v>
      </c>
      <c r="H217" s="15">
        <f>SUM(H191:H216)</f>
        <v>40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MARASIGAN, JAIME R.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JANUARY 18, 1999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43842</v>
      </c>
      <c r="B230" s="19"/>
      <c r="C230" s="15">
        <v>1.25</v>
      </c>
      <c r="D230" s="14"/>
      <c r="E230" s="15">
        <f>E216+C230-D230</f>
        <v>142.30599999999998</v>
      </c>
      <c r="F230" s="14"/>
      <c r="G230" s="15">
        <f>C230</f>
        <v>1.25</v>
      </c>
      <c r="H230" s="14"/>
      <c r="I230" s="15">
        <f>I216+G230-H230</f>
        <v>192.542</v>
      </c>
      <c r="J230" s="14"/>
      <c r="K230" s="16"/>
    </row>
    <row r="231" spans="1:11" ht="12.6" customHeight="1" x14ac:dyDescent="0.2">
      <c r="A231" s="13"/>
      <c r="B231" s="19" t="s">
        <v>65</v>
      </c>
      <c r="C231" s="15"/>
      <c r="D231" s="14">
        <v>5</v>
      </c>
      <c r="E231" s="15">
        <f>E230+C231-D231</f>
        <v>137.30599999999998</v>
      </c>
      <c r="F231" s="14"/>
      <c r="G231" s="15">
        <f t="shared" ref="G231:G255" si="18">C231</f>
        <v>0</v>
      </c>
      <c r="H231" s="14"/>
      <c r="I231" s="15">
        <f>I230+G231-H231</f>
        <v>192.542</v>
      </c>
      <c r="J231" s="14"/>
      <c r="K231" s="13" t="s">
        <v>891</v>
      </c>
    </row>
    <row r="232" spans="1:11" ht="12.6" customHeight="1" x14ac:dyDescent="0.2">
      <c r="A232" s="13">
        <v>44197</v>
      </c>
      <c r="B232" s="19"/>
      <c r="C232" s="15">
        <v>1.25</v>
      </c>
      <c r="D232" s="14"/>
      <c r="E232" s="15">
        <f t="shared" ref="E232:E255" si="19">E231+C232-D232</f>
        <v>138.55599999999998</v>
      </c>
      <c r="F232" s="14"/>
      <c r="G232" s="15">
        <f t="shared" si="18"/>
        <v>1.25</v>
      </c>
      <c r="H232" s="14"/>
      <c r="I232" s="15">
        <f t="shared" ref="I232:I255" si="20">I231+G232-H232</f>
        <v>193.792</v>
      </c>
      <c r="J232" s="14"/>
      <c r="K232" s="13"/>
    </row>
    <row r="233" spans="1:11" ht="12.6" customHeight="1" x14ac:dyDescent="0.2">
      <c r="A233" s="13">
        <v>44562</v>
      </c>
      <c r="B233" s="19"/>
      <c r="C233" s="15">
        <v>15</v>
      </c>
      <c r="D233" s="14"/>
      <c r="E233" s="15">
        <f t="shared" si="19"/>
        <v>153.55599999999998</v>
      </c>
      <c r="F233" s="14"/>
      <c r="G233" s="15">
        <f t="shared" si="18"/>
        <v>15</v>
      </c>
      <c r="H233" s="14"/>
      <c r="I233" s="15">
        <f t="shared" si="20"/>
        <v>208.792</v>
      </c>
      <c r="J233" s="14"/>
      <c r="K233" s="16"/>
    </row>
    <row r="234" spans="1:11" ht="12.6" customHeight="1" x14ac:dyDescent="0.2">
      <c r="A234" s="13"/>
      <c r="B234" s="19" t="s">
        <v>65</v>
      </c>
      <c r="C234" s="15"/>
      <c r="D234" s="14">
        <v>5</v>
      </c>
      <c r="E234" s="15">
        <f t="shared" si="19"/>
        <v>148.55599999999998</v>
      </c>
      <c r="F234" s="14"/>
      <c r="G234" s="15">
        <f t="shared" si="18"/>
        <v>0</v>
      </c>
      <c r="H234" s="14"/>
      <c r="I234" s="15">
        <f t="shared" si="20"/>
        <v>208.792</v>
      </c>
      <c r="J234" s="14"/>
      <c r="K234" s="13" t="s">
        <v>892</v>
      </c>
    </row>
    <row r="235" spans="1:11" ht="12.6" customHeight="1" x14ac:dyDescent="0.2">
      <c r="A235" s="13">
        <v>44927</v>
      </c>
      <c r="B235" s="19"/>
      <c r="C235" s="15">
        <v>15</v>
      </c>
      <c r="D235" s="14"/>
      <c r="E235" s="15">
        <f t="shared" si="19"/>
        <v>163.55599999999998</v>
      </c>
      <c r="F235" s="14"/>
      <c r="G235" s="15">
        <f t="shared" si="18"/>
        <v>15</v>
      </c>
      <c r="H235" s="14"/>
      <c r="I235" s="15">
        <f t="shared" si="20"/>
        <v>223.792</v>
      </c>
      <c r="J235" s="14"/>
      <c r="K235" s="16"/>
    </row>
    <row r="236" spans="1:11" ht="12.6" customHeight="1" x14ac:dyDescent="0.2">
      <c r="A236" s="13"/>
      <c r="B236" s="19" t="s">
        <v>65</v>
      </c>
      <c r="C236" s="15"/>
      <c r="D236" s="14">
        <v>5</v>
      </c>
      <c r="E236" s="15">
        <f t="shared" si="19"/>
        <v>158.55599999999998</v>
      </c>
      <c r="F236" s="14"/>
      <c r="G236" s="15">
        <f t="shared" si="18"/>
        <v>0</v>
      </c>
      <c r="H236" s="14"/>
      <c r="I236" s="15">
        <f t="shared" si="20"/>
        <v>223.792</v>
      </c>
      <c r="J236" s="14"/>
      <c r="K236" s="13" t="s">
        <v>779</v>
      </c>
    </row>
    <row r="237" spans="1:11" ht="12.6" customHeight="1" x14ac:dyDescent="0.2">
      <c r="A237" s="13">
        <v>45292</v>
      </c>
      <c r="B237" s="19"/>
      <c r="C237" s="15">
        <v>15</v>
      </c>
      <c r="D237" s="14"/>
      <c r="E237" s="15">
        <f t="shared" si="19"/>
        <v>173.55599999999998</v>
      </c>
      <c r="F237" s="14"/>
      <c r="G237" s="15">
        <f t="shared" si="18"/>
        <v>15</v>
      </c>
      <c r="H237" s="14"/>
      <c r="I237" s="15">
        <f t="shared" si="20"/>
        <v>238.792</v>
      </c>
      <c r="J237" s="14"/>
      <c r="K237" s="13"/>
    </row>
    <row r="238" spans="1:11" ht="12.6" customHeight="1" x14ac:dyDescent="0.2">
      <c r="A238" s="13"/>
      <c r="B238" s="19" t="s">
        <v>65</v>
      </c>
      <c r="C238" s="15"/>
      <c r="D238" s="14">
        <v>5</v>
      </c>
      <c r="E238" s="15">
        <f t="shared" si="19"/>
        <v>168.55599999999998</v>
      </c>
      <c r="F238" s="14"/>
      <c r="G238" s="15">
        <f t="shared" si="18"/>
        <v>0</v>
      </c>
      <c r="H238" s="14"/>
      <c r="I238" s="15">
        <f t="shared" si="20"/>
        <v>238.792</v>
      </c>
      <c r="J238" s="14"/>
      <c r="K238" s="16" t="s">
        <v>893</v>
      </c>
    </row>
    <row r="239" spans="1:11" ht="12.6" customHeight="1" x14ac:dyDescent="0.2">
      <c r="A239" s="13">
        <v>45296</v>
      </c>
      <c r="B239" s="19"/>
      <c r="C239" s="15">
        <v>5</v>
      </c>
      <c r="D239" s="14"/>
      <c r="E239" s="15">
        <f t="shared" si="19"/>
        <v>173.55599999999998</v>
      </c>
      <c r="F239" s="14"/>
      <c r="G239" s="15">
        <f t="shared" si="18"/>
        <v>5</v>
      </c>
      <c r="H239" s="14"/>
      <c r="I239" s="15">
        <f t="shared" si="20"/>
        <v>243.792</v>
      </c>
      <c r="J239" s="14"/>
      <c r="K239" s="13"/>
    </row>
    <row r="240" spans="1:11" ht="12.6" customHeight="1" x14ac:dyDescent="0.2">
      <c r="A240" s="13"/>
      <c r="B240" s="19" t="s">
        <v>67</v>
      </c>
      <c r="C240" s="15"/>
      <c r="D240" s="14"/>
      <c r="E240" s="15">
        <f t="shared" si="19"/>
        <v>173.55599999999998</v>
      </c>
      <c r="F240" s="14"/>
      <c r="G240" s="15">
        <f t="shared" si="18"/>
        <v>0</v>
      </c>
      <c r="H240" s="14">
        <v>3</v>
      </c>
      <c r="I240" s="15">
        <f t="shared" si="20"/>
        <v>240.792</v>
      </c>
      <c r="J240" s="14"/>
      <c r="K240" s="16" t="s">
        <v>894</v>
      </c>
    </row>
    <row r="241" spans="1:11" ht="12.6" customHeight="1" x14ac:dyDescent="0.2">
      <c r="A241" s="13">
        <v>45298</v>
      </c>
      <c r="B241" s="19"/>
      <c r="C241" s="15">
        <v>2.5</v>
      </c>
      <c r="D241" s="14"/>
      <c r="E241" s="15">
        <f t="shared" si="19"/>
        <v>176.05599999999998</v>
      </c>
      <c r="F241" s="14"/>
      <c r="G241" s="15">
        <f t="shared" si="18"/>
        <v>2.5</v>
      </c>
      <c r="H241" s="14"/>
      <c r="I241" s="15">
        <f t="shared" si="20"/>
        <v>243.292</v>
      </c>
      <c r="J241" s="14"/>
      <c r="K241" s="13"/>
    </row>
    <row r="242" spans="1:11" ht="12.6" customHeight="1" x14ac:dyDescent="0.2">
      <c r="A242" s="13"/>
      <c r="B242" s="19" t="s">
        <v>67</v>
      </c>
      <c r="C242" s="15"/>
      <c r="D242" s="14"/>
      <c r="E242" s="15">
        <f t="shared" si="19"/>
        <v>176.05599999999998</v>
      </c>
      <c r="F242" s="14"/>
      <c r="G242" s="15">
        <f t="shared" si="18"/>
        <v>0</v>
      </c>
      <c r="H242" s="14">
        <v>3</v>
      </c>
      <c r="I242" s="15">
        <f t="shared" si="20"/>
        <v>240.292</v>
      </c>
      <c r="J242" s="14"/>
      <c r="K242" s="13" t="s">
        <v>895</v>
      </c>
    </row>
    <row r="243" spans="1:11" ht="12.6" customHeight="1" x14ac:dyDescent="0.2">
      <c r="A243" s="13">
        <v>45303</v>
      </c>
      <c r="B243" s="19"/>
      <c r="C243" s="15">
        <v>6.25</v>
      </c>
      <c r="D243" s="14"/>
      <c r="E243" s="15">
        <f t="shared" si="19"/>
        <v>182.30599999999998</v>
      </c>
      <c r="F243" s="14"/>
      <c r="G243" s="15">
        <f t="shared" si="18"/>
        <v>6.25</v>
      </c>
      <c r="H243" s="14"/>
      <c r="I243" s="15">
        <f t="shared" si="20"/>
        <v>246.542</v>
      </c>
      <c r="J243" s="14"/>
      <c r="K243" s="13"/>
    </row>
    <row r="244" spans="1:11" ht="12.6" customHeight="1" x14ac:dyDescent="0.2">
      <c r="A244" s="13"/>
      <c r="B244" s="19" t="s">
        <v>91</v>
      </c>
      <c r="C244" s="15"/>
      <c r="D244" s="14"/>
      <c r="E244" s="15">
        <f t="shared" si="19"/>
        <v>182.30599999999998</v>
      </c>
      <c r="F244" s="14"/>
      <c r="G244" s="15">
        <f t="shared" si="18"/>
        <v>0</v>
      </c>
      <c r="H244" s="14">
        <v>30</v>
      </c>
      <c r="I244" s="15">
        <f t="shared" si="20"/>
        <v>216.542</v>
      </c>
      <c r="J244" s="14"/>
      <c r="K244" s="13" t="s">
        <v>896</v>
      </c>
    </row>
    <row r="245" spans="1:11" ht="12.6" customHeight="1" x14ac:dyDescent="0.2">
      <c r="A245" s="13">
        <v>45658</v>
      </c>
      <c r="B245" s="19"/>
      <c r="C245" s="15">
        <v>1.25</v>
      </c>
      <c r="D245" s="14"/>
      <c r="E245" s="15">
        <f t="shared" si="19"/>
        <v>183.55599999999998</v>
      </c>
      <c r="F245" s="14"/>
      <c r="G245" s="15">
        <f t="shared" si="18"/>
        <v>1.25</v>
      </c>
      <c r="H245" s="14"/>
      <c r="I245" s="15">
        <f t="shared" si="20"/>
        <v>217.792</v>
      </c>
      <c r="J245" s="14"/>
      <c r="K245" s="13"/>
    </row>
    <row r="246" spans="1:11" ht="12.6" customHeight="1" x14ac:dyDescent="0.2">
      <c r="A246" s="16"/>
      <c r="B246" s="19" t="s">
        <v>65</v>
      </c>
      <c r="C246" s="15"/>
      <c r="D246" s="14">
        <v>5</v>
      </c>
      <c r="E246" s="15">
        <f t="shared" si="19"/>
        <v>178.55599999999998</v>
      </c>
      <c r="F246" s="14"/>
      <c r="G246" s="15">
        <f t="shared" si="18"/>
        <v>0</v>
      </c>
      <c r="H246" s="14"/>
      <c r="I246" s="15">
        <f t="shared" si="20"/>
        <v>217.792</v>
      </c>
      <c r="J246" s="14"/>
      <c r="K246" s="13" t="s">
        <v>897</v>
      </c>
    </row>
    <row r="247" spans="1:11" ht="12.6" customHeight="1" x14ac:dyDescent="0.2">
      <c r="A247" s="13">
        <v>45668</v>
      </c>
      <c r="B247" s="19"/>
      <c r="C247" s="15">
        <v>12.5</v>
      </c>
      <c r="D247" s="15"/>
      <c r="E247" s="15">
        <f t="shared" si="19"/>
        <v>191.05599999999998</v>
      </c>
      <c r="F247" s="14"/>
      <c r="G247" s="15">
        <f t="shared" si="18"/>
        <v>12.5</v>
      </c>
      <c r="H247" s="14"/>
      <c r="I247" s="15">
        <f t="shared" si="20"/>
        <v>230.292</v>
      </c>
      <c r="J247" s="14"/>
      <c r="K247" s="13"/>
    </row>
    <row r="248" spans="1:11" ht="12.6" customHeight="1" x14ac:dyDescent="0.2">
      <c r="A248" s="13"/>
      <c r="B248" s="19" t="s">
        <v>105</v>
      </c>
      <c r="C248" s="15"/>
      <c r="D248" s="14"/>
      <c r="E248" s="15">
        <f t="shared" si="19"/>
        <v>191.05599999999998</v>
      </c>
      <c r="F248" s="14"/>
      <c r="G248" s="15">
        <f t="shared" si="18"/>
        <v>0</v>
      </c>
      <c r="H248" s="14">
        <v>4</v>
      </c>
      <c r="I248" s="15">
        <f t="shared" si="20"/>
        <v>226.292</v>
      </c>
      <c r="J248" s="14"/>
      <c r="K248" s="13" t="s">
        <v>898</v>
      </c>
    </row>
    <row r="249" spans="1:11" ht="12.6" customHeight="1" x14ac:dyDescent="0.2">
      <c r="A249" s="16"/>
      <c r="B249" s="19" t="s">
        <v>567</v>
      </c>
      <c r="C249" s="15"/>
      <c r="D249" s="15"/>
      <c r="E249" s="15">
        <f t="shared" si="19"/>
        <v>191.05599999999998</v>
      </c>
      <c r="F249" s="14"/>
      <c r="G249" s="15">
        <f t="shared" si="18"/>
        <v>0</v>
      </c>
      <c r="H249" s="14">
        <v>14</v>
      </c>
      <c r="I249" s="15">
        <f t="shared" si="20"/>
        <v>212.292</v>
      </c>
      <c r="J249" s="14"/>
      <c r="K249" s="13" t="s">
        <v>899</v>
      </c>
    </row>
    <row r="250" spans="1:11" ht="12.6" customHeight="1" x14ac:dyDescent="0.2">
      <c r="A250" s="13"/>
      <c r="B250" s="19" t="s">
        <v>90</v>
      </c>
      <c r="C250" s="15"/>
      <c r="D250" s="14"/>
      <c r="E250" s="15">
        <f t="shared" si="19"/>
        <v>191.05599999999998</v>
      </c>
      <c r="F250" s="14"/>
      <c r="G250" s="15">
        <f t="shared" si="18"/>
        <v>0</v>
      </c>
      <c r="H250" s="14"/>
      <c r="I250" s="15">
        <f t="shared" si="20"/>
        <v>212.292</v>
      </c>
      <c r="J250" s="14"/>
      <c r="K250" s="16" t="s">
        <v>900</v>
      </c>
    </row>
    <row r="251" spans="1:11" ht="12.6" customHeight="1" x14ac:dyDescent="0.2">
      <c r="A251" s="13"/>
      <c r="B251" s="19" t="s">
        <v>65</v>
      </c>
      <c r="C251" s="15"/>
      <c r="D251" s="14">
        <v>5</v>
      </c>
      <c r="E251" s="15">
        <f t="shared" si="19"/>
        <v>186.05599999999998</v>
      </c>
      <c r="F251" s="14"/>
      <c r="G251" s="15">
        <f t="shared" si="18"/>
        <v>0</v>
      </c>
      <c r="H251" s="14"/>
      <c r="I251" s="15">
        <f t="shared" si="20"/>
        <v>212.292</v>
      </c>
      <c r="J251" s="14"/>
      <c r="K251" s="13" t="s">
        <v>901</v>
      </c>
    </row>
    <row r="252" spans="1:11" ht="12.6" customHeight="1" x14ac:dyDescent="0.2">
      <c r="A252" s="13">
        <v>45669</v>
      </c>
      <c r="B252" s="19"/>
      <c r="C252" s="15">
        <v>1.25</v>
      </c>
      <c r="D252" s="14"/>
      <c r="E252" s="15">
        <f t="shared" si="19"/>
        <v>187.30599999999998</v>
      </c>
      <c r="F252" s="14"/>
      <c r="G252" s="15">
        <f t="shared" si="18"/>
        <v>1.25</v>
      </c>
      <c r="H252" s="14"/>
      <c r="I252" s="15">
        <f t="shared" si="20"/>
        <v>213.542</v>
      </c>
      <c r="J252" s="14"/>
      <c r="K252" s="13"/>
    </row>
    <row r="253" spans="1:11" ht="12.6" customHeight="1" x14ac:dyDescent="0.2">
      <c r="A253" s="13"/>
      <c r="B253" s="19" t="s">
        <v>903</v>
      </c>
      <c r="C253" s="15"/>
      <c r="D253" s="14"/>
      <c r="E253" s="15">
        <f t="shared" si="19"/>
        <v>187.30599999999998</v>
      </c>
      <c r="F253" s="14"/>
      <c r="G253" s="15">
        <f t="shared" si="18"/>
        <v>0</v>
      </c>
      <c r="H253" s="14">
        <v>15</v>
      </c>
      <c r="I253" s="15">
        <f t="shared" si="20"/>
        <v>198.542</v>
      </c>
      <c r="J253" s="14"/>
      <c r="K253" s="13" t="s">
        <v>902</v>
      </c>
    </row>
    <row r="254" spans="1:11" ht="12.6" customHeight="1" x14ac:dyDescent="0.2">
      <c r="A254" s="13">
        <v>46024</v>
      </c>
      <c r="B254" s="19"/>
      <c r="C254" s="15">
        <v>2.5</v>
      </c>
      <c r="D254" s="14"/>
      <c r="E254" s="15">
        <f t="shared" si="19"/>
        <v>189.80599999999998</v>
      </c>
      <c r="F254" s="14"/>
      <c r="G254" s="15">
        <f t="shared" si="18"/>
        <v>2.5</v>
      </c>
      <c r="H254" s="14"/>
      <c r="I254" s="15">
        <f t="shared" si="20"/>
        <v>201.042</v>
      </c>
      <c r="J254" s="14"/>
      <c r="K254" s="16"/>
    </row>
    <row r="255" spans="1:11" ht="12.6" customHeight="1" x14ac:dyDescent="0.2">
      <c r="A255" s="13"/>
      <c r="B255" s="19" t="s">
        <v>47</v>
      </c>
      <c r="C255" s="15"/>
      <c r="D255" s="14"/>
      <c r="E255" s="15">
        <f t="shared" si="19"/>
        <v>189.80599999999998</v>
      </c>
      <c r="F255" s="14"/>
      <c r="G255" s="15">
        <f t="shared" si="18"/>
        <v>0</v>
      </c>
      <c r="H255" s="14">
        <v>1</v>
      </c>
      <c r="I255" s="15">
        <f t="shared" si="20"/>
        <v>200.042</v>
      </c>
      <c r="J255" s="14"/>
      <c r="K255" s="16" t="s">
        <v>904</v>
      </c>
    </row>
    <row r="256" spans="1:11" ht="12.6" customHeight="1" x14ac:dyDescent="0.2">
      <c r="A256" s="19"/>
      <c r="B256" s="19"/>
      <c r="C256" s="36">
        <f>SUM(C230:C255)</f>
        <v>78.75</v>
      </c>
      <c r="D256" s="36">
        <f>SUM(D230:D255)</f>
        <v>30</v>
      </c>
      <c r="E256" s="36"/>
      <c r="F256" s="37"/>
      <c r="G256" s="36">
        <f>SUM(G230:G255)</f>
        <v>78.75</v>
      </c>
      <c r="H256" s="36">
        <f>SUM(H230:H255)</f>
        <v>70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MARASIGAN, JAIME R.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JANUARY 18, 1999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387</v>
      </c>
      <c r="C265" s="15"/>
      <c r="D265" s="14"/>
      <c r="E265" s="15">
        <f>E255+C265-D265</f>
        <v>189.80599999999998</v>
      </c>
      <c r="F265" s="14"/>
      <c r="G265" s="15">
        <f>C265</f>
        <v>0</v>
      </c>
      <c r="H265" s="14">
        <v>8</v>
      </c>
      <c r="I265" s="15">
        <f>I255+G265-H265</f>
        <v>192.042</v>
      </c>
      <c r="J265" s="14"/>
      <c r="K265" s="16" t="s">
        <v>923</v>
      </c>
    </row>
    <row r="266" spans="1:11" ht="12.6" customHeight="1" x14ac:dyDescent="0.2">
      <c r="A266" s="13">
        <v>46025</v>
      </c>
      <c r="B266" s="19"/>
      <c r="C266" s="15">
        <v>1.25</v>
      </c>
      <c r="D266" s="14"/>
      <c r="E266" s="15">
        <f t="shared" ref="E266" si="21">E265+C266-D266</f>
        <v>191.05599999999998</v>
      </c>
      <c r="F266" s="14"/>
      <c r="G266" s="15">
        <f t="shared" ref="G266" si="22">C266</f>
        <v>1.25</v>
      </c>
      <c r="H266" s="14"/>
      <c r="I266" s="15">
        <f t="shared" ref="I266" si="23">I265+G266-H266</f>
        <v>193.292</v>
      </c>
      <c r="J266" s="14"/>
      <c r="K266" s="16" t="s">
        <v>910</v>
      </c>
    </row>
    <row r="267" spans="1:11" ht="12.6" customHeight="1" x14ac:dyDescent="0.2">
      <c r="A267" s="13"/>
      <c r="B267" s="19"/>
      <c r="C267" s="15"/>
      <c r="D267" s="14"/>
      <c r="E267" s="15"/>
      <c r="F267" s="14"/>
      <c r="G267" s="15"/>
      <c r="H267" s="14"/>
      <c r="I267" s="15"/>
      <c r="J267" s="14"/>
      <c r="K267" s="13"/>
    </row>
    <row r="268" spans="1:11" ht="12.6" customHeight="1" x14ac:dyDescent="0.2">
      <c r="A268" s="13"/>
      <c r="B268" s="19"/>
      <c r="C268" s="15"/>
      <c r="D268" s="14"/>
      <c r="E268" s="15"/>
      <c r="F268" s="14"/>
      <c r="G268" s="15"/>
      <c r="H268" s="14"/>
      <c r="I268" s="15"/>
      <c r="J268" s="14"/>
      <c r="K268" s="16"/>
    </row>
    <row r="269" spans="1:11" ht="12.6" customHeight="1" x14ac:dyDescent="0.2">
      <c r="A269" s="13"/>
      <c r="B269" s="19"/>
      <c r="C269" s="15"/>
      <c r="D269" s="14"/>
      <c r="E269" s="15"/>
      <c r="F269" s="14"/>
      <c r="G269" s="15"/>
      <c r="H269" s="14"/>
      <c r="I269" s="15"/>
      <c r="J269" s="14"/>
      <c r="K269" s="13"/>
    </row>
    <row r="270" spans="1:11" ht="12.6" customHeight="1" x14ac:dyDescent="0.2">
      <c r="A270" s="13"/>
      <c r="B270" s="19"/>
      <c r="C270" s="15"/>
      <c r="D270" s="14"/>
      <c r="E270" s="15"/>
      <c r="F270" s="14"/>
      <c r="G270" s="15"/>
      <c r="H270" s="14"/>
      <c r="I270" s="15"/>
      <c r="J270" s="14"/>
      <c r="K270" s="16"/>
    </row>
    <row r="271" spans="1:11" ht="12.6" customHeight="1" x14ac:dyDescent="0.2">
      <c r="A271" s="13"/>
      <c r="B271" s="19"/>
      <c r="C271" s="15"/>
      <c r="D271" s="14"/>
      <c r="E271" s="15"/>
      <c r="F271" s="14"/>
      <c r="G271" s="15"/>
      <c r="H271" s="14"/>
      <c r="I271" s="15"/>
      <c r="J271" s="14"/>
      <c r="K271" s="13"/>
    </row>
    <row r="272" spans="1:11" ht="12.6" customHeight="1" x14ac:dyDescent="0.2">
      <c r="A272" s="13"/>
      <c r="B272" s="19"/>
      <c r="C272" s="15"/>
      <c r="D272" s="14"/>
      <c r="E272" s="15"/>
      <c r="F272" s="14"/>
      <c r="G272" s="15"/>
      <c r="H272" s="14"/>
      <c r="I272" s="15"/>
      <c r="J272" s="14"/>
      <c r="K272" s="13"/>
    </row>
    <row r="273" spans="1:11" ht="12.6" customHeight="1" x14ac:dyDescent="0.2">
      <c r="A273" s="13"/>
      <c r="B273" s="19"/>
      <c r="C273" s="15"/>
      <c r="D273" s="14"/>
      <c r="E273" s="15"/>
      <c r="F273" s="14"/>
      <c r="G273" s="15"/>
      <c r="H273" s="14"/>
      <c r="I273" s="15"/>
      <c r="J273" s="14"/>
      <c r="K273" s="16"/>
    </row>
    <row r="274" spans="1:11" ht="12.6" customHeight="1" x14ac:dyDescent="0.2">
      <c r="A274" s="13"/>
      <c r="B274" s="19"/>
      <c r="C274" s="15"/>
      <c r="D274" s="14"/>
      <c r="E274" s="15"/>
      <c r="F274" s="14"/>
      <c r="G274" s="15"/>
      <c r="H274" s="14"/>
      <c r="I274" s="15"/>
      <c r="J274" s="14"/>
      <c r="K274" s="16"/>
    </row>
    <row r="275" spans="1:11" ht="12.6" customHeight="1" x14ac:dyDescent="0.2">
      <c r="A275" s="13"/>
      <c r="B275" s="19"/>
      <c r="C275" s="15"/>
      <c r="D275" s="14"/>
      <c r="E275" s="15"/>
      <c r="F275" s="14"/>
      <c r="G275" s="15"/>
      <c r="H275" s="14"/>
      <c r="I275" s="15"/>
      <c r="J275" s="14"/>
      <c r="K275" s="13"/>
    </row>
    <row r="276" spans="1:11" ht="12.6" customHeight="1" x14ac:dyDescent="0.2">
      <c r="A276" s="13"/>
      <c r="B276" s="19"/>
      <c r="C276" s="15"/>
      <c r="D276" s="14"/>
      <c r="E276" s="15"/>
      <c r="F276" s="14"/>
      <c r="G276" s="15"/>
      <c r="H276" s="14"/>
      <c r="I276" s="15"/>
      <c r="J276" s="14"/>
      <c r="K276" s="13"/>
    </row>
    <row r="277" spans="1:11" ht="12.6" customHeight="1" x14ac:dyDescent="0.2">
      <c r="A277" s="13"/>
      <c r="B277" s="19"/>
      <c r="C277" s="15"/>
      <c r="D277" s="14"/>
      <c r="E277" s="15"/>
      <c r="F277" s="14"/>
      <c r="G277" s="15"/>
      <c r="H277" s="14"/>
      <c r="I277" s="15"/>
      <c r="J277" s="14"/>
      <c r="K277" s="13"/>
    </row>
    <row r="278" spans="1:11" ht="12.6" customHeight="1" x14ac:dyDescent="0.2">
      <c r="A278" s="13"/>
      <c r="B278" s="19"/>
      <c r="C278" s="15"/>
      <c r="D278" s="14"/>
      <c r="E278" s="15"/>
      <c r="F278" s="14"/>
      <c r="G278" s="15"/>
      <c r="H278" s="14"/>
      <c r="I278" s="15"/>
      <c r="J278" s="14"/>
      <c r="K278" s="13"/>
    </row>
    <row r="279" spans="1:11" ht="12.6" customHeight="1" x14ac:dyDescent="0.2">
      <c r="A279" s="13"/>
      <c r="B279" s="19"/>
      <c r="C279" s="15"/>
      <c r="D279" s="14"/>
      <c r="E279" s="15"/>
      <c r="F279" s="14"/>
      <c r="G279" s="15"/>
      <c r="H279" s="14"/>
      <c r="I279" s="15"/>
      <c r="J279" s="14"/>
      <c r="K279" s="13"/>
    </row>
    <row r="280" spans="1:11" ht="12.6" customHeight="1" x14ac:dyDescent="0.2">
      <c r="A280" s="13"/>
      <c r="B280" s="19"/>
      <c r="C280" s="15"/>
      <c r="D280" s="14"/>
      <c r="E280" s="15"/>
      <c r="F280" s="14"/>
      <c r="G280" s="15"/>
      <c r="H280" s="14"/>
      <c r="I280" s="15"/>
      <c r="J280" s="14"/>
      <c r="K280" s="13"/>
    </row>
    <row r="281" spans="1:11" ht="12.6" customHeight="1" x14ac:dyDescent="0.2">
      <c r="A281" s="13"/>
      <c r="B281" s="19"/>
      <c r="C281" s="15"/>
      <c r="D281" s="14"/>
      <c r="E281" s="15"/>
      <c r="F281" s="14"/>
      <c r="G281" s="15"/>
      <c r="H281" s="14"/>
      <c r="I281" s="15"/>
      <c r="J281" s="14"/>
      <c r="K281" s="13"/>
    </row>
    <row r="282" spans="1:11" ht="12.6" customHeight="1" x14ac:dyDescent="0.2">
      <c r="A282" s="13"/>
      <c r="B282" s="19"/>
      <c r="C282" s="15"/>
      <c r="D282" s="15"/>
      <c r="E282" s="15"/>
      <c r="F282" s="14"/>
      <c r="G282" s="15"/>
      <c r="H282" s="14"/>
      <c r="I282" s="15"/>
      <c r="J282" s="14"/>
      <c r="K282" s="13"/>
    </row>
    <row r="283" spans="1:11" ht="12.6" customHeight="1" x14ac:dyDescent="0.2">
      <c r="A283" s="13"/>
      <c r="B283" s="19"/>
      <c r="C283" s="15"/>
      <c r="D283" s="14"/>
      <c r="E283" s="15"/>
      <c r="F283" s="14"/>
      <c r="G283" s="15"/>
      <c r="H283" s="14"/>
      <c r="I283" s="15"/>
      <c r="J283" s="14"/>
      <c r="K283" s="16"/>
    </row>
    <row r="284" spans="1:11" ht="12.6" customHeight="1" x14ac:dyDescent="0.2">
      <c r="A284" s="13"/>
      <c r="B284" s="19"/>
      <c r="C284" s="15"/>
      <c r="D284" s="15"/>
      <c r="E284" s="15"/>
      <c r="F284" s="14"/>
      <c r="G284" s="15"/>
      <c r="H284" s="14"/>
      <c r="I284" s="15"/>
      <c r="J284" s="14"/>
      <c r="K284" s="13"/>
    </row>
    <row r="285" spans="1:11" ht="12.6" customHeight="1" x14ac:dyDescent="0.2">
      <c r="A285" s="13"/>
      <c r="B285" s="19"/>
      <c r="C285" s="15"/>
      <c r="D285" s="14"/>
      <c r="E285" s="15"/>
      <c r="F285" s="14"/>
      <c r="G285" s="15"/>
      <c r="H285" s="14"/>
      <c r="I285" s="15"/>
      <c r="J285" s="14"/>
      <c r="K285" s="16"/>
    </row>
    <row r="286" spans="1:11" ht="12.6" customHeight="1" x14ac:dyDescent="0.2">
      <c r="A286" s="13"/>
      <c r="B286" s="19"/>
      <c r="C286" s="15"/>
      <c r="D286" s="14"/>
      <c r="E286" s="15"/>
      <c r="F286" s="14"/>
      <c r="G286" s="15"/>
      <c r="H286" s="14"/>
      <c r="I286" s="15"/>
      <c r="J286" s="14"/>
      <c r="K286" s="13"/>
    </row>
    <row r="287" spans="1:11" ht="12.6" customHeight="1" x14ac:dyDescent="0.2">
      <c r="A287" s="13"/>
      <c r="B287" s="19"/>
      <c r="C287" s="15"/>
      <c r="D287" s="14"/>
      <c r="E287" s="15"/>
      <c r="F287" s="14"/>
      <c r="G287" s="15"/>
      <c r="H287" s="14"/>
      <c r="I287" s="15"/>
      <c r="J287" s="14"/>
      <c r="K287" s="13"/>
    </row>
    <row r="288" spans="1:11" ht="12.6" customHeight="1" x14ac:dyDescent="0.2">
      <c r="A288" s="13"/>
      <c r="B288" s="19"/>
      <c r="C288" s="15"/>
      <c r="D288" s="14"/>
      <c r="E288" s="15"/>
      <c r="F288" s="14"/>
      <c r="G288" s="15"/>
      <c r="H288" s="14"/>
      <c r="I288" s="15"/>
      <c r="J288" s="14"/>
      <c r="K288" s="13"/>
    </row>
    <row r="289" spans="1:11" ht="12.6" customHeight="1" x14ac:dyDescent="0.2">
      <c r="A289" s="13"/>
      <c r="B289" s="19"/>
      <c r="C289" s="15"/>
      <c r="D289" s="14"/>
      <c r="E289" s="15"/>
      <c r="F289" s="14"/>
      <c r="G289" s="15"/>
      <c r="H289" s="14"/>
      <c r="I289" s="15"/>
      <c r="J289" s="14"/>
      <c r="K289" s="13"/>
    </row>
    <row r="290" spans="1:11" ht="12.6" customHeight="1" x14ac:dyDescent="0.2">
      <c r="A290" s="13"/>
      <c r="B290" s="19"/>
      <c r="C290" s="15"/>
      <c r="D290" s="14"/>
      <c r="E290" s="15"/>
      <c r="F290" s="14"/>
      <c r="G290" s="15"/>
      <c r="H290" s="14"/>
      <c r="I290" s="15"/>
      <c r="J290" s="14"/>
      <c r="K290" s="16"/>
    </row>
    <row r="291" spans="1:11" ht="12.6" customHeight="1" x14ac:dyDescent="0.2">
      <c r="A291" s="19"/>
      <c r="B291" s="19"/>
      <c r="C291" s="36">
        <f>SUM(C265:C290)</f>
        <v>1.25</v>
      </c>
      <c r="D291" s="36">
        <f>SUM(D265:D290)</f>
        <v>0</v>
      </c>
      <c r="E291" s="36"/>
      <c r="F291" s="37"/>
      <c r="G291" s="36">
        <f>SUM(G265:G290)</f>
        <v>1.25</v>
      </c>
      <c r="H291" s="36">
        <f>SUM(H265:H290)</f>
        <v>8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C298" s="26">
        <f>SUM(C291+C256+C217+C182+C143+C108+C69+C34)</f>
        <v>406.79200000000003</v>
      </c>
      <c r="D298" s="74">
        <f>SUM(D291+D256+D217+D182+D143+D108+D69+D34)</f>
        <v>215.73600000000002</v>
      </c>
      <c r="E298" s="46"/>
      <c r="G298" s="26">
        <f>SUM(G291+G256+G217+G182+G143+G108+G69+G34)</f>
        <v>406.79200000000003</v>
      </c>
      <c r="H298" s="26">
        <f>SUM(H291+H256+H217+H182+H143+H108+H69+H34)</f>
        <v>213.5</v>
      </c>
      <c r="I298" s="46"/>
      <c r="K298" s="28">
        <v>319.875</v>
      </c>
    </row>
    <row r="299" spans="1:11" ht="12.6" customHeight="1" x14ac:dyDescent="0.2">
      <c r="K299" s="47">
        <f>G298-K298</f>
        <v>86.91700000000003</v>
      </c>
    </row>
    <row r="302" spans="1:11" x14ac:dyDescent="0.2">
      <c r="B302" s="3" t="s">
        <v>914</v>
      </c>
      <c r="C302" s="44" t="s">
        <v>911</v>
      </c>
      <c r="D302" s="28"/>
      <c r="E302" s="47"/>
      <c r="F302" s="28"/>
    </row>
    <row r="303" spans="1:11" x14ac:dyDescent="0.2">
      <c r="B303" s="85" t="s">
        <v>915</v>
      </c>
      <c r="C303" s="44" t="s">
        <v>912</v>
      </c>
      <c r="D303" s="28"/>
      <c r="E303" s="47"/>
      <c r="F303" s="28"/>
    </row>
    <row r="304" spans="1:11" x14ac:dyDescent="0.2">
      <c r="B304" s="3" t="s">
        <v>916</v>
      </c>
      <c r="C304" s="44" t="s">
        <v>913</v>
      </c>
      <c r="D304" s="28"/>
      <c r="E304" s="47"/>
      <c r="F304" s="28"/>
    </row>
    <row r="308" spans="2:11" ht="12.6" customHeight="1" x14ac:dyDescent="0.2">
      <c r="B308" s="40" t="s">
        <v>33</v>
      </c>
      <c r="E308" s="46"/>
      <c r="F308" s="48">
        <f>C298</f>
        <v>406.79200000000003</v>
      </c>
      <c r="H308" s="48">
        <f>F308</f>
        <v>406.79200000000003</v>
      </c>
    </row>
    <row r="309" spans="2:11" ht="12.6" customHeight="1" x14ac:dyDescent="0.2">
      <c r="B309" s="40" t="s">
        <v>34</v>
      </c>
      <c r="E309" s="46"/>
      <c r="F309" s="48">
        <v>125.5</v>
      </c>
      <c r="H309" s="48">
        <v>118.5</v>
      </c>
    </row>
    <row r="310" spans="2:11" ht="12.6" customHeight="1" x14ac:dyDescent="0.2">
      <c r="B310" s="40" t="s">
        <v>35</v>
      </c>
      <c r="E310" s="46"/>
      <c r="F310" s="49">
        <v>90</v>
      </c>
      <c r="G310" s="50"/>
      <c r="H310" s="49">
        <v>95</v>
      </c>
    </row>
    <row r="311" spans="2:11" ht="12.6" customHeight="1" thickBot="1" x14ac:dyDescent="0.25">
      <c r="B311" s="40" t="s">
        <v>36</v>
      </c>
      <c r="E311" s="46"/>
      <c r="F311" s="51">
        <v>0.23599999999999999</v>
      </c>
      <c r="G311" s="52"/>
      <c r="H311" s="51"/>
    </row>
    <row r="312" spans="2:11" ht="12.6" customHeight="1" thickTop="1" x14ac:dyDescent="0.2">
      <c r="B312" s="40" t="s">
        <v>37</v>
      </c>
      <c r="E312" s="46"/>
      <c r="F312" s="53">
        <f>SUM(F308-F309-F310-F311)</f>
        <v>191.05600000000004</v>
      </c>
      <c r="G312" s="50"/>
      <c r="H312" s="53">
        <f>SUM(H308-H309-H310-H311)</f>
        <v>193.29200000000003</v>
      </c>
      <c r="I312" s="54">
        <f>SUM(H312+F312)</f>
        <v>384.34800000000007</v>
      </c>
    </row>
    <row r="313" spans="2:11" ht="12.6" customHeight="1" x14ac:dyDescent="0.2">
      <c r="E313" s="46"/>
    </row>
    <row r="314" spans="2:11" ht="12.6" customHeight="1" x14ac:dyDescent="0.2">
      <c r="B314" s="1" t="s">
        <v>38</v>
      </c>
      <c r="C314" s="97" t="s">
        <v>39</v>
      </c>
      <c r="D314" s="97"/>
      <c r="E314" s="98" t="s">
        <v>40</v>
      </c>
      <c r="F314" s="98"/>
      <c r="H314" s="99" t="s">
        <v>41</v>
      </c>
      <c r="I314" s="99"/>
      <c r="J314" s="99"/>
    </row>
    <row r="315" spans="2:11" ht="12.6" customHeight="1" thickBot="1" x14ac:dyDescent="0.25">
      <c r="B315" s="70">
        <v>17209</v>
      </c>
      <c r="C315" s="97">
        <f>I312</f>
        <v>384.34800000000007</v>
      </c>
      <c r="D315" s="97"/>
      <c r="E315" s="100">
        <v>4.8192699999999998E-2</v>
      </c>
      <c r="F315" s="100"/>
      <c r="H315" s="110">
        <f>B315*C315*E315</f>
        <v>318758.31209585641</v>
      </c>
      <c r="I315" s="110"/>
      <c r="J315" s="110"/>
      <c r="K315" s="56"/>
    </row>
    <row r="316" spans="2:11" ht="12.6" customHeight="1" thickTop="1" x14ac:dyDescent="0.2"/>
  </sheetData>
  <mergeCells count="86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C314:D314"/>
    <mergeCell ref="E314:F314"/>
    <mergeCell ref="H314:J314"/>
    <mergeCell ref="C315:D315"/>
    <mergeCell ref="E315:F315"/>
    <mergeCell ref="H315:J315"/>
  </mergeCells>
  <pageMargins left="0.25" right="0.25" top="0.75" bottom="0.75" header="0.3" footer="0.3"/>
  <pageSetup paperSize="5" orientation="portrait" horizontalDpi="0" verticalDpi="0" copies="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6"/>
  <sheetViews>
    <sheetView zoomScaleNormal="100" workbookViewId="0">
      <selection activeCell="L28" sqref="L28"/>
    </sheetView>
  </sheetViews>
  <sheetFormatPr defaultColWidth="11" defaultRowHeight="10.199999999999999" x14ac:dyDescent="0.2"/>
  <cols>
    <col min="1" max="1" width="9" style="3" bestFit="1" customWidth="1"/>
    <col min="2" max="2" width="20.44140625" style="3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817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818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36162</v>
      </c>
      <c r="B7" s="14" t="s">
        <v>819</v>
      </c>
      <c r="C7" s="15">
        <v>0.54200000000000004</v>
      </c>
      <c r="D7" s="14"/>
      <c r="E7" s="15">
        <f>C7+D7</f>
        <v>0.54200000000000004</v>
      </c>
      <c r="F7" s="14"/>
      <c r="G7" s="15">
        <f>C7</f>
        <v>0.54200000000000004</v>
      </c>
      <c r="H7" s="14"/>
      <c r="I7" s="15">
        <f>G7+H7</f>
        <v>0.54200000000000004</v>
      </c>
      <c r="J7" s="14"/>
      <c r="K7" s="16"/>
    </row>
    <row r="8" spans="1:11" ht="12.6" customHeight="1" x14ac:dyDescent="0.2">
      <c r="A8" s="13">
        <v>36526</v>
      </c>
      <c r="B8" s="17"/>
      <c r="C8" s="15">
        <v>13.75</v>
      </c>
      <c r="D8" s="18"/>
      <c r="E8" s="15">
        <f>E7+C8-D8</f>
        <v>14.292</v>
      </c>
      <c r="F8" s="14"/>
      <c r="G8" s="15">
        <f t="shared" ref="G8:G33" si="0">C8</f>
        <v>13.75</v>
      </c>
      <c r="H8" s="14"/>
      <c r="I8" s="15">
        <f>I7+G8-H8</f>
        <v>14.292</v>
      </c>
      <c r="J8" s="14"/>
      <c r="K8" s="16"/>
    </row>
    <row r="9" spans="1:11" s="63" customFormat="1" ht="12.6" customHeight="1" x14ac:dyDescent="0.2">
      <c r="A9" s="58"/>
      <c r="B9" s="59" t="s">
        <v>65</v>
      </c>
      <c r="C9" s="60"/>
      <c r="D9" s="61">
        <v>5</v>
      </c>
      <c r="E9" s="60">
        <f t="shared" ref="E9:E33" si="1">E8+C9-D9</f>
        <v>9.2919999999999998</v>
      </c>
      <c r="F9" s="61"/>
      <c r="G9" s="60">
        <f t="shared" si="0"/>
        <v>0</v>
      </c>
      <c r="H9" s="61"/>
      <c r="I9" s="60">
        <f t="shared" ref="I9:I34" si="2">I8+G9-H9</f>
        <v>14.292</v>
      </c>
      <c r="J9" s="61"/>
      <c r="K9" s="64" t="s">
        <v>92</v>
      </c>
    </row>
    <row r="10" spans="1:11" ht="12.6" customHeight="1" x14ac:dyDescent="0.2">
      <c r="A10" s="13">
        <v>36530</v>
      </c>
      <c r="B10" s="19"/>
      <c r="C10" s="15">
        <v>5</v>
      </c>
      <c r="D10" s="14"/>
      <c r="E10" s="15">
        <f t="shared" si="1"/>
        <v>14.292</v>
      </c>
      <c r="F10" s="14"/>
      <c r="G10" s="15">
        <f t="shared" si="0"/>
        <v>5</v>
      </c>
      <c r="H10" s="14"/>
      <c r="I10" s="15">
        <f t="shared" si="2"/>
        <v>19.292000000000002</v>
      </c>
      <c r="J10" s="14"/>
      <c r="K10" s="13"/>
    </row>
    <row r="11" spans="1:11" ht="12.6" customHeight="1" x14ac:dyDescent="0.2">
      <c r="A11" s="13"/>
      <c r="B11" s="17" t="s">
        <v>47</v>
      </c>
      <c r="C11" s="15"/>
      <c r="D11" s="14"/>
      <c r="E11" s="15">
        <f t="shared" si="1"/>
        <v>14.292</v>
      </c>
      <c r="F11" s="14"/>
      <c r="G11" s="15">
        <f t="shared" si="0"/>
        <v>0</v>
      </c>
      <c r="H11" s="14">
        <v>1</v>
      </c>
      <c r="I11" s="15">
        <f t="shared" si="2"/>
        <v>18.292000000000002</v>
      </c>
      <c r="J11" s="14"/>
      <c r="K11" s="13">
        <v>36651</v>
      </c>
    </row>
    <row r="12" spans="1:11" ht="12.6" customHeight="1" x14ac:dyDescent="0.2">
      <c r="A12" s="13">
        <v>36535</v>
      </c>
      <c r="B12" s="19"/>
      <c r="C12" s="15">
        <v>6.25</v>
      </c>
      <c r="D12" s="14"/>
      <c r="E12" s="15">
        <f t="shared" si="1"/>
        <v>20.542000000000002</v>
      </c>
      <c r="F12" s="14"/>
      <c r="G12" s="15">
        <f t="shared" si="0"/>
        <v>6.25</v>
      </c>
      <c r="H12" s="14"/>
      <c r="I12" s="15">
        <f t="shared" si="2"/>
        <v>24.542000000000002</v>
      </c>
      <c r="J12" s="14"/>
      <c r="K12" s="13"/>
    </row>
    <row r="13" spans="1:11" ht="12.6" customHeight="1" x14ac:dyDescent="0.2">
      <c r="A13" s="13"/>
      <c r="B13" s="17"/>
      <c r="C13" s="15"/>
      <c r="D13" s="14"/>
      <c r="E13" s="15">
        <f t="shared" si="1"/>
        <v>20.542000000000002</v>
      </c>
      <c r="F13" s="14"/>
      <c r="G13" s="15">
        <f t="shared" si="0"/>
        <v>0</v>
      </c>
      <c r="H13" s="14"/>
      <c r="I13" s="15">
        <f t="shared" si="2"/>
        <v>24.542000000000002</v>
      </c>
      <c r="J13" s="14"/>
      <c r="K13" s="13"/>
    </row>
    <row r="14" spans="1:11" ht="12.6" customHeight="1" x14ac:dyDescent="0.2">
      <c r="A14" s="13"/>
      <c r="B14" s="17" t="s">
        <v>90</v>
      </c>
      <c r="C14" s="15"/>
      <c r="D14" s="14"/>
      <c r="E14" s="15">
        <f t="shared" si="1"/>
        <v>20.542000000000002</v>
      </c>
      <c r="F14" s="14"/>
      <c r="G14" s="15">
        <f t="shared" si="0"/>
        <v>0</v>
      </c>
      <c r="H14" s="14"/>
      <c r="I14" s="15">
        <f t="shared" si="2"/>
        <v>24.542000000000002</v>
      </c>
      <c r="J14" s="14"/>
      <c r="K14" s="13" t="s">
        <v>820</v>
      </c>
    </row>
    <row r="15" spans="1:11" ht="12.6" customHeight="1" x14ac:dyDescent="0.2">
      <c r="A15" s="13"/>
      <c r="B15" s="17" t="str">
        <f>+B11</f>
        <v>(01-00-00) SL</v>
      </c>
      <c r="C15" s="15"/>
      <c r="D15" s="14"/>
      <c r="E15" s="15">
        <f t="shared" si="1"/>
        <v>20.542000000000002</v>
      </c>
      <c r="F15" s="14"/>
      <c r="G15" s="15">
        <f t="shared" si="0"/>
        <v>0</v>
      </c>
      <c r="H15" s="14">
        <v>1</v>
      </c>
      <c r="I15" s="15">
        <f t="shared" si="2"/>
        <v>23.542000000000002</v>
      </c>
      <c r="J15" s="14"/>
      <c r="K15" s="13" t="s">
        <v>821</v>
      </c>
    </row>
    <row r="16" spans="1:11" ht="12.6" customHeight="1" x14ac:dyDescent="0.2">
      <c r="A16" s="13">
        <v>36892</v>
      </c>
      <c r="B16" s="19"/>
      <c r="C16" s="15">
        <v>3.75</v>
      </c>
      <c r="D16" s="14"/>
      <c r="E16" s="15">
        <f t="shared" si="1"/>
        <v>24.292000000000002</v>
      </c>
      <c r="F16" s="14"/>
      <c r="G16" s="15">
        <f t="shared" si="0"/>
        <v>3.75</v>
      </c>
      <c r="H16" s="14"/>
      <c r="I16" s="15">
        <f t="shared" si="2"/>
        <v>27.292000000000002</v>
      </c>
      <c r="J16" s="14"/>
      <c r="K16" s="13"/>
    </row>
    <row r="17" spans="1:11" ht="12.6" customHeight="1" x14ac:dyDescent="0.2">
      <c r="A17" s="13"/>
      <c r="B17" s="17" t="s">
        <v>65</v>
      </c>
      <c r="C17" s="15"/>
      <c r="D17" s="14">
        <v>5</v>
      </c>
      <c r="E17" s="15">
        <f t="shared" si="1"/>
        <v>19.292000000000002</v>
      </c>
      <c r="F17" s="14"/>
      <c r="G17" s="15">
        <f t="shared" si="0"/>
        <v>0</v>
      </c>
      <c r="H17" s="14"/>
      <c r="I17" s="15">
        <f t="shared" si="2"/>
        <v>27.292000000000002</v>
      </c>
      <c r="J17" s="14"/>
      <c r="K17" s="13" t="s">
        <v>93</v>
      </c>
    </row>
    <row r="18" spans="1:11" ht="12.6" customHeight="1" x14ac:dyDescent="0.2">
      <c r="A18" s="13">
        <v>36894</v>
      </c>
      <c r="B18" s="17"/>
      <c r="C18" s="15">
        <v>2.5</v>
      </c>
      <c r="D18" s="14"/>
      <c r="E18" s="15">
        <f t="shared" si="1"/>
        <v>21.792000000000002</v>
      </c>
      <c r="F18" s="14"/>
      <c r="G18" s="15">
        <f t="shared" si="0"/>
        <v>2.5</v>
      </c>
      <c r="H18" s="14"/>
      <c r="I18" s="15">
        <f t="shared" si="2"/>
        <v>29.792000000000002</v>
      </c>
      <c r="J18" s="14"/>
      <c r="K18" s="13"/>
    </row>
    <row r="19" spans="1:11" ht="12.6" customHeight="1" x14ac:dyDescent="0.2">
      <c r="A19" s="13"/>
      <c r="B19" s="17" t="s">
        <v>166</v>
      </c>
      <c r="C19" s="15"/>
      <c r="D19" s="14"/>
      <c r="E19" s="15">
        <f t="shared" si="1"/>
        <v>21.792000000000002</v>
      </c>
      <c r="F19" s="14"/>
      <c r="G19" s="15">
        <f t="shared" si="0"/>
        <v>0</v>
      </c>
      <c r="H19" s="14"/>
      <c r="I19" s="15">
        <f t="shared" si="2"/>
        <v>29.792000000000002</v>
      </c>
      <c r="J19" s="14"/>
      <c r="K19" s="13" t="s">
        <v>822</v>
      </c>
    </row>
    <row r="20" spans="1:11" ht="12.6" customHeight="1" x14ac:dyDescent="0.2">
      <c r="A20" s="13">
        <v>36896</v>
      </c>
      <c r="B20" s="17"/>
      <c r="C20" s="15">
        <v>2.5</v>
      </c>
      <c r="D20" s="21"/>
      <c r="E20" s="15">
        <f t="shared" si="1"/>
        <v>24.292000000000002</v>
      </c>
      <c r="F20" s="14"/>
      <c r="G20" s="15">
        <f t="shared" si="0"/>
        <v>2.5</v>
      </c>
      <c r="H20" s="14"/>
      <c r="I20" s="15">
        <f t="shared" si="2"/>
        <v>32.292000000000002</v>
      </c>
      <c r="J20" s="14"/>
      <c r="K20" s="13"/>
    </row>
    <row r="21" spans="1:11" ht="12.6" customHeight="1" x14ac:dyDescent="0.2">
      <c r="A21" s="13"/>
      <c r="B21" s="17" t="s">
        <v>56</v>
      </c>
      <c r="C21" s="15"/>
      <c r="D21" s="14">
        <v>4</v>
      </c>
      <c r="E21" s="15">
        <f t="shared" si="1"/>
        <v>20.292000000000002</v>
      </c>
      <c r="F21" s="14"/>
      <c r="G21" s="15">
        <f t="shared" si="0"/>
        <v>0</v>
      </c>
      <c r="H21" s="14"/>
      <c r="I21" s="15">
        <f t="shared" si="2"/>
        <v>32.292000000000002</v>
      </c>
      <c r="J21" s="14"/>
      <c r="K21" s="13" t="s">
        <v>823</v>
      </c>
    </row>
    <row r="22" spans="1:11" ht="12.6" customHeight="1" x14ac:dyDescent="0.2">
      <c r="A22" s="13">
        <v>37257</v>
      </c>
      <c r="B22" s="17"/>
      <c r="C22" s="15">
        <v>10</v>
      </c>
      <c r="D22" s="14"/>
      <c r="E22" s="15">
        <f t="shared" si="1"/>
        <v>30.292000000000002</v>
      </c>
      <c r="F22" s="14"/>
      <c r="G22" s="15">
        <f t="shared" si="0"/>
        <v>10</v>
      </c>
      <c r="H22" s="14"/>
      <c r="I22" s="15">
        <f t="shared" si="2"/>
        <v>42.292000000000002</v>
      </c>
      <c r="J22" s="14"/>
      <c r="K22" s="13"/>
    </row>
    <row r="23" spans="1:11" s="63" customFormat="1" ht="12.6" customHeight="1" x14ac:dyDescent="0.2">
      <c r="A23" s="58"/>
      <c r="B23" s="59" t="s">
        <v>57</v>
      </c>
      <c r="C23" s="60"/>
      <c r="D23" s="61">
        <v>1</v>
      </c>
      <c r="E23" s="60">
        <f t="shared" si="1"/>
        <v>29.292000000000002</v>
      </c>
      <c r="F23" s="61"/>
      <c r="G23" s="60">
        <f t="shared" si="0"/>
        <v>0</v>
      </c>
      <c r="H23" s="61"/>
      <c r="I23" s="60">
        <f t="shared" si="2"/>
        <v>42.292000000000002</v>
      </c>
      <c r="J23" s="61"/>
      <c r="K23" s="58" t="s">
        <v>96</v>
      </c>
    </row>
    <row r="24" spans="1:11" ht="12.6" customHeight="1" x14ac:dyDescent="0.2">
      <c r="A24" s="13"/>
      <c r="B24" s="19" t="s">
        <v>95</v>
      </c>
      <c r="C24" s="15"/>
      <c r="D24" s="14">
        <v>3</v>
      </c>
      <c r="E24" s="15">
        <f t="shared" si="1"/>
        <v>26.292000000000002</v>
      </c>
      <c r="F24" s="14"/>
      <c r="G24" s="15">
        <f t="shared" si="0"/>
        <v>0</v>
      </c>
      <c r="H24" s="14"/>
      <c r="I24" s="15">
        <f t="shared" si="2"/>
        <v>42.292000000000002</v>
      </c>
      <c r="J24" s="14"/>
      <c r="K24" s="13" t="s">
        <v>824</v>
      </c>
    </row>
    <row r="25" spans="1:11" ht="12.6" customHeight="1" x14ac:dyDescent="0.2">
      <c r="A25" s="13">
        <v>37262</v>
      </c>
      <c r="B25" s="17"/>
      <c r="C25" s="15">
        <v>6.25</v>
      </c>
      <c r="D25" s="14"/>
      <c r="E25" s="15">
        <f t="shared" si="1"/>
        <v>32.542000000000002</v>
      </c>
      <c r="F25" s="14"/>
      <c r="G25" s="15">
        <f t="shared" si="0"/>
        <v>6.25</v>
      </c>
      <c r="H25" s="14"/>
      <c r="I25" s="15">
        <f t="shared" si="2"/>
        <v>48.542000000000002</v>
      </c>
      <c r="J25" s="14"/>
      <c r="K25" s="13"/>
    </row>
    <row r="26" spans="1:11" ht="12.6" customHeight="1" x14ac:dyDescent="0.2">
      <c r="A26" s="13"/>
      <c r="B26" s="19" t="s">
        <v>76</v>
      </c>
      <c r="C26" s="15"/>
      <c r="D26" s="14">
        <v>2</v>
      </c>
      <c r="E26" s="15">
        <f t="shared" si="1"/>
        <v>30.542000000000002</v>
      </c>
      <c r="F26" s="14"/>
      <c r="G26" s="15">
        <f t="shared" si="0"/>
        <v>0</v>
      </c>
      <c r="H26" s="14"/>
      <c r="I26" s="15">
        <f t="shared" si="2"/>
        <v>48.542000000000002</v>
      </c>
      <c r="J26" s="14"/>
      <c r="K26" s="13" t="s">
        <v>825</v>
      </c>
    </row>
    <row r="27" spans="1:11" ht="12.6" customHeight="1" x14ac:dyDescent="0.2">
      <c r="A27" s="13">
        <v>37624</v>
      </c>
      <c r="B27" s="17"/>
      <c r="C27" s="15">
        <v>11.25</v>
      </c>
      <c r="D27" s="14"/>
      <c r="E27" s="15">
        <f t="shared" si="1"/>
        <v>41.792000000000002</v>
      </c>
      <c r="F27" s="14"/>
      <c r="G27" s="15">
        <f t="shared" si="0"/>
        <v>11.25</v>
      </c>
      <c r="H27" s="14"/>
      <c r="I27" s="15">
        <f t="shared" si="2"/>
        <v>59.792000000000002</v>
      </c>
      <c r="J27" s="14"/>
      <c r="K27" s="13"/>
    </row>
    <row r="28" spans="1:11" ht="12.6" customHeight="1" x14ac:dyDescent="0.2">
      <c r="A28" s="13"/>
      <c r="B28" s="17" t="s">
        <v>166</v>
      </c>
      <c r="C28" s="15"/>
      <c r="D28" s="14"/>
      <c r="E28" s="15">
        <f t="shared" si="1"/>
        <v>41.792000000000002</v>
      </c>
      <c r="F28" s="14"/>
      <c r="G28" s="15">
        <f t="shared" si="0"/>
        <v>0</v>
      </c>
      <c r="H28" s="14"/>
      <c r="I28" s="15">
        <f t="shared" si="2"/>
        <v>59.792000000000002</v>
      </c>
      <c r="J28" s="14"/>
      <c r="K28" s="13" t="s">
        <v>826</v>
      </c>
    </row>
    <row r="29" spans="1:11" ht="12.6" customHeight="1" x14ac:dyDescent="0.2">
      <c r="A29" s="13">
        <v>37625</v>
      </c>
      <c r="B29" s="19"/>
      <c r="C29" s="15">
        <v>1.25</v>
      </c>
      <c r="D29" s="14"/>
      <c r="E29" s="15">
        <f t="shared" si="1"/>
        <v>43.042000000000002</v>
      </c>
      <c r="F29" s="14"/>
      <c r="G29" s="15">
        <f t="shared" si="0"/>
        <v>1.25</v>
      </c>
      <c r="H29" s="14"/>
      <c r="I29" s="15">
        <f t="shared" si="2"/>
        <v>61.042000000000002</v>
      </c>
      <c r="J29" s="14"/>
      <c r="K29" s="13"/>
    </row>
    <row r="30" spans="1:11" ht="12.6" customHeight="1" x14ac:dyDescent="0.2">
      <c r="A30" s="13"/>
      <c r="B30" s="19" t="s">
        <v>76</v>
      </c>
      <c r="C30" s="15"/>
      <c r="D30" s="14">
        <v>2</v>
      </c>
      <c r="E30" s="15">
        <f t="shared" si="1"/>
        <v>41.042000000000002</v>
      </c>
      <c r="F30" s="14"/>
      <c r="G30" s="15">
        <f t="shared" si="0"/>
        <v>0</v>
      </c>
      <c r="H30" s="14"/>
      <c r="I30" s="15">
        <f t="shared" si="2"/>
        <v>61.042000000000002</v>
      </c>
      <c r="J30" s="14"/>
      <c r="K30" s="16" t="s">
        <v>827</v>
      </c>
    </row>
    <row r="31" spans="1:11" ht="12.6" customHeight="1" x14ac:dyDescent="0.2">
      <c r="A31" s="13">
        <v>37627</v>
      </c>
      <c r="B31" s="19"/>
      <c r="C31" s="15">
        <v>2.5</v>
      </c>
      <c r="D31" s="14"/>
      <c r="E31" s="15">
        <f t="shared" si="1"/>
        <v>43.542000000000002</v>
      </c>
      <c r="F31" s="22"/>
      <c r="G31" s="15">
        <f t="shared" si="0"/>
        <v>2.5</v>
      </c>
      <c r="H31" s="22"/>
      <c r="I31" s="15">
        <f t="shared" si="2"/>
        <v>63.542000000000002</v>
      </c>
      <c r="J31" s="22"/>
      <c r="K31" s="23"/>
    </row>
    <row r="32" spans="1:11" ht="12.6" customHeight="1" x14ac:dyDescent="0.2">
      <c r="A32" s="13"/>
      <c r="B32" s="19" t="s">
        <v>52</v>
      </c>
      <c r="C32" s="15"/>
      <c r="D32" s="14"/>
      <c r="E32" s="15">
        <f t="shared" si="1"/>
        <v>43.542000000000002</v>
      </c>
      <c r="F32" s="22"/>
      <c r="G32" s="15">
        <f t="shared" si="0"/>
        <v>0</v>
      </c>
      <c r="H32" s="22">
        <v>2</v>
      </c>
      <c r="I32" s="15">
        <f t="shared" si="2"/>
        <v>61.542000000000002</v>
      </c>
      <c r="J32" s="22"/>
      <c r="K32" s="23" t="s">
        <v>828</v>
      </c>
    </row>
    <row r="33" spans="1:11" ht="12.6" customHeight="1" x14ac:dyDescent="0.2">
      <c r="A33" s="13">
        <v>37633</v>
      </c>
      <c r="B33" s="17"/>
      <c r="C33" s="15">
        <v>7.5</v>
      </c>
      <c r="D33" s="14"/>
      <c r="E33" s="15">
        <f t="shared" si="1"/>
        <v>51.042000000000002</v>
      </c>
      <c r="F33" s="22"/>
      <c r="G33" s="15">
        <f t="shared" si="0"/>
        <v>7.5</v>
      </c>
      <c r="H33" s="22"/>
      <c r="I33" s="15">
        <f t="shared" si="2"/>
        <v>69.042000000000002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73.042000000000002</v>
      </c>
      <c r="D34" s="25">
        <f>SUM(D9:D33)</f>
        <v>22</v>
      </c>
      <c r="E34" s="25"/>
      <c r="F34" s="22"/>
      <c r="G34" s="25">
        <f>SUM(G7:G33)</f>
        <v>73.042000000000002</v>
      </c>
      <c r="H34" s="25">
        <f>SUM(H7:H33)</f>
        <v>4</v>
      </c>
      <c r="I34" s="15">
        <f t="shared" si="2"/>
        <v>138.084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MARASIGAN, JAIME R.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JANUARY 18, 1999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56</v>
      </c>
      <c r="C43" s="15"/>
      <c r="D43" s="14">
        <v>4</v>
      </c>
      <c r="E43" s="15">
        <f>E33+C43-D43</f>
        <v>47.042000000000002</v>
      </c>
      <c r="F43" s="14"/>
      <c r="G43" s="15">
        <f>C43</f>
        <v>0</v>
      </c>
      <c r="H43" s="14"/>
      <c r="I43" s="15">
        <f>I33+G43-H43</f>
        <v>69.042000000000002</v>
      </c>
      <c r="J43" s="14"/>
      <c r="K43" s="13" t="s">
        <v>829</v>
      </c>
    </row>
    <row r="44" spans="1:11" ht="12.6" customHeight="1" x14ac:dyDescent="0.2">
      <c r="A44" s="13">
        <v>37989</v>
      </c>
      <c r="B44" s="17"/>
      <c r="C44" s="15">
        <v>3.75</v>
      </c>
      <c r="D44" s="14"/>
      <c r="E44" s="15">
        <f>E43+C44-D44</f>
        <v>50.792000000000002</v>
      </c>
      <c r="F44" s="14"/>
      <c r="G44" s="15">
        <f t="shared" ref="G44:G68" si="3">C44</f>
        <v>3.75</v>
      </c>
      <c r="H44" s="14"/>
      <c r="I44" s="15">
        <f>I43+G44-H44</f>
        <v>72.792000000000002</v>
      </c>
      <c r="J44" s="14"/>
      <c r="K44" s="13"/>
    </row>
    <row r="45" spans="1:11" ht="12.6" customHeight="1" x14ac:dyDescent="0.2">
      <c r="A45" s="13"/>
      <c r="B45" s="19" t="s">
        <v>81</v>
      </c>
      <c r="C45" s="15"/>
      <c r="D45" s="14"/>
      <c r="E45" s="15">
        <f t="shared" ref="E45:E68" si="4">E44+C45-D45</f>
        <v>50.792000000000002</v>
      </c>
      <c r="F45" s="14"/>
      <c r="G45" s="15">
        <f t="shared" si="3"/>
        <v>0</v>
      </c>
      <c r="H45" s="14"/>
      <c r="I45" s="15">
        <f t="shared" ref="I45:I68" si="5">I44+G45-H45</f>
        <v>72.792000000000002</v>
      </c>
      <c r="J45" s="14"/>
      <c r="K45" s="13">
        <v>38021</v>
      </c>
    </row>
    <row r="46" spans="1:11" ht="12.6" customHeight="1" x14ac:dyDescent="0.2">
      <c r="A46" s="13">
        <v>37994</v>
      </c>
      <c r="B46" s="17"/>
      <c r="C46" s="15">
        <v>6.25</v>
      </c>
      <c r="D46" s="14"/>
      <c r="E46" s="15">
        <f t="shared" si="4"/>
        <v>57.042000000000002</v>
      </c>
      <c r="F46" s="14"/>
      <c r="G46" s="15">
        <f t="shared" si="3"/>
        <v>6.25</v>
      </c>
      <c r="H46" s="14"/>
      <c r="I46" s="15">
        <f t="shared" si="5"/>
        <v>79.042000000000002</v>
      </c>
      <c r="J46" s="14"/>
      <c r="K46" s="13"/>
    </row>
    <row r="47" spans="1:11" ht="12.6" customHeight="1" x14ac:dyDescent="0.2">
      <c r="A47" s="13"/>
      <c r="B47" s="19" t="s">
        <v>831</v>
      </c>
      <c r="C47" s="15"/>
      <c r="D47" s="14"/>
      <c r="E47" s="15">
        <f t="shared" si="4"/>
        <v>57.042000000000002</v>
      </c>
      <c r="F47" s="14"/>
      <c r="G47" s="15">
        <f t="shared" si="3"/>
        <v>0</v>
      </c>
      <c r="H47" s="14"/>
      <c r="I47" s="15">
        <f t="shared" si="5"/>
        <v>79.042000000000002</v>
      </c>
      <c r="J47" s="14"/>
      <c r="K47" s="13" t="s">
        <v>830</v>
      </c>
    </row>
    <row r="48" spans="1:11" ht="12.6" customHeight="1" x14ac:dyDescent="0.2">
      <c r="A48" s="13">
        <v>37995</v>
      </c>
      <c r="B48" s="17"/>
      <c r="C48" s="15">
        <v>1.25</v>
      </c>
      <c r="D48" s="14"/>
      <c r="E48" s="15">
        <f t="shared" si="4"/>
        <v>58.292000000000002</v>
      </c>
      <c r="F48" s="14"/>
      <c r="G48" s="15">
        <f t="shared" si="3"/>
        <v>1.25</v>
      </c>
      <c r="H48" s="14"/>
      <c r="I48" s="15">
        <f t="shared" si="5"/>
        <v>80.292000000000002</v>
      </c>
      <c r="J48" s="14"/>
      <c r="K48" s="13"/>
    </row>
    <row r="49" spans="1:11" ht="12.6" customHeight="1" x14ac:dyDescent="0.2">
      <c r="A49" s="13"/>
      <c r="B49" s="19" t="s">
        <v>60</v>
      </c>
      <c r="C49" s="15"/>
      <c r="D49" s="14">
        <v>5</v>
      </c>
      <c r="E49" s="15">
        <f t="shared" si="4"/>
        <v>53.292000000000002</v>
      </c>
      <c r="F49" s="14"/>
      <c r="G49" s="15">
        <f t="shared" si="3"/>
        <v>0</v>
      </c>
      <c r="H49" s="14"/>
      <c r="I49" s="15">
        <f t="shared" si="5"/>
        <v>80.292000000000002</v>
      </c>
      <c r="J49" s="14"/>
      <c r="K49" s="13" t="s">
        <v>832</v>
      </c>
    </row>
    <row r="50" spans="1:11" ht="12.6" customHeight="1" x14ac:dyDescent="0.2">
      <c r="A50" s="13"/>
      <c r="B50" s="19" t="s">
        <v>45</v>
      </c>
      <c r="C50" s="15"/>
      <c r="D50" s="14"/>
      <c r="E50" s="15">
        <f t="shared" si="4"/>
        <v>53.292000000000002</v>
      </c>
      <c r="F50" s="14"/>
      <c r="G50" s="15">
        <f t="shared" si="3"/>
        <v>0</v>
      </c>
      <c r="H50" s="14"/>
      <c r="I50" s="15">
        <f t="shared" si="5"/>
        <v>80.292000000000002</v>
      </c>
      <c r="J50" s="14"/>
      <c r="K50" s="13">
        <v>38148</v>
      </c>
    </row>
    <row r="51" spans="1:11" ht="12.6" customHeight="1" x14ac:dyDescent="0.2">
      <c r="A51" s="13">
        <v>37996</v>
      </c>
      <c r="B51" s="17"/>
      <c r="C51" s="15">
        <v>1.25</v>
      </c>
      <c r="D51" s="14"/>
      <c r="E51" s="15">
        <f t="shared" si="4"/>
        <v>54.542000000000002</v>
      </c>
      <c r="F51" s="14"/>
      <c r="G51" s="15">
        <f t="shared" si="3"/>
        <v>1.25</v>
      </c>
      <c r="H51" s="14"/>
      <c r="I51" s="15">
        <f t="shared" si="5"/>
        <v>81.542000000000002</v>
      </c>
      <c r="J51" s="14"/>
      <c r="K51" s="16"/>
    </row>
    <row r="52" spans="1:11" ht="12.6" customHeight="1" x14ac:dyDescent="0.2">
      <c r="A52" s="13"/>
      <c r="B52" s="19" t="s">
        <v>52</v>
      </c>
      <c r="C52" s="15"/>
      <c r="D52" s="14"/>
      <c r="E52" s="15">
        <f t="shared" si="4"/>
        <v>54.542000000000002</v>
      </c>
      <c r="F52" s="14"/>
      <c r="G52" s="15">
        <f t="shared" si="3"/>
        <v>0</v>
      </c>
      <c r="H52" s="14">
        <v>2</v>
      </c>
      <c r="I52" s="15">
        <f t="shared" si="5"/>
        <v>79.542000000000002</v>
      </c>
      <c r="J52" s="14"/>
      <c r="K52" s="13" t="s">
        <v>833</v>
      </c>
    </row>
    <row r="53" spans="1:11" ht="12.6" customHeight="1" x14ac:dyDescent="0.2">
      <c r="A53" s="13">
        <v>38353</v>
      </c>
      <c r="B53" s="19"/>
      <c r="C53" s="15">
        <v>3.75</v>
      </c>
      <c r="D53" s="14"/>
      <c r="E53" s="15">
        <f t="shared" si="4"/>
        <v>58.292000000000002</v>
      </c>
      <c r="F53" s="14"/>
      <c r="G53" s="15">
        <f t="shared" si="3"/>
        <v>3.75</v>
      </c>
      <c r="H53" s="14"/>
      <c r="I53" s="15">
        <f t="shared" si="5"/>
        <v>83.292000000000002</v>
      </c>
      <c r="J53" s="14"/>
      <c r="K53" s="13"/>
    </row>
    <row r="54" spans="1:11" ht="12.6" customHeight="1" x14ac:dyDescent="0.2">
      <c r="A54" s="13"/>
      <c r="B54" s="19" t="s">
        <v>792</v>
      </c>
      <c r="C54" s="15"/>
      <c r="D54" s="14">
        <v>5.0999999999999997E-2</v>
      </c>
      <c r="E54" s="15">
        <f t="shared" si="4"/>
        <v>58.241</v>
      </c>
      <c r="F54" s="14"/>
      <c r="G54" s="15">
        <f t="shared" si="3"/>
        <v>0</v>
      </c>
      <c r="H54" s="14"/>
      <c r="I54" s="15">
        <f t="shared" si="5"/>
        <v>83.292000000000002</v>
      </c>
      <c r="J54" s="14"/>
      <c r="K54" s="13" t="s">
        <v>611</v>
      </c>
    </row>
    <row r="55" spans="1:11" ht="12.6" customHeight="1" x14ac:dyDescent="0.2">
      <c r="A55" s="13">
        <v>38356</v>
      </c>
      <c r="B55" s="19"/>
      <c r="C55" s="15">
        <v>3.75</v>
      </c>
      <c r="D55" s="14"/>
      <c r="E55" s="15">
        <f t="shared" si="4"/>
        <v>61.991</v>
      </c>
      <c r="F55" s="14"/>
      <c r="G55" s="15">
        <f t="shared" si="3"/>
        <v>3.75</v>
      </c>
      <c r="H55" s="14"/>
      <c r="I55" s="15">
        <f t="shared" si="5"/>
        <v>87.042000000000002</v>
      </c>
      <c r="J55" s="14"/>
      <c r="K55" s="13"/>
    </row>
    <row r="56" spans="1:11" ht="12.6" customHeight="1" x14ac:dyDescent="0.2">
      <c r="A56" s="13"/>
      <c r="B56" s="19" t="s">
        <v>45</v>
      </c>
      <c r="C56" s="15"/>
      <c r="D56" s="14"/>
      <c r="E56" s="15">
        <f t="shared" si="4"/>
        <v>61.991</v>
      </c>
      <c r="F56" s="14"/>
      <c r="G56" s="15">
        <f t="shared" si="3"/>
        <v>0</v>
      </c>
      <c r="H56" s="14"/>
      <c r="I56" s="15">
        <f t="shared" si="5"/>
        <v>87.042000000000002</v>
      </c>
      <c r="J56" s="14"/>
      <c r="K56" s="16" t="s">
        <v>834</v>
      </c>
    </row>
    <row r="57" spans="1:11" ht="12.6" customHeight="1" x14ac:dyDescent="0.2">
      <c r="A57" s="13">
        <v>38361</v>
      </c>
      <c r="B57" s="19"/>
      <c r="C57" s="15">
        <v>6.25</v>
      </c>
      <c r="D57" s="14"/>
      <c r="E57" s="15">
        <f t="shared" si="4"/>
        <v>68.241</v>
      </c>
      <c r="F57" s="14"/>
      <c r="G57" s="15">
        <f t="shared" si="3"/>
        <v>6.25</v>
      </c>
      <c r="H57" s="14"/>
      <c r="I57" s="15">
        <f t="shared" si="5"/>
        <v>93.292000000000002</v>
      </c>
      <c r="J57" s="14"/>
      <c r="K57" s="13"/>
    </row>
    <row r="58" spans="1:11" ht="12.6" customHeight="1" x14ac:dyDescent="0.2">
      <c r="A58" s="13"/>
      <c r="B58" s="19" t="s">
        <v>45</v>
      </c>
      <c r="C58" s="15"/>
      <c r="D58" s="14"/>
      <c r="E58" s="15">
        <f t="shared" si="4"/>
        <v>68.241</v>
      </c>
      <c r="F58" s="14"/>
      <c r="G58" s="15">
        <f t="shared" si="3"/>
        <v>0</v>
      </c>
      <c r="H58" s="14"/>
      <c r="I58" s="15">
        <f t="shared" si="5"/>
        <v>93.292000000000002</v>
      </c>
      <c r="J58" s="14"/>
      <c r="K58" s="13" t="s">
        <v>835</v>
      </c>
    </row>
    <row r="59" spans="1:11" ht="12.6" customHeight="1" x14ac:dyDescent="0.2">
      <c r="A59" s="13">
        <v>38718</v>
      </c>
      <c r="B59" s="19"/>
      <c r="C59" s="15">
        <v>5</v>
      </c>
      <c r="D59" s="14"/>
      <c r="E59" s="15">
        <f t="shared" si="4"/>
        <v>73.241</v>
      </c>
      <c r="F59" s="14"/>
      <c r="G59" s="15">
        <f t="shared" si="3"/>
        <v>5</v>
      </c>
      <c r="H59" s="14"/>
      <c r="I59" s="15">
        <f t="shared" si="5"/>
        <v>98.292000000000002</v>
      </c>
      <c r="J59" s="14"/>
      <c r="K59" s="13"/>
    </row>
    <row r="60" spans="1:11" s="63" customFormat="1" ht="12.6" customHeight="1" x14ac:dyDescent="0.2">
      <c r="A60" s="58"/>
      <c r="B60" s="67" t="s">
        <v>65</v>
      </c>
      <c r="C60" s="60"/>
      <c r="D60" s="61">
        <v>5</v>
      </c>
      <c r="E60" s="60">
        <f t="shared" si="4"/>
        <v>68.241</v>
      </c>
      <c r="F60" s="61"/>
      <c r="G60" s="60">
        <f t="shared" si="3"/>
        <v>0</v>
      </c>
      <c r="H60" s="61"/>
      <c r="I60" s="60">
        <f t="shared" si="5"/>
        <v>98.292000000000002</v>
      </c>
      <c r="J60" s="61"/>
      <c r="K60" s="58" t="s">
        <v>339</v>
      </c>
    </row>
    <row r="61" spans="1:11" ht="12.6" customHeight="1" x14ac:dyDescent="0.2">
      <c r="A61" s="13"/>
      <c r="B61" s="19" t="s">
        <v>837</v>
      </c>
      <c r="C61" s="15"/>
      <c r="D61" s="14">
        <v>8.1000000000000003E-2</v>
      </c>
      <c r="E61" s="15">
        <f t="shared" si="4"/>
        <v>68.16</v>
      </c>
      <c r="F61" s="14"/>
      <c r="G61" s="15">
        <f t="shared" si="3"/>
        <v>0</v>
      </c>
      <c r="H61" s="14"/>
      <c r="I61" s="15">
        <f t="shared" si="5"/>
        <v>98.292000000000002</v>
      </c>
      <c r="J61" s="14"/>
      <c r="K61" s="13" t="s">
        <v>836</v>
      </c>
    </row>
    <row r="62" spans="1:11" ht="12.6" customHeight="1" x14ac:dyDescent="0.2">
      <c r="A62" s="13"/>
      <c r="B62" s="17" t="s">
        <v>47</v>
      </c>
      <c r="C62" s="15"/>
      <c r="D62" s="14"/>
      <c r="E62" s="15">
        <f t="shared" si="4"/>
        <v>68.16</v>
      </c>
      <c r="F62" s="14"/>
      <c r="G62" s="15">
        <f t="shared" si="3"/>
        <v>0</v>
      </c>
      <c r="H62" s="14">
        <v>1</v>
      </c>
      <c r="I62" s="15">
        <f t="shared" si="5"/>
        <v>97.292000000000002</v>
      </c>
      <c r="J62" s="14"/>
      <c r="K62" s="13">
        <v>38838</v>
      </c>
    </row>
    <row r="63" spans="1:11" ht="12.6" customHeight="1" x14ac:dyDescent="0.2">
      <c r="A63" s="13">
        <v>38720</v>
      </c>
      <c r="B63" s="19"/>
      <c r="C63" s="15">
        <v>2.5</v>
      </c>
      <c r="D63" s="14"/>
      <c r="E63" s="15">
        <f t="shared" si="4"/>
        <v>70.66</v>
      </c>
      <c r="F63" s="14"/>
      <c r="G63" s="15">
        <f t="shared" si="3"/>
        <v>2.5</v>
      </c>
      <c r="H63" s="14"/>
      <c r="I63" s="15">
        <f t="shared" si="5"/>
        <v>99.792000000000002</v>
      </c>
      <c r="J63" s="14"/>
      <c r="K63" s="13"/>
    </row>
    <row r="64" spans="1:11" ht="12.6" customHeight="1" x14ac:dyDescent="0.2">
      <c r="A64" s="29"/>
      <c r="B64" s="19" t="s">
        <v>45</v>
      </c>
      <c r="C64" s="15"/>
      <c r="D64" s="14"/>
      <c r="E64" s="15">
        <f t="shared" si="4"/>
        <v>70.66</v>
      </c>
      <c r="F64" s="14"/>
      <c r="G64" s="15">
        <f>C64</f>
        <v>0</v>
      </c>
      <c r="H64" s="14"/>
      <c r="I64" s="15">
        <f t="shared" si="5"/>
        <v>99.792000000000002</v>
      </c>
      <c r="J64" s="14"/>
      <c r="K64" s="29">
        <v>38811</v>
      </c>
    </row>
    <row r="65" spans="1:11" ht="12.6" customHeight="1" x14ac:dyDescent="0.2">
      <c r="A65" s="13">
        <v>38722</v>
      </c>
      <c r="B65" s="19"/>
      <c r="C65" s="15">
        <v>2.5</v>
      </c>
      <c r="D65" s="21"/>
      <c r="E65" s="15">
        <f t="shared" si="4"/>
        <v>73.16</v>
      </c>
      <c r="F65" s="14"/>
      <c r="G65" s="15">
        <f t="shared" si="3"/>
        <v>2.5</v>
      </c>
      <c r="H65" s="14"/>
      <c r="I65" s="15">
        <f t="shared" si="5"/>
        <v>102.292</v>
      </c>
      <c r="J65" s="14"/>
      <c r="K65" s="13"/>
    </row>
    <row r="66" spans="1:11" ht="12.6" customHeight="1" x14ac:dyDescent="0.2">
      <c r="A66" s="13"/>
      <c r="B66" s="19" t="s">
        <v>166</v>
      </c>
      <c r="C66" s="15"/>
      <c r="D66" s="14"/>
      <c r="E66" s="15">
        <f t="shared" si="4"/>
        <v>73.16</v>
      </c>
      <c r="F66" s="14"/>
      <c r="G66" s="15">
        <f t="shared" si="3"/>
        <v>0</v>
      </c>
      <c r="H66" s="14"/>
      <c r="I66" s="15">
        <f t="shared" si="5"/>
        <v>102.292</v>
      </c>
      <c r="J66" s="14"/>
      <c r="K66" s="13" t="s">
        <v>838</v>
      </c>
    </row>
    <row r="67" spans="1:11" ht="12.6" customHeight="1" x14ac:dyDescent="0.2">
      <c r="A67" s="30">
        <v>38724</v>
      </c>
      <c r="B67" s="19"/>
      <c r="C67" s="15">
        <v>2.5</v>
      </c>
      <c r="D67" s="14"/>
      <c r="E67" s="15">
        <f t="shared" si="4"/>
        <v>75.66</v>
      </c>
      <c r="F67" s="14"/>
      <c r="G67" s="15">
        <f t="shared" si="3"/>
        <v>2.5</v>
      </c>
      <c r="H67" s="31"/>
      <c r="I67" s="15">
        <f t="shared" si="5"/>
        <v>104.792</v>
      </c>
      <c r="J67" s="31"/>
      <c r="K67" s="30"/>
    </row>
    <row r="68" spans="1:11" ht="12.6" customHeight="1" x14ac:dyDescent="0.2">
      <c r="A68" s="13"/>
      <c r="B68" s="19" t="s">
        <v>840</v>
      </c>
      <c r="C68" s="15"/>
      <c r="D68" s="14"/>
      <c r="E68" s="15">
        <f t="shared" si="4"/>
        <v>75.66</v>
      </c>
      <c r="F68" s="14"/>
      <c r="G68" s="15">
        <f t="shared" si="3"/>
        <v>0</v>
      </c>
      <c r="H68" s="14"/>
      <c r="I68" s="15">
        <f t="shared" si="5"/>
        <v>104.792</v>
      </c>
      <c r="J68" s="14"/>
      <c r="K68" s="13" t="s">
        <v>839</v>
      </c>
    </row>
    <row r="69" spans="1:11" ht="12.6" customHeight="1" x14ac:dyDescent="0.2">
      <c r="A69" s="24" t="s">
        <v>15</v>
      </c>
      <c r="B69" s="19"/>
      <c r="C69" s="15">
        <f>SUM(C43:C68)</f>
        <v>38.75</v>
      </c>
      <c r="D69" s="15">
        <f>SUM(D43:D68)</f>
        <v>14.132</v>
      </c>
      <c r="E69" s="15" t="s">
        <v>17</v>
      </c>
      <c r="F69" s="32"/>
      <c r="G69" s="15">
        <f>SUM(G43:G68)</f>
        <v>38.75</v>
      </c>
      <c r="H69" s="15">
        <f>SUM(H43:H68)</f>
        <v>3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MARASIGAN, JAIME R.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JANUARY 18, 1999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>
        <v>38726</v>
      </c>
      <c r="B82" s="19"/>
      <c r="C82" s="15">
        <v>2.5</v>
      </c>
      <c r="D82" s="14"/>
      <c r="E82" s="15">
        <f>E68+C82-D82</f>
        <v>78.16</v>
      </c>
      <c r="F82" s="14"/>
      <c r="G82" s="15">
        <f>C82</f>
        <v>2.5</v>
      </c>
      <c r="H82" s="14"/>
      <c r="I82" s="15">
        <f>I68+G82-H82</f>
        <v>107.292</v>
      </c>
      <c r="J82" s="14"/>
      <c r="K82" s="13"/>
    </row>
    <row r="83" spans="1:11" ht="12.6" customHeight="1" x14ac:dyDescent="0.2">
      <c r="A83" s="13"/>
      <c r="B83" s="17" t="s">
        <v>52</v>
      </c>
      <c r="C83" s="15"/>
      <c r="D83" s="14"/>
      <c r="E83" s="15">
        <f>E82+C83-D83</f>
        <v>78.16</v>
      </c>
      <c r="F83" s="14"/>
      <c r="G83" s="15">
        <f t="shared" ref="G83:G107" si="6">C83</f>
        <v>0</v>
      </c>
      <c r="H83" s="14">
        <v>2</v>
      </c>
      <c r="I83" s="15">
        <f>I82+G83-H83</f>
        <v>105.292</v>
      </c>
      <c r="J83" s="22"/>
      <c r="K83" s="23" t="s">
        <v>841</v>
      </c>
    </row>
    <row r="84" spans="1:11" ht="12.6" customHeight="1" x14ac:dyDescent="0.2">
      <c r="A84" s="13">
        <v>38727</v>
      </c>
      <c r="B84" s="19"/>
      <c r="C84" s="15">
        <v>1.25</v>
      </c>
      <c r="D84" s="14"/>
      <c r="E84" s="15">
        <f t="shared" ref="E84:E107" si="7">E83+C84-D84</f>
        <v>79.41</v>
      </c>
      <c r="F84" s="14"/>
      <c r="G84" s="15">
        <f t="shared" si="6"/>
        <v>1.25</v>
      </c>
      <c r="H84" s="14"/>
      <c r="I84" s="15">
        <f t="shared" ref="I84:I107" si="8">I83+G84-H84</f>
        <v>106.542</v>
      </c>
      <c r="J84" s="14"/>
      <c r="K84" s="16"/>
    </row>
    <row r="85" spans="1:11" ht="12.6" customHeight="1" x14ac:dyDescent="0.2">
      <c r="A85" s="13"/>
      <c r="B85" s="19" t="s">
        <v>47</v>
      </c>
      <c r="C85" s="15"/>
      <c r="D85" s="14"/>
      <c r="E85" s="15">
        <f t="shared" si="7"/>
        <v>79.41</v>
      </c>
      <c r="F85" s="14"/>
      <c r="G85" s="15">
        <f t="shared" si="6"/>
        <v>0</v>
      </c>
      <c r="H85" s="14">
        <v>1</v>
      </c>
      <c r="I85" s="15">
        <f t="shared" si="8"/>
        <v>105.542</v>
      </c>
      <c r="J85" s="14"/>
      <c r="K85" s="13" t="s">
        <v>842</v>
      </c>
    </row>
    <row r="86" spans="1:11" ht="12.6" customHeight="1" x14ac:dyDescent="0.2">
      <c r="A86" s="29">
        <v>38729</v>
      </c>
      <c r="B86" s="19"/>
      <c r="C86" s="15">
        <v>2.5</v>
      </c>
      <c r="D86" s="14"/>
      <c r="E86" s="15">
        <f t="shared" si="7"/>
        <v>81.91</v>
      </c>
      <c r="F86" s="14"/>
      <c r="G86" s="15">
        <f t="shared" si="6"/>
        <v>2.5</v>
      </c>
      <c r="H86" s="14"/>
      <c r="I86" s="15">
        <f t="shared" si="8"/>
        <v>108.042</v>
      </c>
      <c r="J86" s="14"/>
      <c r="K86" s="13"/>
    </row>
    <row r="87" spans="1:11" ht="12.6" customHeight="1" x14ac:dyDescent="0.2">
      <c r="A87" s="13"/>
      <c r="B87" s="19" t="s">
        <v>195</v>
      </c>
      <c r="C87" s="15"/>
      <c r="D87" s="14"/>
      <c r="E87" s="15">
        <f t="shared" si="7"/>
        <v>81.91</v>
      </c>
      <c r="F87" s="14"/>
      <c r="G87" s="15">
        <f t="shared" si="6"/>
        <v>0</v>
      </c>
      <c r="H87" s="14"/>
      <c r="I87" s="15">
        <f t="shared" si="8"/>
        <v>108.042</v>
      </c>
      <c r="J87" s="14"/>
      <c r="K87" s="13" t="s">
        <v>843</v>
      </c>
    </row>
    <row r="88" spans="1:11" ht="12.6" customHeight="1" x14ac:dyDescent="0.2">
      <c r="A88" s="13">
        <v>39083</v>
      </c>
      <c r="B88" s="17"/>
      <c r="C88" s="15">
        <v>1.25</v>
      </c>
      <c r="D88" s="14"/>
      <c r="E88" s="15">
        <f t="shared" si="7"/>
        <v>83.16</v>
      </c>
      <c r="F88" s="14"/>
      <c r="G88" s="15">
        <f t="shared" si="6"/>
        <v>1.25</v>
      </c>
      <c r="H88" s="14"/>
      <c r="I88" s="15">
        <f t="shared" si="8"/>
        <v>109.292</v>
      </c>
      <c r="J88" s="14"/>
      <c r="K88" s="13"/>
    </row>
    <row r="89" spans="1:11" ht="12.6" customHeight="1" x14ac:dyDescent="0.2">
      <c r="A89" s="13"/>
      <c r="B89" s="19" t="s">
        <v>844</v>
      </c>
      <c r="C89" s="15"/>
      <c r="D89" s="14"/>
      <c r="E89" s="15">
        <f t="shared" si="7"/>
        <v>83.16</v>
      </c>
      <c r="F89" s="14"/>
      <c r="G89" s="15">
        <f t="shared" si="6"/>
        <v>0</v>
      </c>
      <c r="H89" s="14"/>
      <c r="I89" s="15">
        <f t="shared" si="8"/>
        <v>109.292</v>
      </c>
      <c r="J89" s="14"/>
      <c r="K89" s="16" t="s">
        <v>845</v>
      </c>
    </row>
    <row r="90" spans="1:11" ht="12.6" customHeight="1" x14ac:dyDescent="0.2">
      <c r="A90" s="13"/>
      <c r="B90" s="17" t="s">
        <v>129</v>
      </c>
      <c r="C90" s="15"/>
      <c r="D90" s="14"/>
      <c r="E90" s="15">
        <f t="shared" si="7"/>
        <v>83.16</v>
      </c>
      <c r="F90" s="14"/>
      <c r="G90" s="15">
        <f t="shared" si="6"/>
        <v>0</v>
      </c>
      <c r="H90" s="14">
        <v>0.5</v>
      </c>
      <c r="I90" s="15">
        <f t="shared" si="8"/>
        <v>108.792</v>
      </c>
      <c r="J90" s="14"/>
      <c r="K90" s="16" t="s">
        <v>846</v>
      </c>
    </row>
    <row r="91" spans="1:11" ht="12.6" customHeight="1" x14ac:dyDescent="0.2">
      <c r="A91" s="13">
        <v>39086</v>
      </c>
      <c r="B91" s="17"/>
      <c r="C91" s="15">
        <v>3.75</v>
      </c>
      <c r="D91" s="14"/>
      <c r="E91" s="15">
        <f t="shared" si="7"/>
        <v>86.91</v>
      </c>
      <c r="F91" s="14"/>
      <c r="G91" s="15">
        <f t="shared" si="6"/>
        <v>3.75</v>
      </c>
      <c r="H91" s="14"/>
      <c r="I91" s="15">
        <f t="shared" si="8"/>
        <v>112.542</v>
      </c>
      <c r="J91" s="14"/>
      <c r="K91" s="16"/>
    </row>
    <row r="92" spans="1:11" ht="12.6" customHeight="1" x14ac:dyDescent="0.2">
      <c r="A92" s="13"/>
      <c r="B92" s="19" t="s">
        <v>45</v>
      </c>
      <c r="C92" s="15"/>
      <c r="D92" s="14"/>
      <c r="E92" s="15">
        <f t="shared" si="7"/>
        <v>86.91</v>
      </c>
      <c r="F92" s="14"/>
      <c r="G92" s="15">
        <f t="shared" si="6"/>
        <v>0</v>
      </c>
      <c r="H92" s="14"/>
      <c r="I92" s="15">
        <f t="shared" si="8"/>
        <v>112.542</v>
      </c>
      <c r="J92" s="14"/>
      <c r="K92" s="13" t="s">
        <v>847</v>
      </c>
    </row>
    <row r="93" spans="1:11" ht="12.6" customHeight="1" x14ac:dyDescent="0.2">
      <c r="A93" s="13">
        <v>39089</v>
      </c>
      <c r="B93" s="17"/>
      <c r="C93" s="15">
        <v>3.75</v>
      </c>
      <c r="D93" s="14"/>
      <c r="E93" s="15">
        <f t="shared" si="7"/>
        <v>90.66</v>
      </c>
      <c r="F93" s="14"/>
      <c r="G93" s="15">
        <f t="shared" si="6"/>
        <v>3.75</v>
      </c>
      <c r="H93" s="14"/>
      <c r="I93" s="15">
        <f t="shared" si="8"/>
        <v>116.292</v>
      </c>
      <c r="J93" s="14"/>
      <c r="K93" s="13"/>
    </row>
    <row r="94" spans="1:11" ht="12.6" customHeight="1" x14ac:dyDescent="0.2">
      <c r="A94" s="13"/>
      <c r="B94" s="19" t="s">
        <v>52</v>
      </c>
      <c r="C94" s="15"/>
      <c r="D94" s="14"/>
      <c r="E94" s="15">
        <f t="shared" si="7"/>
        <v>90.66</v>
      </c>
      <c r="F94" s="14"/>
      <c r="G94" s="15">
        <f t="shared" si="6"/>
        <v>0</v>
      </c>
      <c r="H94" s="14">
        <v>2</v>
      </c>
      <c r="I94" s="15">
        <f t="shared" si="8"/>
        <v>114.292</v>
      </c>
      <c r="J94" s="14"/>
      <c r="K94" s="13" t="s">
        <v>848</v>
      </c>
    </row>
    <row r="95" spans="1:11" ht="12.6" customHeight="1" x14ac:dyDescent="0.2">
      <c r="A95" s="13">
        <v>39090</v>
      </c>
      <c r="B95" s="19"/>
      <c r="C95" s="15">
        <v>1.25</v>
      </c>
      <c r="D95" s="14"/>
      <c r="E95" s="15">
        <f t="shared" si="7"/>
        <v>91.91</v>
      </c>
      <c r="F95" s="14"/>
      <c r="G95" s="15">
        <f t="shared" si="6"/>
        <v>1.25</v>
      </c>
      <c r="H95" s="14"/>
      <c r="I95" s="15">
        <f t="shared" si="8"/>
        <v>115.542</v>
      </c>
      <c r="J95" s="14"/>
      <c r="K95" s="13"/>
    </row>
    <row r="96" spans="1:11" ht="12.6" customHeight="1" x14ac:dyDescent="0.2">
      <c r="A96" s="13"/>
      <c r="B96" s="19" t="s">
        <v>47</v>
      </c>
      <c r="C96" s="15"/>
      <c r="D96" s="14"/>
      <c r="E96" s="15">
        <f t="shared" si="7"/>
        <v>91.91</v>
      </c>
      <c r="F96" s="14"/>
      <c r="G96" s="15">
        <f t="shared" si="6"/>
        <v>0</v>
      </c>
      <c r="H96" s="14">
        <v>1</v>
      </c>
      <c r="I96" s="15">
        <f t="shared" si="8"/>
        <v>114.542</v>
      </c>
      <c r="J96" s="14"/>
      <c r="K96" s="33" t="s">
        <v>377</v>
      </c>
    </row>
    <row r="97" spans="1:11" ht="12.6" customHeight="1" x14ac:dyDescent="0.2">
      <c r="A97" s="13">
        <v>39091</v>
      </c>
      <c r="B97" s="19"/>
      <c r="C97" s="15">
        <v>1.25</v>
      </c>
      <c r="D97" s="14"/>
      <c r="E97" s="15">
        <f t="shared" si="7"/>
        <v>93.16</v>
      </c>
      <c r="F97" s="14"/>
      <c r="G97" s="15">
        <f t="shared" si="6"/>
        <v>1.25</v>
      </c>
      <c r="H97" s="14"/>
      <c r="I97" s="15">
        <f t="shared" si="8"/>
        <v>115.792</v>
      </c>
      <c r="J97" s="14"/>
      <c r="K97" s="13"/>
    </row>
    <row r="98" spans="1:11" ht="12.6" customHeight="1" x14ac:dyDescent="0.2">
      <c r="A98" s="13"/>
      <c r="B98" s="19" t="s">
        <v>47</v>
      </c>
      <c r="C98" s="15"/>
      <c r="D98" s="14"/>
      <c r="E98" s="15">
        <f t="shared" si="7"/>
        <v>93.16</v>
      </c>
      <c r="F98" s="14"/>
      <c r="G98" s="15">
        <f t="shared" si="6"/>
        <v>0</v>
      </c>
      <c r="H98" s="14">
        <v>1</v>
      </c>
      <c r="I98" s="15">
        <f t="shared" si="8"/>
        <v>114.792</v>
      </c>
      <c r="J98" s="14"/>
      <c r="K98" s="16" t="s">
        <v>849</v>
      </c>
    </row>
    <row r="99" spans="1:11" ht="12.6" customHeight="1" x14ac:dyDescent="0.2">
      <c r="A99" s="13">
        <v>39093</v>
      </c>
      <c r="B99" s="19"/>
      <c r="C99" s="15">
        <v>2.5</v>
      </c>
      <c r="D99" s="14"/>
      <c r="E99" s="15">
        <f t="shared" si="7"/>
        <v>95.66</v>
      </c>
      <c r="F99" s="14"/>
      <c r="G99" s="15">
        <f t="shared" si="6"/>
        <v>2.5</v>
      </c>
      <c r="H99" s="14"/>
      <c r="I99" s="15">
        <f t="shared" si="8"/>
        <v>117.292</v>
      </c>
      <c r="J99" s="14"/>
      <c r="K99" s="13"/>
    </row>
    <row r="100" spans="1:11" ht="12.6" customHeight="1" x14ac:dyDescent="0.2">
      <c r="A100" s="13"/>
      <c r="B100" s="19" t="s">
        <v>144</v>
      </c>
      <c r="C100" s="15"/>
      <c r="D100" s="14"/>
      <c r="E100" s="15">
        <f t="shared" si="7"/>
        <v>95.66</v>
      </c>
      <c r="F100" s="14"/>
      <c r="G100" s="15">
        <f t="shared" si="6"/>
        <v>0</v>
      </c>
      <c r="H100" s="14">
        <v>1.5</v>
      </c>
      <c r="I100" s="15">
        <f t="shared" si="8"/>
        <v>115.792</v>
      </c>
      <c r="J100" s="14"/>
      <c r="K100" s="13" t="s">
        <v>850</v>
      </c>
    </row>
    <row r="101" spans="1:11" ht="12.6" customHeight="1" x14ac:dyDescent="0.2">
      <c r="A101" s="13">
        <v>39094</v>
      </c>
      <c r="B101" s="19"/>
      <c r="C101" s="15">
        <v>1.25</v>
      </c>
      <c r="D101" s="14"/>
      <c r="E101" s="15">
        <f t="shared" si="7"/>
        <v>96.91</v>
      </c>
      <c r="F101" s="14"/>
      <c r="G101" s="15">
        <f t="shared" si="6"/>
        <v>1.25</v>
      </c>
      <c r="H101" s="14"/>
      <c r="I101" s="15">
        <f t="shared" si="8"/>
        <v>117.042</v>
      </c>
      <c r="J101" s="14"/>
      <c r="K101" s="13"/>
    </row>
    <row r="102" spans="1:11" ht="12.6" customHeight="1" x14ac:dyDescent="0.2">
      <c r="A102" s="13"/>
      <c r="B102" s="19" t="s">
        <v>47</v>
      </c>
      <c r="C102" s="15"/>
      <c r="D102" s="14"/>
      <c r="E102" s="15">
        <f t="shared" si="7"/>
        <v>96.91</v>
      </c>
      <c r="F102" s="14"/>
      <c r="G102" s="15">
        <f t="shared" si="6"/>
        <v>0</v>
      </c>
      <c r="H102" s="14">
        <v>1</v>
      </c>
      <c r="I102" s="15">
        <f t="shared" si="8"/>
        <v>116.042</v>
      </c>
      <c r="J102" s="14"/>
      <c r="K102" s="13">
        <v>39153</v>
      </c>
    </row>
    <row r="103" spans="1:11" ht="12.6" customHeight="1" x14ac:dyDescent="0.2">
      <c r="A103" s="13">
        <v>39448</v>
      </c>
      <c r="B103" s="19"/>
      <c r="C103" s="15">
        <v>1.25</v>
      </c>
      <c r="D103" s="14"/>
      <c r="E103" s="15">
        <f t="shared" si="7"/>
        <v>98.16</v>
      </c>
      <c r="F103" s="14"/>
      <c r="G103" s="15">
        <f t="shared" si="6"/>
        <v>1.25</v>
      </c>
      <c r="H103" s="14"/>
      <c r="I103" s="15">
        <f t="shared" si="8"/>
        <v>117.292</v>
      </c>
      <c r="J103" s="14"/>
      <c r="K103" s="19"/>
    </row>
    <row r="104" spans="1:11" ht="12.6" customHeight="1" x14ac:dyDescent="0.2">
      <c r="A104" s="13"/>
      <c r="B104" s="19" t="s">
        <v>851</v>
      </c>
      <c r="C104" s="15"/>
      <c r="D104" s="14">
        <v>0.104</v>
      </c>
      <c r="E104" s="15">
        <f t="shared" si="7"/>
        <v>98.055999999999997</v>
      </c>
      <c r="F104" s="14"/>
      <c r="G104" s="15">
        <f t="shared" si="6"/>
        <v>0</v>
      </c>
      <c r="H104" s="14"/>
      <c r="I104" s="15">
        <f t="shared" si="8"/>
        <v>117.292</v>
      </c>
      <c r="J104" s="14"/>
      <c r="K104" s="13" t="s">
        <v>637</v>
      </c>
    </row>
    <row r="105" spans="1:11" s="63" customFormat="1" ht="12.6" customHeight="1" x14ac:dyDescent="0.2">
      <c r="A105" s="58"/>
      <c r="B105" s="67" t="s">
        <v>858</v>
      </c>
      <c r="C105" s="60"/>
      <c r="D105" s="61">
        <v>5</v>
      </c>
      <c r="E105" s="60">
        <f t="shared" si="7"/>
        <v>93.055999999999997</v>
      </c>
      <c r="F105" s="61"/>
      <c r="G105" s="60">
        <f t="shared" si="6"/>
        <v>0</v>
      </c>
      <c r="H105" s="61"/>
      <c r="I105" s="60">
        <f t="shared" si="8"/>
        <v>117.292</v>
      </c>
      <c r="J105" s="61"/>
      <c r="K105" s="58" t="s">
        <v>857</v>
      </c>
    </row>
    <row r="106" spans="1:11" ht="12.6" customHeight="1" x14ac:dyDescent="0.2">
      <c r="A106" s="13">
        <v>39450</v>
      </c>
      <c r="B106" s="19"/>
      <c r="C106" s="15">
        <v>2.5</v>
      </c>
      <c r="D106" s="14"/>
      <c r="E106" s="15">
        <f t="shared" si="7"/>
        <v>95.555999999999997</v>
      </c>
      <c r="F106" s="14"/>
      <c r="G106" s="15">
        <f t="shared" si="6"/>
        <v>2.5</v>
      </c>
      <c r="H106" s="14"/>
      <c r="I106" s="15">
        <f t="shared" si="8"/>
        <v>119.792</v>
      </c>
      <c r="J106" s="14"/>
      <c r="K106" s="13"/>
    </row>
    <row r="107" spans="1:11" ht="12.6" customHeight="1" x14ac:dyDescent="0.2">
      <c r="A107" s="13"/>
      <c r="B107" s="19" t="s">
        <v>45</v>
      </c>
      <c r="C107" s="15"/>
      <c r="D107" s="14"/>
      <c r="E107" s="15">
        <f t="shared" si="7"/>
        <v>95.555999999999997</v>
      </c>
      <c r="F107" s="14"/>
      <c r="G107" s="15">
        <f t="shared" si="6"/>
        <v>0</v>
      </c>
      <c r="H107" s="14"/>
      <c r="I107" s="15">
        <f t="shared" si="8"/>
        <v>119.792</v>
      </c>
      <c r="J107" s="14"/>
      <c r="K107" s="13" t="s">
        <v>852</v>
      </c>
    </row>
    <row r="108" spans="1:11" ht="12.6" customHeight="1" x14ac:dyDescent="0.2">
      <c r="A108" s="19"/>
      <c r="B108" s="19"/>
      <c r="C108" s="15">
        <f>SUM(C82:C107)</f>
        <v>25</v>
      </c>
      <c r="D108" s="15">
        <f>SUM(D82:D107)</f>
        <v>5.1040000000000001</v>
      </c>
      <c r="E108" s="15"/>
      <c r="F108" s="14"/>
      <c r="G108" s="15">
        <f>SUM(G82:G107)</f>
        <v>25</v>
      </c>
      <c r="H108" s="15">
        <f>SUM(H82:H107)</f>
        <v>10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MARASIGAN, JAIME R.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JANUARY 18, 1999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39452</v>
      </c>
      <c r="B117" s="19"/>
      <c r="C117" s="15">
        <v>2.5</v>
      </c>
      <c r="D117" s="14"/>
      <c r="E117" s="15">
        <f>E107+C117-D117</f>
        <v>98.055999999999997</v>
      </c>
      <c r="F117" s="14"/>
      <c r="G117" s="15">
        <f>C117</f>
        <v>2.5</v>
      </c>
      <c r="H117" s="14"/>
      <c r="I117" s="15">
        <f>I107+G117-H117</f>
        <v>122.292</v>
      </c>
      <c r="J117" s="14"/>
      <c r="K117" s="13"/>
    </row>
    <row r="118" spans="1:11" ht="12.6" customHeight="1" x14ac:dyDescent="0.2">
      <c r="A118" s="13"/>
      <c r="B118" s="19" t="s">
        <v>47</v>
      </c>
      <c r="C118" s="15"/>
      <c r="D118" s="14"/>
      <c r="E118" s="15">
        <f>E117+C118-D118</f>
        <v>98.055999999999997</v>
      </c>
      <c r="F118" s="14"/>
      <c r="G118" s="15">
        <f t="shared" ref="G118:G142" si="9">C118</f>
        <v>0</v>
      </c>
      <c r="H118" s="14">
        <v>1</v>
      </c>
      <c r="I118" s="15">
        <f>I117+G118-H118</f>
        <v>121.292</v>
      </c>
      <c r="J118" s="22"/>
      <c r="K118" s="13">
        <v>39483</v>
      </c>
    </row>
    <row r="119" spans="1:11" ht="12.6" customHeight="1" x14ac:dyDescent="0.2">
      <c r="A119" s="13">
        <v>39453</v>
      </c>
      <c r="B119" s="17"/>
      <c r="C119" s="15">
        <v>1.25</v>
      </c>
      <c r="D119" s="14"/>
      <c r="E119" s="15">
        <f t="shared" ref="E119:E142" si="10">E118+C119-D119</f>
        <v>99.305999999999997</v>
      </c>
      <c r="F119" s="14"/>
      <c r="G119" s="15">
        <f t="shared" si="9"/>
        <v>1.25</v>
      </c>
      <c r="H119" s="14"/>
      <c r="I119" s="15">
        <f t="shared" ref="I119:I142" si="11">I118+G119-H119</f>
        <v>122.542</v>
      </c>
      <c r="J119" s="14"/>
      <c r="K119" s="23"/>
    </row>
    <row r="120" spans="1:11" ht="12.6" customHeight="1" x14ac:dyDescent="0.2">
      <c r="A120" s="13"/>
      <c r="B120" s="19" t="s">
        <v>129</v>
      </c>
      <c r="C120" s="15"/>
      <c r="D120" s="14"/>
      <c r="E120" s="15">
        <f t="shared" si="10"/>
        <v>99.305999999999997</v>
      </c>
      <c r="F120" s="14"/>
      <c r="G120" s="15">
        <f t="shared" si="9"/>
        <v>0</v>
      </c>
      <c r="H120" s="14">
        <v>0.5</v>
      </c>
      <c r="I120" s="15">
        <f t="shared" si="11"/>
        <v>122.042</v>
      </c>
      <c r="J120" s="14"/>
      <c r="K120" s="16" t="s">
        <v>853</v>
      </c>
    </row>
    <row r="121" spans="1:11" ht="12.6" customHeight="1" x14ac:dyDescent="0.2">
      <c r="A121" s="13"/>
      <c r="B121" s="19" t="s">
        <v>52</v>
      </c>
      <c r="C121" s="15"/>
      <c r="D121" s="14"/>
      <c r="E121" s="15">
        <f t="shared" si="10"/>
        <v>99.305999999999997</v>
      </c>
      <c r="F121" s="14"/>
      <c r="G121" s="15">
        <f t="shared" si="9"/>
        <v>0</v>
      </c>
      <c r="H121" s="14">
        <v>2</v>
      </c>
      <c r="I121" s="15">
        <f t="shared" si="11"/>
        <v>120.042</v>
      </c>
      <c r="J121" s="14"/>
      <c r="K121" s="13" t="s">
        <v>854</v>
      </c>
    </row>
    <row r="122" spans="1:11" ht="12.6" customHeight="1" x14ac:dyDescent="0.2">
      <c r="A122" s="29">
        <v>39455</v>
      </c>
      <c r="B122" s="19"/>
      <c r="C122" s="15">
        <v>2.5</v>
      </c>
      <c r="D122" s="14"/>
      <c r="E122" s="15">
        <f t="shared" si="10"/>
        <v>101.806</v>
      </c>
      <c r="F122" s="14"/>
      <c r="G122" s="15">
        <f t="shared" si="9"/>
        <v>2.5</v>
      </c>
      <c r="H122" s="14"/>
      <c r="I122" s="15">
        <f t="shared" si="11"/>
        <v>122.542</v>
      </c>
      <c r="J122" s="14"/>
      <c r="K122" s="13"/>
    </row>
    <row r="123" spans="1:11" ht="12.6" customHeight="1" x14ac:dyDescent="0.2">
      <c r="A123" s="13"/>
      <c r="B123" s="19" t="s">
        <v>47</v>
      </c>
      <c r="C123" s="15"/>
      <c r="D123" s="14"/>
      <c r="E123" s="15">
        <f t="shared" si="10"/>
        <v>101.806</v>
      </c>
      <c r="F123" s="14"/>
      <c r="G123" s="15">
        <f t="shared" si="9"/>
        <v>0</v>
      </c>
      <c r="H123" s="14">
        <v>1</v>
      </c>
      <c r="I123" s="15">
        <f t="shared" si="11"/>
        <v>121.542</v>
      </c>
      <c r="J123" s="14"/>
      <c r="K123" s="13">
        <v>39455</v>
      </c>
    </row>
    <row r="124" spans="1:11" ht="12.6" customHeight="1" x14ac:dyDescent="0.2">
      <c r="A124" s="13">
        <v>39456</v>
      </c>
      <c r="B124" s="17"/>
      <c r="C124" s="15">
        <v>1.25</v>
      </c>
      <c r="D124" s="14"/>
      <c r="E124" s="15">
        <f t="shared" si="10"/>
        <v>103.056</v>
      </c>
      <c r="F124" s="14"/>
      <c r="G124" s="15">
        <f t="shared" si="9"/>
        <v>1.25</v>
      </c>
      <c r="H124" s="14"/>
      <c r="I124" s="15">
        <f t="shared" si="11"/>
        <v>122.792</v>
      </c>
      <c r="J124" s="14"/>
      <c r="K124" s="13"/>
    </row>
    <row r="125" spans="1:11" ht="12.6" customHeight="1" x14ac:dyDescent="0.2">
      <c r="A125" s="13"/>
      <c r="B125" s="19" t="s">
        <v>67</v>
      </c>
      <c r="C125" s="15"/>
      <c r="D125" s="14"/>
      <c r="E125" s="15">
        <f t="shared" si="10"/>
        <v>103.056</v>
      </c>
      <c r="F125" s="14"/>
      <c r="G125" s="15">
        <f t="shared" si="9"/>
        <v>0</v>
      </c>
      <c r="H125" s="14">
        <v>3</v>
      </c>
      <c r="I125" s="15">
        <f t="shared" si="11"/>
        <v>119.792</v>
      </c>
      <c r="J125" s="14"/>
      <c r="K125" s="16" t="s">
        <v>855</v>
      </c>
    </row>
    <row r="126" spans="1:11" ht="12.6" customHeight="1" x14ac:dyDescent="0.2">
      <c r="A126" s="13"/>
      <c r="B126" s="17" t="s">
        <v>296</v>
      </c>
      <c r="C126" s="15"/>
      <c r="D126" s="14">
        <v>1.5</v>
      </c>
      <c r="E126" s="15">
        <f t="shared" si="10"/>
        <v>101.556</v>
      </c>
      <c r="F126" s="14"/>
      <c r="G126" s="15">
        <f t="shared" si="9"/>
        <v>0</v>
      </c>
      <c r="H126" s="14"/>
      <c r="I126" s="15">
        <f t="shared" si="11"/>
        <v>119.792</v>
      </c>
      <c r="J126" s="14"/>
      <c r="K126" s="16" t="s">
        <v>856</v>
      </c>
    </row>
    <row r="127" spans="1:11" ht="12.6" customHeight="1" x14ac:dyDescent="0.2">
      <c r="A127" s="13">
        <v>39459</v>
      </c>
      <c r="B127" s="17"/>
      <c r="C127" s="15">
        <v>3.75</v>
      </c>
      <c r="D127" s="14"/>
      <c r="E127" s="15">
        <f t="shared" si="10"/>
        <v>105.306</v>
      </c>
      <c r="F127" s="14"/>
      <c r="G127" s="15">
        <f t="shared" si="9"/>
        <v>3.75</v>
      </c>
      <c r="H127" s="14"/>
      <c r="I127" s="15">
        <f t="shared" si="11"/>
        <v>123.542</v>
      </c>
      <c r="J127" s="14"/>
      <c r="K127" s="13"/>
    </row>
    <row r="128" spans="1:11" ht="12.6" customHeight="1" x14ac:dyDescent="0.2">
      <c r="A128" s="13"/>
      <c r="B128" s="17" t="s">
        <v>860</v>
      </c>
      <c r="C128" s="15"/>
      <c r="D128" s="14"/>
      <c r="E128" s="15">
        <f t="shared" si="10"/>
        <v>105.306</v>
      </c>
      <c r="F128" s="14"/>
      <c r="G128" s="15">
        <f t="shared" si="9"/>
        <v>0</v>
      </c>
      <c r="H128" s="14"/>
      <c r="I128" s="15">
        <f t="shared" si="11"/>
        <v>123.542</v>
      </c>
      <c r="J128" s="14"/>
      <c r="K128" s="13" t="s">
        <v>859</v>
      </c>
    </row>
    <row r="129" spans="1:11" ht="12.6" customHeight="1" x14ac:dyDescent="0.2">
      <c r="A129" s="13">
        <v>39825</v>
      </c>
      <c r="B129" s="19"/>
      <c r="C129" s="15">
        <v>15</v>
      </c>
      <c r="D129" s="14"/>
      <c r="E129" s="15">
        <f t="shared" si="10"/>
        <v>120.306</v>
      </c>
      <c r="F129" s="14"/>
      <c r="G129" s="15">
        <f t="shared" si="9"/>
        <v>15</v>
      </c>
      <c r="H129" s="14"/>
      <c r="I129" s="15">
        <f t="shared" si="11"/>
        <v>138.542</v>
      </c>
      <c r="J129" s="14"/>
      <c r="K129" s="13"/>
    </row>
    <row r="130" spans="1:11" ht="12.6" customHeight="1" x14ac:dyDescent="0.2">
      <c r="A130" s="13"/>
      <c r="B130" s="19" t="s">
        <v>195</v>
      </c>
      <c r="C130" s="15"/>
      <c r="D130" s="14"/>
      <c r="E130" s="15">
        <f t="shared" si="10"/>
        <v>120.306</v>
      </c>
      <c r="F130" s="14"/>
      <c r="G130" s="15">
        <f t="shared" si="9"/>
        <v>0</v>
      </c>
      <c r="H130" s="14"/>
      <c r="I130" s="15">
        <f t="shared" si="11"/>
        <v>138.542</v>
      </c>
      <c r="J130" s="14"/>
      <c r="K130" s="13" t="s">
        <v>861</v>
      </c>
    </row>
    <row r="131" spans="1:11" ht="12.6" customHeight="1" x14ac:dyDescent="0.2">
      <c r="A131" s="13">
        <v>40190</v>
      </c>
      <c r="B131" s="19"/>
      <c r="C131" s="15">
        <v>15</v>
      </c>
      <c r="D131" s="14"/>
      <c r="E131" s="15">
        <f t="shared" si="10"/>
        <v>135.30599999999998</v>
      </c>
      <c r="F131" s="14"/>
      <c r="G131" s="15">
        <f t="shared" si="9"/>
        <v>15</v>
      </c>
      <c r="H131" s="14"/>
      <c r="I131" s="15">
        <f t="shared" si="11"/>
        <v>153.542</v>
      </c>
      <c r="J131" s="14"/>
      <c r="K131" s="33"/>
    </row>
    <row r="132" spans="1:11" ht="12.6" customHeight="1" x14ac:dyDescent="0.2">
      <c r="A132" s="13"/>
      <c r="B132" s="19" t="s">
        <v>65</v>
      </c>
      <c r="C132" s="15"/>
      <c r="D132" s="14">
        <v>5</v>
      </c>
      <c r="E132" s="15">
        <f t="shared" si="10"/>
        <v>130.30599999999998</v>
      </c>
      <c r="F132" s="14"/>
      <c r="G132" s="15">
        <f t="shared" si="9"/>
        <v>0</v>
      </c>
      <c r="H132" s="14"/>
      <c r="I132" s="15">
        <f t="shared" si="11"/>
        <v>153.542</v>
      </c>
      <c r="J132" s="14"/>
      <c r="K132" s="13" t="s">
        <v>862</v>
      </c>
    </row>
    <row r="133" spans="1:11" ht="12.6" customHeight="1" x14ac:dyDescent="0.2">
      <c r="A133" s="13">
        <v>40550</v>
      </c>
      <c r="B133" s="19"/>
      <c r="C133" s="15">
        <v>8.75</v>
      </c>
      <c r="D133" s="14"/>
      <c r="E133" s="15">
        <f t="shared" si="10"/>
        <v>139.05599999999998</v>
      </c>
      <c r="F133" s="14"/>
      <c r="G133" s="15">
        <f t="shared" si="9"/>
        <v>8.75</v>
      </c>
      <c r="H133" s="14"/>
      <c r="I133" s="15">
        <f t="shared" si="11"/>
        <v>162.292</v>
      </c>
      <c r="J133" s="14"/>
      <c r="K133" s="16"/>
    </row>
    <row r="134" spans="1:11" ht="12.6" customHeight="1" x14ac:dyDescent="0.2">
      <c r="A134" s="13"/>
      <c r="B134" s="19" t="s">
        <v>52</v>
      </c>
      <c r="C134" s="15"/>
      <c r="D134" s="14"/>
      <c r="E134" s="15">
        <f t="shared" si="10"/>
        <v>139.05599999999998</v>
      </c>
      <c r="F134" s="14"/>
      <c r="G134" s="15">
        <f t="shared" si="9"/>
        <v>0</v>
      </c>
      <c r="H134" s="14">
        <v>2</v>
      </c>
      <c r="I134" s="15">
        <f t="shared" si="11"/>
        <v>160.292</v>
      </c>
      <c r="J134" s="14"/>
      <c r="K134" s="13" t="s">
        <v>863</v>
      </c>
    </row>
    <row r="135" spans="1:11" ht="12.6" customHeight="1" x14ac:dyDescent="0.2">
      <c r="A135" s="13">
        <v>40909</v>
      </c>
      <c r="B135" s="19"/>
      <c r="C135" s="15">
        <v>7.5</v>
      </c>
      <c r="D135" s="14"/>
      <c r="E135" s="15">
        <f t="shared" si="10"/>
        <v>146.55599999999998</v>
      </c>
      <c r="F135" s="14"/>
      <c r="G135" s="15">
        <f t="shared" si="9"/>
        <v>7.5</v>
      </c>
      <c r="H135" s="14"/>
      <c r="I135" s="15">
        <f t="shared" si="11"/>
        <v>167.792</v>
      </c>
      <c r="J135" s="14"/>
      <c r="K135" s="13"/>
    </row>
    <row r="136" spans="1:11" s="63" customFormat="1" ht="12.6" customHeight="1" x14ac:dyDescent="0.2">
      <c r="A136" s="58"/>
      <c r="B136" s="67" t="s">
        <v>65</v>
      </c>
      <c r="C136" s="60"/>
      <c r="D136" s="61">
        <v>5</v>
      </c>
      <c r="E136" s="60">
        <f t="shared" si="10"/>
        <v>141.55599999999998</v>
      </c>
      <c r="F136" s="61"/>
      <c r="G136" s="60">
        <f t="shared" si="9"/>
        <v>0</v>
      </c>
      <c r="H136" s="61"/>
      <c r="I136" s="60">
        <f t="shared" si="11"/>
        <v>167.792</v>
      </c>
      <c r="J136" s="61"/>
      <c r="K136" s="58" t="s">
        <v>161</v>
      </c>
    </row>
    <row r="137" spans="1:11" ht="12.6" customHeight="1" x14ac:dyDescent="0.2">
      <c r="A137" s="13">
        <v>40911</v>
      </c>
      <c r="B137" s="19"/>
      <c r="C137" s="15">
        <v>2.5</v>
      </c>
      <c r="D137" s="14"/>
      <c r="E137" s="15">
        <f t="shared" si="10"/>
        <v>144.05599999999998</v>
      </c>
      <c r="F137" s="14"/>
      <c r="G137" s="15">
        <f t="shared" si="9"/>
        <v>2.5</v>
      </c>
      <c r="H137" s="14"/>
      <c r="I137" s="15">
        <f t="shared" si="11"/>
        <v>170.292</v>
      </c>
      <c r="J137" s="14"/>
      <c r="K137" s="13"/>
    </row>
    <row r="138" spans="1:11" ht="12.6" customHeight="1" x14ac:dyDescent="0.2">
      <c r="A138" s="13"/>
      <c r="B138" s="19" t="s">
        <v>166</v>
      </c>
      <c r="C138" s="15"/>
      <c r="D138" s="14"/>
      <c r="E138" s="15">
        <f t="shared" si="10"/>
        <v>144.05599999999998</v>
      </c>
      <c r="F138" s="14"/>
      <c r="G138" s="15">
        <f t="shared" si="9"/>
        <v>0</v>
      </c>
      <c r="H138" s="14"/>
      <c r="I138" s="15">
        <f t="shared" si="11"/>
        <v>170.292</v>
      </c>
      <c r="J138" s="14"/>
      <c r="K138" s="19" t="s">
        <v>864</v>
      </c>
    </row>
    <row r="139" spans="1:11" ht="12.6" customHeight="1" x14ac:dyDescent="0.2">
      <c r="A139" s="13">
        <v>40916</v>
      </c>
      <c r="B139" s="19"/>
      <c r="C139" s="15">
        <v>6.25</v>
      </c>
      <c r="D139" s="14"/>
      <c r="E139" s="15">
        <f t="shared" si="10"/>
        <v>150.30599999999998</v>
      </c>
      <c r="F139" s="14"/>
      <c r="G139" s="15">
        <f t="shared" si="9"/>
        <v>6.25</v>
      </c>
      <c r="H139" s="14"/>
      <c r="I139" s="15">
        <f t="shared" si="11"/>
        <v>176.542</v>
      </c>
      <c r="J139" s="14"/>
      <c r="K139" s="13"/>
    </row>
    <row r="140" spans="1:11" ht="12.6" customHeight="1" x14ac:dyDescent="0.2">
      <c r="A140" s="13"/>
      <c r="B140" s="19" t="s">
        <v>52</v>
      </c>
      <c r="C140" s="15"/>
      <c r="D140" s="14"/>
      <c r="E140" s="15">
        <f t="shared" si="10"/>
        <v>150.30599999999998</v>
      </c>
      <c r="F140" s="14"/>
      <c r="G140" s="15">
        <f t="shared" si="9"/>
        <v>0</v>
      </c>
      <c r="H140" s="14">
        <v>2</v>
      </c>
      <c r="I140" s="15">
        <f t="shared" si="11"/>
        <v>174.542</v>
      </c>
      <c r="J140" s="14"/>
      <c r="K140" s="13" t="s">
        <v>865</v>
      </c>
    </row>
    <row r="141" spans="1:11" ht="12.6" customHeight="1" x14ac:dyDescent="0.2">
      <c r="A141" s="13">
        <v>40917</v>
      </c>
      <c r="B141" s="19"/>
      <c r="C141" s="15">
        <v>1.25</v>
      </c>
      <c r="D141" s="14"/>
      <c r="E141" s="15">
        <f t="shared" si="10"/>
        <v>151.55599999999998</v>
      </c>
      <c r="F141" s="14"/>
      <c r="G141" s="15">
        <f t="shared" si="9"/>
        <v>1.25</v>
      </c>
      <c r="H141" s="14"/>
      <c r="I141" s="15">
        <f t="shared" si="11"/>
        <v>175.792</v>
      </c>
      <c r="J141" s="14"/>
      <c r="K141" s="13"/>
    </row>
    <row r="142" spans="1:11" ht="12.6" customHeight="1" x14ac:dyDescent="0.2">
      <c r="A142" s="13"/>
      <c r="B142" s="19" t="s">
        <v>95</v>
      </c>
      <c r="C142" s="15"/>
      <c r="D142" s="14">
        <v>3</v>
      </c>
      <c r="E142" s="15">
        <f t="shared" si="10"/>
        <v>148.55599999999998</v>
      </c>
      <c r="F142" s="14"/>
      <c r="G142" s="15">
        <f t="shared" si="9"/>
        <v>0</v>
      </c>
      <c r="H142" s="14"/>
      <c r="I142" s="15">
        <f t="shared" si="11"/>
        <v>175.792</v>
      </c>
      <c r="J142" s="14"/>
      <c r="K142" s="16" t="s">
        <v>866</v>
      </c>
    </row>
    <row r="143" spans="1:11" ht="12.6" customHeight="1" x14ac:dyDescent="0.2">
      <c r="A143" s="19"/>
      <c r="B143" s="19"/>
      <c r="C143" s="15">
        <f>SUM(C117:C142)</f>
        <v>67.5</v>
      </c>
      <c r="D143" s="15">
        <f>SUM(D117:D142)</f>
        <v>14.5</v>
      </c>
      <c r="E143" s="15"/>
      <c r="F143" s="14"/>
      <c r="G143" s="15">
        <f>SUM(G117:G142)</f>
        <v>67.5</v>
      </c>
      <c r="H143" s="15">
        <f>SUM(H117:H142)</f>
        <v>11.5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MARASIGAN, JAIME R.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JANUARY 18, 1999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41275</v>
      </c>
      <c r="B156" s="19"/>
      <c r="C156" s="15">
        <v>5</v>
      </c>
      <c r="D156" s="14"/>
      <c r="E156" s="15">
        <f>E142+C156-D156</f>
        <v>153.55599999999998</v>
      </c>
      <c r="F156" s="14"/>
      <c r="G156" s="15">
        <f>C156</f>
        <v>5</v>
      </c>
      <c r="H156" s="14"/>
      <c r="I156" s="15">
        <f>I142+G156-H156</f>
        <v>180.792</v>
      </c>
      <c r="J156" s="14"/>
      <c r="K156" s="13"/>
    </row>
    <row r="157" spans="1:11" ht="12.6" customHeight="1" x14ac:dyDescent="0.2">
      <c r="A157" s="13"/>
      <c r="B157" s="19" t="s">
        <v>77</v>
      </c>
      <c r="C157" s="15"/>
      <c r="D157" s="14">
        <v>2</v>
      </c>
      <c r="E157" s="15">
        <f>E156+C157-D157</f>
        <v>151.55599999999998</v>
      </c>
      <c r="F157" s="14"/>
      <c r="G157" s="15">
        <f t="shared" ref="G157:G181" si="12">C157</f>
        <v>0</v>
      </c>
      <c r="H157" s="14"/>
      <c r="I157" s="15">
        <f>I156+G157-H157</f>
        <v>180.792</v>
      </c>
      <c r="J157" s="14"/>
      <c r="K157" s="13" t="s">
        <v>161</v>
      </c>
    </row>
    <row r="158" spans="1:11" ht="12.6" customHeight="1" x14ac:dyDescent="0.2">
      <c r="A158" s="13">
        <v>41278</v>
      </c>
      <c r="B158" s="19"/>
      <c r="C158" s="15">
        <v>3.75</v>
      </c>
      <c r="D158" s="14"/>
      <c r="E158" s="15">
        <f t="shared" ref="E158:E181" si="13">E157+C158-D158</f>
        <v>155.30599999999998</v>
      </c>
      <c r="F158" s="22"/>
      <c r="G158" s="15">
        <f t="shared" si="12"/>
        <v>3.75</v>
      </c>
      <c r="H158" s="34"/>
      <c r="I158" s="15">
        <f t="shared" ref="I158:I181" si="14">I157+G158-H158</f>
        <v>184.542</v>
      </c>
      <c r="J158" s="14"/>
      <c r="K158" s="13"/>
    </row>
    <row r="159" spans="1:11" ht="12.6" customHeight="1" x14ac:dyDescent="0.2">
      <c r="A159" s="13"/>
      <c r="B159" s="19" t="s">
        <v>90</v>
      </c>
      <c r="C159" s="15"/>
      <c r="D159" s="14"/>
      <c r="E159" s="15">
        <f t="shared" si="13"/>
        <v>155.30599999999998</v>
      </c>
      <c r="F159" s="14"/>
      <c r="G159" s="15">
        <f t="shared" si="12"/>
        <v>0</v>
      </c>
      <c r="H159" s="34"/>
      <c r="I159" s="15">
        <f t="shared" si="14"/>
        <v>184.542</v>
      </c>
      <c r="J159" s="14"/>
      <c r="K159" s="13" t="s">
        <v>867</v>
      </c>
    </row>
    <row r="160" spans="1:11" ht="12.6" customHeight="1" x14ac:dyDescent="0.2">
      <c r="A160" s="13">
        <v>41279</v>
      </c>
      <c r="B160" s="19"/>
      <c r="C160" s="15">
        <v>1.25</v>
      </c>
      <c r="D160" s="14"/>
      <c r="E160" s="15">
        <f t="shared" si="13"/>
        <v>156.55599999999998</v>
      </c>
      <c r="F160" s="14"/>
      <c r="G160" s="15">
        <f t="shared" si="12"/>
        <v>1.25</v>
      </c>
      <c r="H160" s="34"/>
      <c r="I160" s="15">
        <f t="shared" si="14"/>
        <v>185.792</v>
      </c>
      <c r="J160" s="14"/>
      <c r="K160" s="16"/>
    </row>
    <row r="161" spans="1:11" ht="12.6" customHeight="1" x14ac:dyDescent="0.2">
      <c r="A161" s="13"/>
      <c r="B161" s="19" t="s">
        <v>689</v>
      </c>
      <c r="C161" s="15"/>
      <c r="D161" s="14"/>
      <c r="E161" s="15">
        <f t="shared" si="13"/>
        <v>156.55599999999998</v>
      </c>
      <c r="F161" s="14"/>
      <c r="G161" s="15">
        <f t="shared" si="12"/>
        <v>0</v>
      </c>
      <c r="H161" s="34">
        <v>6</v>
      </c>
      <c r="I161" s="15">
        <f t="shared" si="14"/>
        <v>179.792</v>
      </c>
      <c r="J161" s="14"/>
      <c r="K161" s="13" t="s">
        <v>868</v>
      </c>
    </row>
    <row r="162" spans="1:11" ht="12.6" customHeight="1" x14ac:dyDescent="0.2">
      <c r="A162" s="13"/>
      <c r="B162" s="19" t="s">
        <v>870</v>
      </c>
      <c r="C162" s="15"/>
      <c r="D162" s="14">
        <v>8</v>
      </c>
      <c r="E162" s="15">
        <f t="shared" si="13"/>
        <v>148.55599999999998</v>
      </c>
      <c r="F162" s="14"/>
      <c r="G162" s="15">
        <f t="shared" si="12"/>
        <v>0</v>
      </c>
      <c r="H162" s="34"/>
      <c r="I162" s="15">
        <f t="shared" si="14"/>
        <v>179.792</v>
      </c>
      <c r="J162" s="14"/>
      <c r="K162" s="16" t="s">
        <v>869</v>
      </c>
    </row>
    <row r="163" spans="1:11" ht="12.6" customHeight="1" x14ac:dyDescent="0.2">
      <c r="A163" s="13">
        <v>41280</v>
      </c>
      <c r="B163" s="19"/>
      <c r="C163" s="15">
        <v>1.25</v>
      </c>
      <c r="D163" s="22"/>
      <c r="E163" s="15">
        <f t="shared" si="13"/>
        <v>149.80599999999998</v>
      </c>
      <c r="F163" s="22"/>
      <c r="G163" s="15">
        <f t="shared" si="12"/>
        <v>1.25</v>
      </c>
      <c r="H163" s="14"/>
      <c r="I163" s="15">
        <f t="shared" si="14"/>
        <v>181.042</v>
      </c>
      <c r="J163" s="14"/>
      <c r="K163" s="13"/>
    </row>
    <row r="164" spans="1:11" ht="12.6" customHeight="1" x14ac:dyDescent="0.2">
      <c r="A164" s="13"/>
      <c r="B164" s="19" t="s">
        <v>125</v>
      </c>
      <c r="C164" s="15"/>
      <c r="D164" s="22"/>
      <c r="E164" s="15">
        <f t="shared" si="13"/>
        <v>149.80599999999998</v>
      </c>
      <c r="F164" s="14"/>
      <c r="G164" s="15">
        <f t="shared" si="12"/>
        <v>0</v>
      </c>
      <c r="H164" s="34">
        <v>4</v>
      </c>
      <c r="I164" s="15">
        <f t="shared" si="14"/>
        <v>177.042</v>
      </c>
      <c r="J164" s="14"/>
      <c r="K164" s="13" t="s">
        <v>871</v>
      </c>
    </row>
    <row r="165" spans="1:11" ht="12.6" customHeight="1" x14ac:dyDescent="0.2">
      <c r="A165" s="13">
        <v>41284</v>
      </c>
      <c r="B165" s="19"/>
      <c r="C165" s="15">
        <v>5</v>
      </c>
      <c r="D165" s="14"/>
      <c r="E165" s="15">
        <f t="shared" si="13"/>
        <v>154.80599999999998</v>
      </c>
      <c r="F165" s="14"/>
      <c r="G165" s="15">
        <f t="shared" si="12"/>
        <v>5</v>
      </c>
      <c r="H165" s="34"/>
      <c r="I165" s="15">
        <f t="shared" si="14"/>
        <v>182.042</v>
      </c>
      <c r="J165" s="14"/>
      <c r="K165" s="13"/>
    </row>
    <row r="166" spans="1:11" ht="12.6" customHeight="1" x14ac:dyDescent="0.2">
      <c r="A166" s="13"/>
      <c r="B166" s="19" t="s">
        <v>873</v>
      </c>
      <c r="C166" s="15"/>
      <c r="D166" s="14"/>
      <c r="E166" s="15">
        <f t="shared" si="13"/>
        <v>154.80599999999998</v>
      </c>
      <c r="F166" s="22"/>
      <c r="G166" s="15">
        <f t="shared" si="12"/>
        <v>0</v>
      </c>
      <c r="H166" s="34">
        <v>15</v>
      </c>
      <c r="I166" s="15">
        <f t="shared" si="14"/>
        <v>167.042</v>
      </c>
      <c r="J166" s="14"/>
      <c r="K166" s="13" t="s">
        <v>872</v>
      </c>
    </row>
    <row r="167" spans="1:11" ht="12.6" customHeight="1" x14ac:dyDescent="0.2">
      <c r="A167" s="13">
        <v>41640</v>
      </c>
      <c r="B167" s="19"/>
      <c r="C167" s="15">
        <v>3.75</v>
      </c>
      <c r="D167" s="14"/>
      <c r="E167" s="15">
        <f t="shared" si="13"/>
        <v>158.55599999999998</v>
      </c>
      <c r="F167" s="22"/>
      <c r="G167" s="15">
        <f t="shared" si="12"/>
        <v>3.75</v>
      </c>
      <c r="H167" s="35"/>
      <c r="I167" s="15">
        <f t="shared" si="14"/>
        <v>170.792</v>
      </c>
      <c r="J167" s="14"/>
      <c r="K167" s="16"/>
    </row>
    <row r="168" spans="1:11" ht="12.6" customHeight="1" x14ac:dyDescent="0.2">
      <c r="A168" s="13">
        <v>42005</v>
      </c>
      <c r="B168" s="19"/>
      <c r="C168" s="15">
        <v>15</v>
      </c>
      <c r="D168" s="14"/>
      <c r="E168" s="15">
        <f t="shared" si="13"/>
        <v>173.55599999999998</v>
      </c>
      <c r="F168" s="14"/>
      <c r="G168" s="15">
        <f t="shared" si="12"/>
        <v>15</v>
      </c>
      <c r="H168" s="32"/>
      <c r="I168" s="15">
        <f t="shared" si="14"/>
        <v>185.792</v>
      </c>
      <c r="J168" s="14"/>
      <c r="K168" s="13"/>
    </row>
    <row r="169" spans="1:11" ht="12.6" customHeight="1" x14ac:dyDescent="0.2">
      <c r="A169" s="13"/>
      <c r="B169" s="19" t="s">
        <v>65</v>
      </c>
      <c r="C169" s="15"/>
      <c r="D169" s="14">
        <v>5</v>
      </c>
      <c r="E169" s="15">
        <f t="shared" si="13"/>
        <v>168.55599999999998</v>
      </c>
      <c r="F169" s="22"/>
      <c r="G169" s="15">
        <f t="shared" si="12"/>
        <v>0</v>
      </c>
      <c r="H169" s="34"/>
      <c r="I169" s="15">
        <f t="shared" si="14"/>
        <v>185.792</v>
      </c>
      <c r="J169" s="14"/>
      <c r="K169" s="13" t="s">
        <v>171</v>
      </c>
    </row>
    <row r="170" spans="1:11" ht="12.6" customHeight="1" x14ac:dyDescent="0.2">
      <c r="A170" s="13">
        <v>42007</v>
      </c>
      <c r="B170" s="19"/>
      <c r="C170" s="15">
        <v>2.5</v>
      </c>
      <c r="D170" s="14"/>
      <c r="E170" s="15">
        <f t="shared" si="13"/>
        <v>171.05599999999998</v>
      </c>
      <c r="F170" s="14"/>
      <c r="G170" s="15">
        <f t="shared" si="12"/>
        <v>2.5</v>
      </c>
      <c r="H170" s="14"/>
      <c r="I170" s="15">
        <f t="shared" si="14"/>
        <v>188.292</v>
      </c>
      <c r="J170" s="14"/>
      <c r="K170" s="13"/>
    </row>
    <row r="171" spans="1:11" ht="12.6" customHeight="1" x14ac:dyDescent="0.2">
      <c r="A171" s="13"/>
      <c r="B171" s="19" t="s">
        <v>90</v>
      </c>
      <c r="C171" s="15"/>
      <c r="D171" s="14"/>
      <c r="E171" s="15">
        <f t="shared" si="13"/>
        <v>171.05599999999998</v>
      </c>
      <c r="F171" s="14"/>
      <c r="G171" s="15">
        <f t="shared" si="12"/>
        <v>0</v>
      </c>
      <c r="H171" s="34"/>
      <c r="I171" s="15">
        <f t="shared" si="14"/>
        <v>188.292</v>
      </c>
      <c r="J171" s="14"/>
      <c r="K171" s="16" t="s">
        <v>874</v>
      </c>
    </row>
    <row r="172" spans="1:11" ht="12.6" customHeight="1" x14ac:dyDescent="0.2">
      <c r="A172" s="13">
        <v>42010</v>
      </c>
      <c r="B172" s="19"/>
      <c r="C172" s="15">
        <v>3.75</v>
      </c>
      <c r="D172" s="14"/>
      <c r="E172" s="15">
        <f t="shared" si="13"/>
        <v>174.80599999999998</v>
      </c>
      <c r="F172" s="14"/>
      <c r="G172" s="15">
        <f t="shared" si="12"/>
        <v>3.75</v>
      </c>
      <c r="H172" s="34"/>
      <c r="I172" s="15">
        <f t="shared" si="14"/>
        <v>192.042</v>
      </c>
      <c r="J172" s="14"/>
      <c r="K172" s="13"/>
    </row>
    <row r="173" spans="1:11" ht="12.6" customHeight="1" x14ac:dyDescent="0.2">
      <c r="A173" s="13"/>
      <c r="B173" s="19" t="s">
        <v>876</v>
      </c>
      <c r="C173" s="15"/>
      <c r="D173" s="14">
        <v>20</v>
      </c>
      <c r="E173" s="15">
        <f t="shared" si="13"/>
        <v>154.80599999999998</v>
      </c>
      <c r="F173" s="14"/>
      <c r="G173" s="15">
        <f t="shared" si="12"/>
        <v>0</v>
      </c>
      <c r="H173" s="35">
        <v>25</v>
      </c>
      <c r="I173" s="15">
        <f t="shared" si="14"/>
        <v>167.042</v>
      </c>
      <c r="J173" s="14"/>
      <c r="K173" s="13" t="s">
        <v>875</v>
      </c>
    </row>
    <row r="174" spans="1:11" ht="12.6" customHeight="1" x14ac:dyDescent="0.2">
      <c r="A174" s="13">
        <v>42370</v>
      </c>
      <c r="B174" s="19"/>
      <c r="C174" s="15">
        <v>8.75</v>
      </c>
      <c r="D174" s="14"/>
      <c r="E174" s="15">
        <f t="shared" si="13"/>
        <v>163.55599999999998</v>
      </c>
      <c r="F174" s="22"/>
      <c r="G174" s="15">
        <f t="shared" si="12"/>
        <v>8.75</v>
      </c>
      <c r="H174" s="14"/>
      <c r="I174" s="15">
        <f t="shared" si="14"/>
        <v>175.792</v>
      </c>
      <c r="J174" s="14"/>
      <c r="K174" s="13"/>
    </row>
    <row r="175" spans="1:11" ht="12.6" customHeight="1" x14ac:dyDescent="0.2">
      <c r="A175" s="13"/>
      <c r="B175" s="19" t="s">
        <v>65</v>
      </c>
      <c r="C175" s="15"/>
      <c r="D175" s="14">
        <v>5</v>
      </c>
      <c r="E175" s="15">
        <f t="shared" si="13"/>
        <v>158.55599999999998</v>
      </c>
      <c r="F175" s="22"/>
      <c r="G175" s="15">
        <f t="shared" si="12"/>
        <v>0</v>
      </c>
      <c r="H175" s="34"/>
      <c r="I175" s="15">
        <f t="shared" si="14"/>
        <v>175.792</v>
      </c>
      <c r="J175" s="14"/>
      <c r="K175" s="13" t="s">
        <v>174</v>
      </c>
    </row>
    <row r="176" spans="1:11" ht="12.6" customHeight="1" x14ac:dyDescent="0.2">
      <c r="A176" s="13">
        <v>42380</v>
      </c>
      <c r="B176" s="19"/>
      <c r="C176" s="15">
        <v>12.5</v>
      </c>
      <c r="D176" s="14"/>
      <c r="E176" s="15">
        <f t="shared" si="13"/>
        <v>171.05599999999998</v>
      </c>
      <c r="F176" s="14"/>
      <c r="G176" s="15">
        <f t="shared" si="12"/>
        <v>12.5</v>
      </c>
      <c r="H176" s="32"/>
      <c r="I176" s="15">
        <f t="shared" si="14"/>
        <v>188.292</v>
      </c>
      <c r="J176" s="14"/>
      <c r="K176" s="16"/>
    </row>
    <row r="177" spans="1:11" ht="12.6" customHeight="1" x14ac:dyDescent="0.2">
      <c r="A177" s="13"/>
      <c r="B177" s="19" t="s">
        <v>91</v>
      </c>
      <c r="C177" s="15"/>
      <c r="D177" s="14">
        <v>15</v>
      </c>
      <c r="E177" s="15">
        <f t="shared" si="13"/>
        <v>156.05599999999998</v>
      </c>
      <c r="F177" s="14"/>
      <c r="G177" s="15">
        <f t="shared" si="12"/>
        <v>0</v>
      </c>
      <c r="H177" s="34">
        <v>15</v>
      </c>
      <c r="I177" s="15">
        <f t="shared" si="14"/>
        <v>173.292</v>
      </c>
      <c r="J177" s="14"/>
      <c r="K177" s="13">
        <v>42411</v>
      </c>
    </row>
    <row r="178" spans="1:11" ht="12.6" customHeight="1" x14ac:dyDescent="0.2">
      <c r="A178" s="13">
        <v>42381</v>
      </c>
      <c r="B178" s="19"/>
      <c r="C178" s="15">
        <v>1.25</v>
      </c>
      <c r="D178" s="14"/>
      <c r="E178" s="15">
        <f t="shared" si="13"/>
        <v>157.30599999999998</v>
      </c>
      <c r="F178" s="14"/>
      <c r="G178" s="15">
        <f t="shared" si="12"/>
        <v>1.25</v>
      </c>
      <c r="H178" s="34"/>
      <c r="I178" s="15">
        <f t="shared" si="14"/>
        <v>174.542</v>
      </c>
      <c r="J178" s="14"/>
      <c r="K178" s="13"/>
    </row>
    <row r="179" spans="1:11" ht="12.6" customHeight="1" x14ac:dyDescent="0.2">
      <c r="A179" s="13"/>
      <c r="B179" s="19" t="s">
        <v>195</v>
      </c>
      <c r="C179" s="15"/>
      <c r="D179" s="14"/>
      <c r="E179" s="15">
        <f t="shared" si="13"/>
        <v>157.30599999999998</v>
      </c>
      <c r="F179" s="14"/>
      <c r="G179" s="15">
        <f t="shared" si="12"/>
        <v>0</v>
      </c>
      <c r="H179" s="34"/>
      <c r="I179" s="15">
        <f t="shared" si="14"/>
        <v>174.542</v>
      </c>
      <c r="J179" s="14"/>
      <c r="K179" s="16" t="s">
        <v>877</v>
      </c>
    </row>
    <row r="180" spans="1:11" ht="12.6" customHeight="1" x14ac:dyDescent="0.2">
      <c r="A180" s="13">
        <v>42736</v>
      </c>
      <c r="B180" s="19"/>
      <c r="C180" s="15">
        <v>1.25</v>
      </c>
      <c r="D180" s="14"/>
      <c r="E180" s="15">
        <f t="shared" si="13"/>
        <v>158.55599999999998</v>
      </c>
      <c r="F180" s="14"/>
      <c r="G180" s="15">
        <f t="shared" si="12"/>
        <v>1.25</v>
      </c>
      <c r="H180" s="34"/>
      <c r="I180" s="15">
        <f t="shared" si="14"/>
        <v>175.792</v>
      </c>
      <c r="J180" s="14"/>
      <c r="K180" s="13"/>
    </row>
    <row r="181" spans="1:11" ht="12.6" customHeight="1" x14ac:dyDescent="0.2">
      <c r="A181" s="13"/>
      <c r="B181" s="19" t="s">
        <v>45</v>
      </c>
      <c r="C181" s="15"/>
      <c r="D181" s="14"/>
      <c r="E181" s="15">
        <f t="shared" si="13"/>
        <v>158.55599999999998</v>
      </c>
      <c r="F181" s="14"/>
      <c r="G181" s="15">
        <f t="shared" si="12"/>
        <v>0</v>
      </c>
      <c r="H181" s="34"/>
      <c r="I181" s="15">
        <f t="shared" si="14"/>
        <v>175.792</v>
      </c>
      <c r="J181" s="14"/>
      <c r="K181" s="13" t="s">
        <v>878</v>
      </c>
    </row>
    <row r="182" spans="1:11" ht="12.6" customHeight="1" x14ac:dyDescent="0.2">
      <c r="A182" s="19"/>
      <c r="B182" s="19"/>
      <c r="C182" s="15">
        <f>SUM(C156:C181)</f>
        <v>65</v>
      </c>
      <c r="D182" s="15">
        <f>SUM(D156:D181)</f>
        <v>55</v>
      </c>
      <c r="E182" s="36"/>
      <c r="F182" s="37"/>
      <c r="G182" s="15">
        <f>SUM(G156:G181)</f>
        <v>65</v>
      </c>
      <c r="H182" s="15">
        <f>SUM(H156:H181)</f>
        <v>65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MARASIGAN, JAIME R.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JANUARY 18, 1999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42738</v>
      </c>
      <c r="B191" s="19"/>
      <c r="C191" s="15">
        <v>2.5</v>
      </c>
      <c r="D191" s="14"/>
      <c r="E191" s="15">
        <f>E181+C191-D191</f>
        <v>161.05599999999998</v>
      </c>
      <c r="F191" s="14"/>
      <c r="G191" s="15">
        <f>C191</f>
        <v>2.5</v>
      </c>
      <c r="H191" s="34"/>
      <c r="I191" s="15">
        <f>I181+G191-H191</f>
        <v>178.292</v>
      </c>
      <c r="J191" s="14"/>
      <c r="K191" s="13"/>
    </row>
    <row r="192" spans="1:11" ht="12.6" customHeight="1" x14ac:dyDescent="0.2">
      <c r="A192" s="13"/>
      <c r="B192" s="19" t="s">
        <v>45</v>
      </c>
      <c r="C192" s="15"/>
      <c r="D192" s="14"/>
      <c r="E192" s="15">
        <f>E191+C192-D192</f>
        <v>161.05599999999998</v>
      </c>
      <c r="F192" s="14"/>
      <c r="G192" s="15">
        <f t="shared" ref="G192:G216" si="15">C192</f>
        <v>0</v>
      </c>
      <c r="H192" s="34"/>
      <c r="I192" s="15">
        <f>I191+G192-H192</f>
        <v>178.292</v>
      </c>
      <c r="J192" s="14"/>
      <c r="K192" s="13" t="s">
        <v>727</v>
      </c>
    </row>
    <row r="193" spans="1:11" ht="12.6" customHeight="1" x14ac:dyDescent="0.2">
      <c r="A193" s="13">
        <v>42740</v>
      </c>
      <c r="B193" s="19"/>
      <c r="C193" s="15">
        <v>2.5</v>
      </c>
      <c r="D193" s="14"/>
      <c r="E193" s="15">
        <f t="shared" ref="E193:E216" si="16">E192+C193-D193</f>
        <v>163.55599999999998</v>
      </c>
      <c r="F193" s="22"/>
      <c r="G193" s="15">
        <f t="shared" si="15"/>
        <v>2.5</v>
      </c>
      <c r="H193" s="34"/>
      <c r="I193" s="15">
        <f t="shared" ref="I193:I216" si="17">I192+G193-H193</f>
        <v>180.792</v>
      </c>
      <c r="J193" s="14"/>
      <c r="K193" s="38"/>
    </row>
    <row r="194" spans="1:11" ht="12.6" customHeight="1" x14ac:dyDescent="0.2">
      <c r="A194" s="13"/>
      <c r="B194" s="19" t="s">
        <v>45</v>
      </c>
      <c r="C194" s="15"/>
      <c r="D194" s="14"/>
      <c r="E194" s="15">
        <f t="shared" si="16"/>
        <v>163.55599999999998</v>
      </c>
      <c r="F194" s="14"/>
      <c r="G194" s="15">
        <f t="shared" si="15"/>
        <v>0</v>
      </c>
      <c r="H194" s="34"/>
      <c r="I194" s="15">
        <f t="shared" si="17"/>
        <v>180.792</v>
      </c>
      <c r="J194" s="14"/>
      <c r="K194" s="13" t="s">
        <v>879</v>
      </c>
    </row>
    <row r="195" spans="1:11" ht="12.6" customHeight="1" x14ac:dyDescent="0.2">
      <c r="A195" s="13"/>
      <c r="B195" s="19" t="s">
        <v>74</v>
      </c>
      <c r="C195" s="15"/>
      <c r="D195" s="14">
        <v>1</v>
      </c>
      <c r="E195" s="15">
        <f t="shared" si="16"/>
        <v>162.55599999999998</v>
      </c>
      <c r="F195" s="14"/>
      <c r="G195" s="15">
        <f t="shared" si="15"/>
        <v>0</v>
      </c>
      <c r="H195" s="34"/>
      <c r="I195" s="15">
        <f t="shared" si="17"/>
        <v>180.792</v>
      </c>
      <c r="J195" s="14"/>
      <c r="K195" s="13" t="s">
        <v>880</v>
      </c>
    </row>
    <row r="196" spans="1:11" ht="12.6" customHeight="1" x14ac:dyDescent="0.2">
      <c r="A196" s="13">
        <v>42742</v>
      </c>
      <c r="B196" s="19"/>
      <c r="C196" s="15">
        <v>2.5</v>
      </c>
      <c r="D196" s="14"/>
      <c r="E196" s="15">
        <f t="shared" si="16"/>
        <v>165.05599999999998</v>
      </c>
      <c r="F196" s="14"/>
      <c r="G196" s="15">
        <f t="shared" si="15"/>
        <v>2.5</v>
      </c>
      <c r="H196" s="34"/>
      <c r="I196" s="15">
        <f t="shared" si="17"/>
        <v>183.292</v>
      </c>
      <c r="J196" s="14"/>
      <c r="K196" s="13"/>
    </row>
    <row r="197" spans="1:11" ht="12.6" customHeight="1" x14ac:dyDescent="0.2">
      <c r="A197" s="13"/>
      <c r="B197" s="19" t="s">
        <v>91</v>
      </c>
      <c r="C197" s="15"/>
      <c r="D197" s="14">
        <v>15</v>
      </c>
      <c r="E197" s="15">
        <f t="shared" si="16"/>
        <v>150.05599999999998</v>
      </c>
      <c r="F197" s="14"/>
      <c r="G197" s="15">
        <f t="shared" si="15"/>
        <v>0</v>
      </c>
      <c r="H197" s="34">
        <v>15</v>
      </c>
      <c r="I197" s="15">
        <f t="shared" si="17"/>
        <v>168.292</v>
      </c>
      <c r="J197" s="14"/>
      <c r="K197" s="13" t="s">
        <v>881</v>
      </c>
    </row>
    <row r="198" spans="1:11" ht="12.6" customHeight="1" x14ac:dyDescent="0.2">
      <c r="A198" s="13">
        <v>42747</v>
      </c>
      <c r="B198" s="19"/>
      <c r="C198" s="15">
        <v>6.25</v>
      </c>
      <c r="D198" s="22"/>
      <c r="E198" s="15">
        <f t="shared" si="16"/>
        <v>156.30599999999998</v>
      </c>
      <c r="F198" s="22"/>
      <c r="G198" s="15">
        <f t="shared" si="15"/>
        <v>6.25</v>
      </c>
      <c r="H198" s="34"/>
      <c r="I198" s="15">
        <f t="shared" si="17"/>
        <v>174.542</v>
      </c>
      <c r="J198" s="14"/>
      <c r="K198" s="16"/>
    </row>
    <row r="199" spans="1:11" ht="12.6" customHeight="1" x14ac:dyDescent="0.2">
      <c r="A199" s="13"/>
      <c r="B199" s="19" t="s">
        <v>87</v>
      </c>
      <c r="C199" s="15"/>
      <c r="D199" s="22">
        <v>3</v>
      </c>
      <c r="E199" s="15">
        <f t="shared" si="16"/>
        <v>153.30599999999998</v>
      </c>
      <c r="F199" s="14"/>
      <c r="G199" s="15">
        <f t="shared" si="15"/>
        <v>0</v>
      </c>
      <c r="H199" s="34"/>
      <c r="I199" s="15">
        <f t="shared" si="17"/>
        <v>174.542</v>
      </c>
      <c r="J199" s="14"/>
      <c r="K199" s="16" t="s">
        <v>882</v>
      </c>
    </row>
    <row r="200" spans="1:11" ht="12.6" customHeight="1" x14ac:dyDescent="0.2">
      <c r="A200" s="13">
        <v>43101</v>
      </c>
      <c r="B200" s="19"/>
      <c r="C200" s="15">
        <v>1.25</v>
      </c>
      <c r="D200" s="14"/>
      <c r="E200" s="15">
        <f t="shared" si="16"/>
        <v>154.55599999999998</v>
      </c>
      <c r="F200" s="14"/>
      <c r="G200" s="15">
        <f t="shared" si="15"/>
        <v>1.25</v>
      </c>
      <c r="H200" s="34"/>
      <c r="I200" s="15">
        <f t="shared" si="17"/>
        <v>175.792</v>
      </c>
      <c r="J200" s="14"/>
      <c r="K200" s="13"/>
    </row>
    <row r="201" spans="1:11" ht="12.6" customHeight="1" x14ac:dyDescent="0.2">
      <c r="A201" s="13"/>
      <c r="B201" s="19" t="s">
        <v>57</v>
      </c>
      <c r="C201" s="15"/>
      <c r="D201" s="22">
        <v>1</v>
      </c>
      <c r="E201" s="15">
        <f t="shared" si="16"/>
        <v>153.55599999999998</v>
      </c>
      <c r="F201" s="22"/>
      <c r="G201" s="15">
        <f t="shared" si="15"/>
        <v>0</v>
      </c>
      <c r="H201" s="34"/>
      <c r="I201" s="15">
        <f t="shared" si="17"/>
        <v>175.792</v>
      </c>
      <c r="J201" s="14"/>
      <c r="K201" s="13" t="s">
        <v>734</v>
      </c>
    </row>
    <row r="202" spans="1:11" ht="12.6" customHeight="1" x14ac:dyDescent="0.2">
      <c r="A202" s="13">
        <v>43103</v>
      </c>
      <c r="B202" s="19"/>
      <c r="C202" s="15">
        <v>2.5</v>
      </c>
      <c r="D202" s="14"/>
      <c r="E202" s="15">
        <f t="shared" si="16"/>
        <v>156.05599999999998</v>
      </c>
      <c r="F202" s="22"/>
      <c r="G202" s="15">
        <f t="shared" si="15"/>
        <v>2.5</v>
      </c>
      <c r="H202" s="34"/>
      <c r="I202" s="15">
        <f t="shared" si="17"/>
        <v>178.292</v>
      </c>
      <c r="J202" s="14"/>
      <c r="K202" s="13"/>
    </row>
    <row r="203" spans="1:11" ht="12.6" customHeight="1" x14ac:dyDescent="0.2">
      <c r="A203" s="13"/>
      <c r="B203" s="19" t="s">
        <v>90</v>
      </c>
      <c r="C203" s="15"/>
      <c r="D203" s="14"/>
      <c r="E203" s="15">
        <f t="shared" si="16"/>
        <v>156.05599999999998</v>
      </c>
      <c r="F203" s="14"/>
      <c r="G203" s="15">
        <f t="shared" si="15"/>
        <v>0</v>
      </c>
      <c r="H203" s="34"/>
      <c r="I203" s="15">
        <f t="shared" si="17"/>
        <v>178.292</v>
      </c>
      <c r="J203" s="14"/>
      <c r="K203" s="16" t="s">
        <v>883</v>
      </c>
    </row>
    <row r="204" spans="1:11" ht="12.6" customHeight="1" x14ac:dyDescent="0.2">
      <c r="A204" s="13">
        <v>43109</v>
      </c>
      <c r="B204" s="19"/>
      <c r="C204" s="15">
        <v>7.5</v>
      </c>
      <c r="D204" s="14"/>
      <c r="E204" s="15">
        <f t="shared" si="16"/>
        <v>163.55599999999998</v>
      </c>
      <c r="F204" s="22"/>
      <c r="G204" s="15">
        <f t="shared" si="15"/>
        <v>7.5</v>
      </c>
      <c r="H204" s="34"/>
      <c r="I204" s="15">
        <f t="shared" si="17"/>
        <v>185.792</v>
      </c>
      <c r="J204" s="14"/>
      <c r="K204" s="13"/>
    </row>
    <row r="205" spans="1:11" ht="12.6" customHeight="1" x14ac:dyDescent="0.2">
      <c r="A205" s="13"/>
      <c r="B205" s="19" t="s">
        <v>67</v>
      </c>
      <c r="C205" s="15"/>
      <c r="D205" s="14"/>
      <c r="E205" s="15">
        <f t="shared" si="16"/>
        <v>163.55599999999998</v>
      </c>
      <c r="F205" s="14"/>
      <c r="G205" s="15">
        <f t="shared" si="15"/>
        <v>0</v>
      </c>
      <c r="H205" s="34">
        <v>3</v>
      </c>
      <c r="I205" s="15">
        <f t="shared" si="17"/>
        <v>182.792</v>
      </c>
      <c r="J205" s="14"/>
      <c r="K205" s="16" t="s">
        <v>884</v>
      </c>
    </row>
    <row r="206" spans="1:11" ht="12.6" customHeight="1" x14ac:dyDescent="0.2">
      <c r="A206" s="13">
        <v>43112</v>
      </c>
      <c r="B206" s="19"/>
      <c r="C206" s="15">
        <v>3.75</v>
      </c>
      <c r="D206" s="22"/>
      <c r="E206" s="15">
        <f t="shared" si="16"/>
        <v>167.30599999999998</v>
      </c>
      <c r="F206" s="14"/>
      <c r="G206" s="15">
        <f t="shared" si="15"/>
        <v>3.75</v>
      </c>
      <c r="H206" s="34"/>
      <c r="I206" s="15">
        <f t="shared" si="17"/>
        <v>186.542</v>
      </c>
      <c r="J206" s="14"/>
      <c r="K206" s="16"/>
    </row>
    <row r="207" spans="1:11" ht="12.6" customHeight="1" x14ac:dyDescent="0.2">
      <c r="A207" s="13"/>
      <c r="B207" s="19" t="s">
        <v>184</v>
      </c>
      <c r="C207" s="15"/>
      <c r="D207" s="22">
        <v>10</v>
      </c>
      <c r="E207" s="15">
        <f t="shared" si="16"/>
        <v>157.30599999999998</v>
      </c>
      <c r="F207" s="14"/>
      <c r="G207" s="15">
        <f t="shared" si="15"/>
        <v>0</v>
      </c>
      <c r="H207" s="34">
        <v>10</v>
      </c>
      <c r="I207" s="15">
        <f t="shared" si="17"/>
        <v>176.542</v>
      </c>
      <c r="J207" s="14"/>
      <c r="K207" s="38" t="s">
        <v>885</v>
      </c>
    </row>
    <row r="208" spans="1:11" ht="12.6" customHeight="1" x14ac:dyDescent="0.2">
      <c r="A208" s="13">
        <v>43466</v>
      </c>
      <c r="B208" s="19"/>
      <c r="C208" s="15">
        <v>1.25</v>
      </c>
      <c r="D208" s="14"/>
      <c r="E208" s="15">
        <f t="shared" si="16"/>
        <v>158.55599999999998</v>
      </c>
      <c r="F208" s="14"/>
      <c r="G208" s="15">
        <f t="shared" si="15"/>
        <v>1.25</v>
      </c>
      <c r="H208" s="34"/>
      <c r="I208" s="15">
        <f t="shared" si="17"/>
        <v>177.792</v>
      </c>
      <c r="J208" s="14"/>
      <c r="K208" s="13"/>
    </row>
    <row r="209" spans="1:11" s="63" customFormat="1" ht="12.6" customHeight="1" x14ac:dyDescent="0.2">
      <c r="A209" s="58"/>
      <c r="B209" s="67" t="s">
        <v>65</v>
      </c>
      <c r="C209" s="60"/>
      <c r="D209" s="61">
        <v>5</v>
      </c>
      <c r="E209" s="60">
        <f t="shared" si="16"/>
        <v>153.55599999999998</v>
      </c>
      <c r="F209" s="65"/>
      <c r="G209" s="60">
        <f t="shared" si="15"/>
        <v>0</v>
      </c>
      <c r="H209" s="84"/>
      <c r="I209" s="60">
        <f t="shared" si="17"/>
        <v>177.792</v>
      </c>
      <c r="J209" s="61"/>
      <c r="K209" s="64" t="s">
        <v>886</v>
      </c>
    </row>
    <row r="210" spans="1:11" ht="12.6" customHeight="1" x14ac:dyDescent="0.2">
      <c r="A210" s="13">
        <v>43474</v>
      </c>
      <c r="B210" s="19"/>
      <c r="C210" s="15">
        <v>10</v>
      </c>
      <c r="D210" s="14"/>
      <c r="E210" s="15">
        <f t="shared" si="16"/>
        <v>163.55599999999998</v>
      </c>
      <c r="F210" s="22"/>
      <c r="G210" s="15">
        <f t="shared" si="15"/>
        <v>10</v>
      </c>
      <c r="H210" s="34"/>
      <c r="I210" s="15">
        <f t="shared" si="17"/>
        <v>187.792</v>
      </c>
      <c r="J210" s="14"/>
      <c r="K210" s="13"/>
    </row>
    <row r="211" spans="1:11" ht="12.6" customHeight="1" x14ac:dyDescent="0.2">
      <c r="A211" s="13"/>
      <c r="B211" s="19" t="s">
        <v>76</v>
      </c>
      <c r="C211" s="15"/>
      <c r="D211" s="14">
        <v>2</v>
      </c>
      <c r="E211" s="15">
        <f t="shared" si="16"/>
        <v>161.55599999999998</v>
      </c>
      <c r="F211" s="14"/>
      <c r="G211" s="15">
        <f t="shared" si="15"/>
        <v>0</v>
      </c>
      <c r="H211" s="34"/>
      <c r="I211" s="15">
        <f t="shared" si="17"/>
        <v>187.792</v>
      </c>
      <c r="J211" s="14"/>
      <c r="K211" s="16" t="s">
        <v>887</v>
      </c>
    </row>
    <row r="212" spans="1:11" ht="12.6" customHeight="1" x14ac:dyDescent="0.2">
      <c r="A212" s="13">
        <v>43831</v>
      </c>
      <c r="B212" s="19"/>
      <c r="C212" s="15">
        <v>5</v>
      </c>
      <c r="D212" s="14"/>
      <c r="E212" s="15">
        <f t="shared" si="16"/>
        <v>166.55599999999998</v>
      </c>
      <c r="F212" s="14"/>
      <c r="G212" s="15">
        <f t="shared" si="15"/>
        <v>5</v>
      </c>
      <c r="H212" s="34"/>
      <c r="I212" s="15">
        <f t="shared" si="17"/>
        <v>192.792</v>
      </c>
      <c r="J212" s="14"/>
      <c r="K212" s="13"/>
    </row>
    <row r="213" spans="1:11" ht="12.6" customHeight="1" x14ac:dyDescent="0.2">
      <c r="A213" s="13"/>
      <c r="B213" s="19" t="s">
        <v>889</v>
      </c>
      <c r="C213" s="15"/>
      <c r="D213" s="14"/>
      <c r="E213" s="15">
        <f t="shared" si="16"/>
        <v>166.55599999999998</v>
      </c>
      <c r="F213" s="14"/>
      <c r="G213" s="15">
        <f t="shared" si="15"/>
        <v>0</v>
      </c>
      <c r="H213" s="34">
        <v>12</v>
      </c>
      <c r="I213" s="15">
        <f t="shared" si="17"/>
        <v>180.792</v>
      </c>
      <c r="J213" s="14"/>
      <c r="K213" s="13" t="s">
        <v>888</v>
      </c>
    </row>
    <row r="214" spans="1:11" s="63" customFormat="1" ht="12.6" customHeight="1" x14ac:dyDescent="0.2">
      <c r="A214" s="58"/>
      <c r="B214" s="67" t="s">
        <v>87</v>
      </c>
      <c r="C214" s="60"/>
      <c r="D214" s="61">
        <v>3</v>
      </c>
      <c r="E214" s="60">
        <f t="shared" si="16"/>
        <v>163.55599999999998</v>
      </c>
      <c r="F214" s="61"/>
      <c r="G214" s="60">
        <f t="shared" si="15"/>
        <v>0</v>
      </c>
      <c r="H214" s="61"/>
      <c r="I214" s="60">
        <f t="shared" si="17"/>
        <v>180.792</v>
      </c>
      <c r="J214" s="61"/>
      <c r="K214" s="64" t="s">
        <v>537</v>
      </c>
    </row>
    <row r="215" spans="1:11" ht="12.6" customHeight="1" x14ac:dyDescent="0.2">
      <c r="A215" s="13">
        <v>43841</v>
      </c>
      <c r="B215" s="19"/>
      <c r="C215" s="15">
        <v>12.5</v>
      </c>
      <c r="D215" s="14"/>
      <c r="E215" s="15">
        <f t="shared" si="16"/>
        <v>176.05599999999998</v>
      </c>
      <c r="F215" s="14"/>
      <c r="G215" s="15">
        <f t="shared" si="15"/>
        <v>12.5</v>
      </c>
      <c r="H215" s="14"/>
      <c r="I215" s="15">
        <f t="shared" si="17"/>
        <v>193.292</v>
      </c>
      <c r="J215" s="14"/>
      <c r="K215" s="13"/>
    </row>
    <row r="216" spans="1:11" ht="12.6" customHeight="1" x14ac:dyDescent="0.2">
      <c r="A216" s="13"/>
      <c r="B216" s="19" t="s">
        <v>91</v>
      </c>
      <c r="C216" s="15"/>
      <c r="D216" s="14">
        <v>30</v>
      </c>
      <c r="E216" s="15">
        <f t="shared" si="16"/>
        <v>146.05599999999998</v>
      </c>
      <c r="F216" s="14"/>
      <c r="G216" s="15">
        <f t="shared" si="15"/>
        <v>0</v>
      </c>
      <c r="H216" s="14"/>
      <c r="I216" s="15">
        <f t="shared" si="17"/>
        <v>193.292</v>
      </c>
      <c r="J216" s="14"/>
      <c r="K216" s="75" t="s">
        <v>890</v>
      </c>
    </row>
    <row r="217" spans="1:11" ht="12.6" customHeight="1" x14ac:dyDescent="0.2">
      <c r="A217" s="19"/>
      <c r="B217" s="19"/>
      <c r="C217" s="15">
        <f>SUM(C191:C216)</f>
        <v>57.5</v>
      </c>
      <c r="D217" s="15">
        <f>SUM(D191:D216)</f>
        <v>70</v>
      </c>
      <c r="E217" s="36"/>
      <c r="F217" s="39"/>
      <c r="G217" s="15">
        <f>SUM(G191:G216)</f>
        <v>57.5</v>
      </c>
      <c r="H217" s="15">
        <f>SUM(H191:H216)</f>
        <v>40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MARASIGAN, JAIME R.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JANUARY 18, 1999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43842</v>
      </c>
      <c r="B230" s="19"/>
      <c r="C230" s="15">
        <v>1.25</v>
      </c>
      <c r="D230" s="14"/>
      <c r="E230" s="15">
        <f>E216+C230-D230</f>
        <v>147.30599999999998</v>
      </c>
      <c r="F230" s="14"/>
      <c r="G230" s="15">
        <f>C230</f>
        <v>1.25</v>
      </c>
      <c r="H230" s="14"/>
      <c r="I230" s="15">
        <f>I216+G230-H230</f>
        <v>194.542</v>
      </c>
      <c r="J230" s="14"/>
      <c r="K230" s="16"/>
    </row>
    <row r="231" spans="1:11" ht="12.6" customHeight="1" x14ac:dyDescent="0.2">
      <c r="A231" s="13"/>
      <c r="B231" s="19" t="s">
        <v>195</v>
      </c>
      <c r="C231" s="15"/>
      <c r="D231" s="14"/>
      <c r="E231" s="15">
        <f>E230+C231-D231</f>
        <v>147.30599999999998</v>
      </c>
      <c r="F231" s="14"/>
      <c r="G231" s="15">
        <f t="shared" ref="G231:G255" si="18">C231</f>
        <v>0</v>
      </c>
      <c r="H231" s="14"/>
      <c r="I231" s="15">
        <f>I230+G231-H231</f>
        <v>194.542</v>
      </c>
      <c r="J231" s="14"/>
      <c r="K231" s="13" t="s">
        <v>891</v>
      </c>
    </row>
    <row r="232" spans="1:11" ht="12.6" customHeight="1" x14ac:dyDescent="0.2">
      <c r="A232" s="13">
        <v>44197</v>
      </c>
      <c r="B232" s="19"/>
      <c r="C232" s="15">
        <v>1.25</v>
      </c>
      <c r="D232" s="14"/>
      <c r="E232" s="15">
        <f t="shared" ref="E232:E255" si="19">E231+C232-D232</f>
        <v>148.55599999999998</v>
      </c>
      <c r="F232" s="14"/>
      <c r="G232" s="15">
        <f t="shared" si="18"/>
        <v>1.25</v>
      </c>
      <c r="H232" s="14"/>
      <c r="I232" s="15">
        <f t="shared" ref="I232:I255" si="20">I231+G232-H232</f>
        <v>195.792</v>
      </c>
      <c r="J232" s="14"/>
      <c r="K232" s="13"/>
    </row>
    <row r="233" spans="1:11" ht="12.6" customHeight="1" x14ac:dyDescent="0.2">
      <c r="A233" s="13">
        <v>44562</v>
      </c>
      <c r="B233" s="19"/>
      <c r="C233" s="15">
        <v>15</v>
      </c>
      <c r="D233" s="14"/>
      <c r="E233" s="15">
        <f t="shared" si="19"/>
        <v>163.55599999999998</v>
      </c>
      <c r="F233" s="14"/>
      <c r="G233" s="15">
        <f t="shared" si="18"/>
        <v>15</v>
      </c>
      <c r="H233" s="14"/>
      <c r="I233" s="15">
        <f t="shared" si="20"/>
        <v>210.792</v>
      </c>
      <c r="J233" s="14"/>
      <c r="K233" s="16"/>
    </row>
    <row r="234" spans="1:11" ht="12.6" customHeight="1" x14ac:dyDescent="0.2">
      <c r="A234" s="13"/>
      <c r="B234" s="19" t="s">
        <v>65</v>
      </c>
      <c r="C234" s="15"/>
      <c r="D234" s="14">
        <v>5</v>
      </c>
      <c r="E234" s="15">
        <f t="shared" si="19"/>
        <v>158.55599999999998</v>
      </c>
      <c r="F234" s="14"/>
      <c r="G234" s="15">
        <f t="shared" si="18"/>
        <v>0</v>
      </c>
      <c r="H234" s="14"/>
      <c r="I234" s="15">
        <f t="shared" si="20"/>
        <v>210.792</v>
      </c>
      <c r="J234" s="14"/>
      <c r="K234" s="13" t="s">
        <v>892</v>
      </c>
    </row>
    <row r="235" spans="1:11" ht="12.6" customHeight="1" x14ac:dyDescent="0.2">
      <c r="A235" s="13">
        <v>44927</v>
      </c>
      <c r="B235" s="19"/>
      <c r="C235" s="15">
        <v>15</v>
      </c>
      <c r="D235" s="14"/>
      <c r="E235" s="15">
        <f t="shared" si="19"/>
        <v>173.55599999999998</v>
      </c>
      <c r="F235" s="14"/>
      <c r="G235" s="15">
        <f t="shared" si="18"/>
        <v>15</v>
      </c>
      <c r="H235" s="14"/>
      <c r="I235" s="15">
        <f t="shared" si="20"/>
        <v>225.792</v>
      </c>
      <c r="J235" s="14"/>
      <c r="K235" s="16"/>
    </row>
    <row r="236" spans="1:11" ht="12.6" customHeight="1" x14ac:dyDescent="0.2">
      <c r="A236" s="13"/>
      <c r="B236" s="19" t="s">
        <v>65</v>
      </c>
      <c r="C236" s="15"/>
      <c r="D236" s="14">
        <v>5</v>
      </c>
      <c r="E236" s="15">
        <f t="shared" si="19"/>
        <v>168.55599999999998</v>
      </c>
      <c r="F236" s="14"/>
      <c r="G236" s="15">
        <f t="shared" si="18"/>
        <v>0</v>
      </c>
      <c r="H236" s="14"/>
      <c r="I236" s="15">
        <f t="shared" si="20"/>
        <v>225.792</v>
      </c>
      <c r="J236" s="14"/>
      <c r="K236" s="13" t="s">
        <v>779</v>
      </c>
    </row>
    <row r="237" spans="1:11" ht="12.6" customHeight="1" x14ac:dyDescent="0.2">
      <c r="A237" s="13">
        <v>45292</v>
      </c>
      <c r="B237" s="19"/>
      <c r="C237" s="15">
        <v>15</v>
      </c>
      <c r="D237" s="14"/>
      <c r="E237" s="15">
        <f t="shared" si="19"/>
        <v>183.55599999999998</v>
      </c>
      <c r="F237" s="14"/>
      <c r="G237" s="15">
        <f t="shared" si="18"/>
        <v>15</v>
      </c>
      <c r="H237" s="14"/>
      <c r="I237" s="15">
        <f t="shared" si="20"/>
        <v>240.792</v>
      </c>
      <c r="J237" s="14"/>
      <c r="K237" s="13"/>
    </row>
    <row r="238" spans="1:11" ht="12.6" customHeight="1" x14ac:dyDescent="0.2">
      <c r="A238" s="13"/>
      <c r="B238" s="19" t="s">
        <v>65</v>
      </c>
      <c r="C238" s="15"/>
      <c r="D238" s="14">
        <v>5</v>
      </c>
      <c r="E238" s="15">
        <f t="shared" si="19"/>
        <v>178.55599999999998</v>
      </c>
      <c r="F238" s="14"/>
      <c r="G238" s="15">
        <f t="shared" si="18"/>
        <v>0</v>
      </c>
      <c r="H238" s="14"/>
      <c r="I238" s="15">
        <f t="shared" si="20"/>
        <v>240.792</v>
      </c>
      <c r="J238" s="14"/>
      <c r="K238" s="16" t="s">
        <v>893</v>
      </c>
    </row>
    <row r="239" spans="1:11" ht="12.6" customHeight="1" x14ac:dyDescent="0.2">
      <c r="A239" s="13">
        <v>45296</v>
      </c>
      <c r="B239" s="19"/>
      <c r="C239" s="15">
        <v>5</v>
      </c>
      <c r="D239" s="14"/>
      <c r="E239" s="15">
        <f t="shared" si="19"/>
        <v>183.55599999999998</v>
      </c>
      <c r="F239" s="14"/>
      <c r="G239" s="15">
        <f t="shared" si="18"/>
        <v>5</v>
      </c>
      <c r="H239" s="14"/>
      <c r="I239" s="15">
        <f t="shared" si="20"/>
        <v>245.792</v>
      </c>
      <c r="J239" s="14"/>
      <c r="K239" s="13"/>
    </row>
    <row r="240" spans="1:11" ht="12.6" customHeight="1" x14ac:dyDescent="0.2">
      <c r="A240" s="13"/>
      <c r="B240" s="19" t="s">
        <v>90</v>
      </c>
      <c r="C240" s="15"/>
      <c r="D240" s="14"/>
      <c r="E240" s="15">
        <f t="shared" si="19"/>
        <v>183.55599999999998</v>
      </c>
      <c r="F240" s="14"/>
      <c r="G240" s="15">
        <f t="shared" si="18"/>
        <v>0</v>
      </c>
      <c r="H240" s="14"/>
      <c r="I240" s="15">
        <f t="shared" si="20"/>
        <v>245.792</v>
      </c>
      <c r="J240" s="14"/>
      <c r="K240" s="16" t="s">
        <v>894</v>
      </c>
    </row>
    <row r="241" spans="1:11" ht="12.6" customHeight="1" x14ac:dyDescent="0.2">
      <c r="A241" s="13">
        <v>45298</v>
      </c>
      <c r="B241" s="19"/>
      <c r="C241" s="15">
        <v>2.5</v>
      </c>
      <c r="D241" s="14"/>
      <c r="E241" s="15">
        <f t="shared" si="19"/>
        <v>186.05599999999998</v>
      </c>
      <c r="F241" s="14"/>
      <c r="G241" s="15">
        <f t="shared" si="18"/>
        <v>2.5</v>
      </c>
      <c r="H241" s="14"/>
      <c r="I241" s="15">
        <f t="shared" si="20"/>
        <v>248.292</v>
      </c>
      <c r="J241" s="14"/>
      <c r="K241" s="13"/>
    </row>
    <row r="242" spans="1:11" ht="12.6" customHeight="1" x14ac:dyDescent="0.2">
      <c r="A242" s="13"/>
      <c r="B242" s="19" t="s">
        <v>67</v>
      </c>
      <c r="C242" s="15"/>
      <c r="D242" s="14"/>
      <c r="E242" s="15">
        <f t="shared" si="19"/>
        <v>186.05599999999998</v>
      </c>
      <c r="F242" s="14"/>
      <c r="G242" s="15">
        <f t="shared" si="18"/>
        <v>0</v>
      </c>
      <c r="H242" s="14">
        <v>3</v>
      </c>
      <c r="I242" s="15">
        <f t="shared" si="20"/>
        <v>245.292</v>
      </c>
      <c r="J242" s="14"/>
      <c r="K242" s="13" t="s">
        <v>895</v>
      </c>
    </row>
    <row r="243" spans="1:11" ht="12.6" customHeight="1" x14ac:dyDescent="0.2">
      <c r="A243" s="13">
        <v>45303</v>
      </c>
      <c r="B243" s="19"/>
      <c r="C243" s="15">
        <v>6.25</v>
      </c>
      <c r="D243" s="14"/>
      <c r="E243" s="15">
        <f t="shared" si="19"/>
        <v>192.30599999999998</v>
      </c>
      <c r="F243" s="14"/>
      <c r="G243" s="15">
        <f t="shared" si="18"/>
        <v>6.25</v>
      </c>
      <c r="H243" s="14"/>
      <c r="I243" s="15">
        <f t="shared" si="20"/>
        <v>251.542</v>
      </c>
      <c r="J243" s="14"/>
      <c r="K243" s="13"/>
    </row>
    <row r="244" spans="1:11" ht="12.6" customHeight="1" x14ac:dyDescent="0.2">
      <c r="A244" s="13"/>
      <c r="B244" s="19" t="s">
        <v>91</v>
      </c>
      <c r="C244" s="15"/>
      <c r="D244" s="14"/>
      <c r="E244" s="15">
        <f t="shared" si="19"/>
        <v>192.30599999999998</v>
      </c>
      <c r="F244" s="14"/>
      <c r="G244" s="15">
        <f t="shared" si="18"/>
        <v>0</v>
      </c>
      <c r="H244" s="14">
        <v>30</v>
      </c>
      <c r="I244" s="15">
        <f t="shared" si="20"/>
        <v>221.542</v>
      </c>
      <c r="J244" s="14"/>
      <c r="K244" s="13" t="s">
        <v>896</v>
      </c>
    </row>
    <row r="245" spans="1:11" ht="12.6" customHeight="1" x14ac:dyDescent="0.2">
      <c r="A245" s="13">
        <v>45658</v>
      </c>
      <c r="B245" s="19"/>
      <c r="C245" s="15">
        <v>1.25</v>
      </c>
      <c r="D245" s="14"/>
      <c r="E245" s="15">
        <f t="shared" si="19"/>
        <v>193.55599999999998</v>
      </c>
      <c r="F245" s="14"/>
      <c r="G245" s="15">
        <f t="shared" si="18"/>
        <v>1.25</v>
      </c>
      <c r="H245" s="14"/>
      <c r="I245" s="15">
        <f t="shared" si="20"/>
        <v>222.792</v>
      </c>
      <c r="J245" s="14"/>
      <c r="K245" s="13"/>
    </row>
    <row r="246" spans="1:11" ht="12.6" customHeight="1" x14ac:dyDescent="0.2">
      <c r="A246" s="16"/>
      <c r="B246" s="19" t="s">
        <v>65</v>
      </c>
      <c r="C246" s="15"/>
      <c r="D246" s="14">
        <v>5</v>
      </c>
      <c r="E246" s="15">
        <f t="shared" si="19"/>
        <v>188.55599999999998</v>
      </c>
      <c r="F246" s="14"/>
      <c r="G246" s="15">
        <f t="shared" si="18"/>
        <v>0</v>
      </c>
      <c r="H246" s="14"/>
      <c r="I246" s="15">
        <f t="shared" si="20"/>
        <v>222.792</v>
      </c>
      <c r="J246" s="14"/>
      <c r="K246" s="13" t="s">
        <v>897</v>
      </c>
    </row>
    <row r="247" spans="1:11" ht="12.6" customHeight="1" x14ac:dyDescent="0.2">
      <c r="A247" s="13">
        <v>45668</v>
      </c>
      <c r="B247" s="19"/>
      <c r="C247" s="15">
        <v>12.5</v>
      </c>
      <c r="D247" s="15"/>
      <c r="E247" s="15">
        <f t="shared" si="19"/>
        <v>201.05599999999998</v>
      </c>
      <c r="F247" s="14"/>
      <c r="G247" s="15">
        <f t="shared" si="18"/>
        <v>12.5</v>
      </c>
      <c r="H247" s="14"/>
      <c r="I247" s="15">
        <f t="shared" si="20"/>
        <v>235.292</v>
      </c>
      <c r="J247" s="14"/>
      <c r="K247" s="13"/>
    </row>
    <row r="248" spans="1:11" ht="12.6" customHeight="1" x14ac:dyDescent="0.2">
      <c r="A248" s="13"/>
      <c r="B248" s="19" t="s">
        <v>105</v>
      </c>
      <c r="C248" s="15"/>
      <c r="D248" s="14"/>
      <c r="E248" s="15">
        <f t="shared" si="19"/>
        <v>201.05599999999998</v>
      </c>
      <c r="F248" s="14"/>
      <c r="G248" s="15">
        <f t="shared" si="18"/>
        <v>0</v>
      </c>
      <c r="H248" s="14">
        <v>4</v>
      </c>
      <c r="I248" s="15">
        <f t="shared" si="20"/>
        <v>231.292</v>
      </c>
      <c r="J248" s="14"/>
      <c r="K248" s="13" t="s">
        <v>898</v>
      </c>
    </row>
    <row r="249" spans="1:11" ht="12.6" customHeight="1" x14ac:dyDescent="0.2">
      <c r="A249" s="16"/>
      <c r="B249" s="19" t="s">
        <v>567</v>
      </c>
      <c r="C249" s="15"/>
      <c r="D249" s="15"/>
      <c r="E249" s="15">
        <f t="shared" si="19"/>
        <v>201.05599999999998</v>
      </c>
      <c r="F249" s="14"/>
      <c r="G249" s="15">
        <f t="shared" si="18"/>
        <v>0</v>
      </c>
      <c r="H249" s="14">
        <v>14</v>
      </c>
      <c r="I249" s="15">
        <f t="shared" si="20"/>
        <v>217.292</v>
      </c>
      <c r="J249" s="14"/>
      <c r="K249" s="13" t="s">
        <v>899</v>
      </c>
    </row>
    <row r="250" spans="1:11" ht="12.6" customHeight="1" x14ac:dyDescent="0.2">
      <c r="A250" s="13"/>
      <c r="B250" s="19" t="s">
        <v>90</v>
      </c>
      <c r="C250" s="15"/>
      <c r="D250" s="14"/>
      <c r="E250" s="15">
        <f t="shared" si="19"/>
        <v>201.05599999999998</v>
      </c>
      <c r="F250" s="14"/>
      <c r="G250" s="15">
        <f t="shared" si="18"/>
        <v>0</v>
      </c>
      <c r="H250" s="14"/>
      <c r="I250" s="15">
        <f t="shared" si="20"/>
        <v>217.292</v>
      </c>
      <c r="J250" s="14"/>
      <c r="K250" s="16" t="s">
        <v>900</v>
      </c>
    </row>
    <row r="251" spans="1:11" ht="12.6" customHeight="1" x14ac:dyDescent="0.2">
      <c r="A251" s="13"/>
      <c r="B251" s="19" t="s">
        <v>65</v>
      </c>
      <c r="C251" s="15"/>
      <c r="D251" s="14">
        <v>5</v>
      </c>
      <c r="E251" s="15">
        <f t="shared" si="19"/>
        <v>196.05599999999998</v>
      </c>
      <c r="F251" s="14"/>
      <c r="G251" s="15">
        <f t="shared" si="18"/>
        <v>0</v>
      </c>
      <c r="H251" s="14"/>
      <c r="I251" s="15">
        <f t="shared" si="20"/>
        <v>217.292</v>
      </c>
      <c r="J251" s="14"/>
      <c r="K251" s="13" t="s">
        <v>901</v>
      </c>
    </row>
    <row r="252" spans="1:11" ht="12.6" customHeight="1" x14ac:dyDescent="0.2">
      <c r="A252" s="13">
        <v>45669</v>
      </c>
      <c r="B252" s="19"/>
      <c r="C252" s="15">
        <v>1.25</v>
      </c>
      <c r="D252" s="14"/>
      <c r="E252" s="15">
        <f t="shared" si="19"/>
        <v>197.30599999999998</v>
      </c>
      <c r="F252" s="14"/>
      <c r="G252" s="15">
        <f t="shared" si="18"/>
        <v>1.25</v>
      </c>
      <c r="H252" s="14"/>
      <c r="I252" s="15">
        <f t="shared" si="20"/>
        <v>218.542</v>
      </c>
      <c r="J252" s="14"/>
      <c r="K252" s="13"/>
    </row>
    <row r="253" spans="1:11" ht="12.6" customHeight="1" x14ac:dyDescent="0.2">
      <c r="A253" s="13"/>
      <c r="B253" s="19" t="s">
        <v>903</v>
      </c>
      <c r="C253" s="15"/>
      <c r="D253" s="14"/>
      <c r="E253" s="15">
        <f t="shared" si="19"/>
        <v>197.30599999999998</v>
      </c>
      <c r="F253" s="14"/>
      <c r="G253" s="15">
        <f t="shared" si="18"/>
        <v>0</v>
      </c>
      <c r="H253" s="14">
        <v>15</v>
      </c>
      <c r="I253" s="15">
        <f t="shared" si="20"/>
        <v>203.542</v>
      </c>
      <c r="J253" s="14"/>
      <c r="K253" s="13" t="s">
        <v>902</v>
      </c>
    </row>
    <row r="254" spans="1:11" ht="12.6" customHeight="1" x14ac:dyDescent="0.2">
      <c r="A254" s="13">
        <v>46024</v>
      </c>
      <c r="B254" s="19"/>
      <c r="C254" s="15">
        <v>2.5</v>
      </c>
      <c r="D254" s="14"/>
      <c r="E254" s="15">
        <f t="shared" si="19"/>
        <v>199.80599999999998</v>
      </c>
      <c r="F254" s="14"/>
      <c r="G254" s="15">
        <f t="shared" si="18"/>
        <v>2.5</v>
      </c>
      <c r="H254" s="14"/>
      <c r="I254" s="15">
        <f t="shared" si="20"/>
        <v>206.042</v>
      </c>
      <c r="J254" s="14"/>
      <c r="K254" s="16"/>
    </row>
    <row r="255" spans="1:11" ht="12.6" customHeight="1" x14ac:dyDescent="0.2">
      <c r="A255" s="13"/>
      <c r="B255" s="19" t="s">
        <v>47</v>
      </c>
      <c r="C255" s="15"/>
      <c r="D255" s="14"/>
      <c r="E255" s="15">
        <f t="shared" si="19"/>
        <v>199.80599999999998</v>
      </c>
      <c r="F255" s="14"/>
      <c r="G255" s="15">
        <f t="shared" si="18"/>
        <v>0</v>
      </c>
      <c r="H255" s="14">
        <v>1</v>
      </c>
      <c r="I255" s="15">
        <f t="shared" si="20"/>
        <v>205.042</v>
      </c>
      <c r="J255" s="14"/>
      <c r="K255" s="16" t="s">
        <v>904</v>
      </c>
    </row>
    <row r="256" spans="1:11" ht="12.6" customHeight="1" x14ac:dyDescent="0.2">
      <c r="A256" s="19"/>
      <c r="B256" s="19"/>
      <c r="C256" s="36">
        <f>SUM(C230:C255)</f>
        <v>78.75</v>
      </c>
      <c r="D256" s="36">
        <f>SUM(D230:D255)</f>
        <v>25</v>
      </c>
      <c r="E256" s="36"/>
      <c r="F256" s="37"/>
      <c r="G256" s="36">
        <f>SUM(G230:G255)</f>
        <v>78.75</v>
      </c>
      <c r="H256" s="36">
        <f>SUM(H230:H255)</f>
        <v>67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MARASIGAN, JAIME R.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JANUARY 18, 1999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908</v>
      </c>
      <c r="C265" s="15"/>
      <c r="D265" s="14"/>
      <c r="E265" s="15">
        <f>E255+C265-D265</f>
        <v>199.80599999999998</v>
      </c>
      <c r="F265" s="14"/>
      <c r="G265" s="15">
        <f>C265</f>
        <v>0</v>
      </c>
      <c r="H265" s="14"/>
      <c r="I265" s="15">
        <f>I255+G265-H265</f>
        <v>205.042</v>
      </c>
      <c r="J265" s="14"/>
      <c r="K265" s="16" t="s">
        <v>905</v>
      </c>
    </row>
    <row r="266" spans="1:11" ht="12.6" customHeight="1" x14ac:dyDescent="0.2">
      <c r="A266" s="13"/>
      <c r="B266" s="19" t="s">
        <v>90</v>
      </c>
      <c r="C266" s="15"/>
      <c r="D266" s="14"/>
      <c r="E266" s="15">
        <f>E265+C266-D266</f>
        <v>199.80599999999998</v>
      </c>
      <c r="F266" s="14"/>
      <c r="G266" s="15">
        <f t="shared" ref="G266:G268" si="21">C266</f>
        <v>0</v>
      </c>
      <c r="H266" s="14"/>
      <c r="I266" s="15">
        <f>I265+G266-H266</f>
        <v>205.042</v>
      </c>
      <c r="J266" s="14"/>
      <c r="K266" s="13" t="s">
        <v>906</v>
      </c>
    </row>
    <row r="267" spans="1:11" ht="12.6" customHeight="1" x14ac:dyDescent="0.2">
      <c r="A267" s="13"/>
      <c r="B267" s="19" t="s">
        <v>909</v>
      </c>
      <c r="C267" s="15"/>
      <c r="D267" s="14"/>
      <c r="E267" s="15">
        <f t="shared" ref="E267:E268" si="22">E266+C267-D267</f>
        <v>199.80599999999998</v>
      </c>
      <c r="F267" s="14"/>
      <c r="G267" s="15">
        <f t="shared" si="21"/>
        <v>0</v>
      </c>
      <c r="H267" s="14"/>
      <c r="I267" s="15">
        <f t="shared" ref="I267:I268" si="23">I266+G267-H267</f>
        <v>205.042</v>
      </c>
      <c r="J267" s="14"/>
      <c r="K267" s="13" t="s">
        <v>907</v>
      </c>
    </row>
    <row r="268" spans="1:11" ht="12.6" customHeight="1" x14ac:dyDescent="0.2">
      <c r="A268" s="13">
        <v>46025</v>
      </c>
      <c r="B268" s="19"/>
      <c r="C268" s="15">
        <v>1.25</v>
      </c>
      <c r="D268" s="14"/>
      <c r="E268" s="15">
        <f t="shared" si="22"/>
        <v>201.05599999999998</v>
      </c>
      <c r="F268" s="14"/>
      <c r="G268" s="15">
        <f t="shared" si="21"/>
        <v>1.25</v>
      </c>
      <c r="H268" s="14"/>
      <c r="I268" s="15">
        <f t="shared" si="23"/>
        <v>206.292</v>
      </c>
      <c r="J268" s="14"/>
      <c r="K268" s="16" t="s">
        <v>910</v>
      </c>
    </row>
    <row r="269" spans="1:11" ht="12.6" customHeight="1" x14ac:dyDescent="0.2">
      <c r="A269" s="13"/>
      <c r="B269" s="19"/>
      <c r="C269" s="15"/>
      <c r="D269" s="14"/>
      <c r="E269" s="15"/>
      <c r="F269" s="14"/>
      <c r="G269" s="15"/>
      <c r="H269" s="14"/>
      <c r="I269" s="15"/>
      <c r="J269" s="14"/>
      <c r="K269" s="13"/>
    </row>
    <row r="270" spans="1:11" ht="12.6" customHeight="1" x14ac:dyDescent="0.2">
      <c r="A270" s="13"/>
      <c r="B270" s="19"/>
      <c r="C270" s="15"/>
      <c r="D270" s="14"/>
      <c r="E270" s="15"/>
      <c r="F270" s="14"/>
      <c r="G270" s="15"/>
      <c r="H270" s="14"/>
      <c r="I270" s="15"/>
      <c r="J270" s="14"/>
      <c r="K270" s="16"/>
    </row>
    <row r="271" spans="1:11" ht="12.6" customHeight="1" x14ac:dyDescent="0.2">
      <c r="A271" s="13"/>
      <c r="B271" s="19"/>
      <c r="C271" s="15"/>
      <c r="D271" s="14"/>
      <c r="E271" s="15"/>
      <c r="F271" s="14"/>
      <c r="G271" s="15"/>
      <c r="H271" s="14"/>
      <c r="I271" s="15"/>
      <c r="J271" s="14"/>
      <c r="K271" s="13"/>
    </row>
    <row r="272" spans="1:11" ht="12.6" customHeight="1" x14ac:dyDescent="0.2">
      <c r="A272" s="13"/>
      <c r="B272" s="19"/>
      <c r="C272" s="15"/>
      <c r="D272" s="14"/>
      <c r="E272" s="15"/>
      <c r="F272" s="14"/>
      <c r="G272" s="15"/>
      <c r="H272" s="14"/>
      <c r="I272" s="15"/>
      <c r="J272" s="14"/>
      <c r="K272" s="13"/>
    </row>
    <row r="273" spans="1:11" ht="12.6" customHeight="1" x14ac:dyDescent="0.2">
      <c r="A273" s="13"/>
      <c r="B273" s="19"/>
      <c r="C273" s="15"/>
      <c r="D273" s="14"/>
      <c r="E273" s="15"/>
      <c r="F273" s="14"/>
      <c r="G273" s="15"/>
      <c r="H273" s="14"/>
      <c r="I273" s="15"/>
      <c r="J273" s="14"/>
      <c r="K273" s="16"/>
    </row>
    <row r="274" spans="1:11" ht="12.6" customHeight="1" x14ac:dyDescent="0.2">
      <c r="A274" s="13"/>
      <c r="B274" s="19"/>
      <c r="C274" s="15"/>
      <c r="D274" s="14"/>
      <c r="E274" s="15"/>
      <c r="F274" s="14"/>
      <c r="G274" s="15"/>
      <c r="H274" s="14"/>
      <c r="I274" s="15"/>
      <c r="J274" s="14"/>
      <c r="K274" s="16"/>
    </row>
    <row r="275" spans="1:11" ht="12.6" customHeight="1" x14ac:dyDescent="0.2">
      <c r="A275" s="13"/>
      <c r="B275" s="19"/>
      <c r="C275" s="15"/>
      <c r="D275" s="14"/>
      <c r="E275" s="15"/>
      <c r="F275" s="14"/>
      <c r="G275" s="15"/>
      <c r="H275" s="14"/>
      <c r="I275" s="15"/>
      <c r="J275" s="14"/>
      <c r="K275" s="13"/>
    </row>
    <row r="276" spans="1:11" ht="12.6" customHeight="1" x14ac:dyDescent="0.2">
      <c r="A276" s="13"/>
      <c r="B276" s="19"/>
      <c r="C276" s="15"/>
      <c r="D276" s="14"/>
      <c r="E276" s="15"/>
      <c r="F276" s="14"/>
      <c r="G276" s="15"/>
      <c r="H276" s="14"/>
      <c r="I276" s="15"/>
      <c r="J276" s="14"/>
      <c r="K276" s="13"/>
    </row>
    <row r="277" spans="1:11" ht="12.6" customHeight="1" x14ac:dyDescent="0.2">
      <c r="A277" s="13"/>
      <c r="B277" s="19"/>
      <c r="C277" s="15"/>
      <c r="D277" s="14"/>
      <c r="E277" s="15"/>
      <c r="F277" s="14"/>
      <c r="G277" s="15"/>
      <c r="H277" s="14"/>
      <c r="I277" s="15"/>
      <c r="J277" s="14"/>
      <c r="K277" s="13"/>
    </row>
    <row r="278" spans="1:11" ht="12.6" customHeight="1" x14ac:dyDescent="0.2">
      <c r="A278" s="13"/>
      <c r="B278" s="19"/>
      <c r="C278" s="15"/>
      <c r="D278" s="14"/>
      <c r="E278" s="15"/>
      <c r="F278" s="14"/>
      <c r="G278" s="15"/>
      <c r="H278" s="14"/>
      <c r="I278" s="15"/>
      <c r="J278" s="14"/>
      <c r="K278" s="13"/>
    </row>
    <row r="279" spans="1:11" ht="12.6" customHeight="1" x14ac:dyDescent="0.2">
      <c r="A279" s="13"/>
      <c r="B279" s="19"/>
      <c r="C279" s="15"/>
      <c r="D279" s="14"/>
      <c r="E279" s="15"/>
      <c r="F279" s="14"/>
      <c r="G279" s="15"/>
      <c r="H279" s="14"/>
      <c r="I279" s="15"/>
      <c r="J279" s="14"/>
      <c r="K279" s="13"/>
    </row>
    <row r="280" spans="1:11" ht="12.6" customHeight="1" x14ac:dyDescent="0.2">
      <c r="A280" s="13"/>
      <c r="B280" s="19"/>
      <c r="C280" s="15"/>
      <c r="D280" s="14"/>
      <c r="E280" s="15"/>
      <c r="F280" s="14"/>
      <c r="G280" s="15"/>
      <c r="H280" s="14"/>
      <c r="I280" s="15"/>
      <c r="J280" s="14"/>
      <c r="K280" s="13"/>
    </row>
    <row r="281" spans="1:11" ht="12.6" customHeight="1" x14ac:dyDescent="0.2">
      <c r="A281" s="13"/>
      <c r="B281" s="19"/>
      <c r="C281" s="15"/>
      <c r="D281" s="14"/>
      <c r="E281" s="15"/>
      <c r="F281" s="14"/>
      <c r="G281" s="15"/>
      <c r="H281" s="14"/>
      <c r="I281" s="15"/>
      <c r="J281" s="14"/>
      <c r="K281" s="13"/>
    </row>
    <row r="282" spans="1:11" ht="12.6" customHeight="1" x14ac:dyDescent="0.2">
      <c r="A282" s="13"/>
      <c r="B282" s="19"/>
      <c r="C282" s="15"/>
      <c r="D282" s="15"/>
      <c r="E282" s="15"/>
      <c r="F282" s="14"/>
      <c r="G282" s="15"/>
      <c r="H282" s="14"/>
      <c r="I282" s="15"/>
      <c r="J282" s="14"/>
      <c r="K282" s="13"/>
    </row>
    <row r="283" spans="1:11" ht="12.6" customHeight="1" x14ac:dyDescent="0.2">
      <c r="A283" s="13"/>
      <c r="B283" s="19"/>
      <c r="C283" s="15"/>
      <c r="D283" s="14"/>
      <c r="E283" s="15"/>
      <c r="F283" s="14"/>
      <c r="G283" s="15"/>
      <c r="H283" s="14"/>
      <c r="I283" s="15"/>
      <c r="J283" s="14"/>
      <c r="K283" s="16"/>
    </row>
    <row r="284" spans="1:11" ht="12.6" customHeight="1" x14ac:dyDescent="0.2">
      <c r="A284" s="13"/>
      <c r="B284" s="19"/>
      <c r="C284" s="15"/>
      <c r="D284" s="15"/>
      <c r="E284" s="15"/>
      <c r="F284" s="14"/>
      <c r="G284" s="15"/>
      <c r="H284" s="14"/>
      <c r="I284" s="15"/>
      <c r="J284" s="14"/>
      <c r="K284" s="13"/>
    </row>
    <row r="285" spans="1:11" ht="12.6" customHeight="1" x14ac:dyDescent="0.2">
      <c r="A285" s="13"/>
      <c r="B285" s="19"/>
      <c r="C285" s="15"/>
      <c r="D285" s="14"/>
      <c r="E285" s="15"/>
      <c r="F285" s="14"/>
      <c r="G285" s="15"/>
      <c r="H285" s="14"/>
      <c r="I285" s="15"/>
      <c r="J285" s="14"/>
      <c r="K285" s="16"/>
    </row>
    <row r="286" spans="1:11" ht="12.6" customHeight="1" x14ac:dyDescent="0.2">
      <c r="A286" s="13"/>
      <c r="B286" s="19"/>
      <c r="C286" s="15"/>
      <c r="D286" s="14"/>
      <c r="E286" s="15"/>
      <c r="F286" s="14"/>
      <c r="G286" s="15"/>
      <c r="H286" s="14"/>
      <c r="I286" s="15"/>
      <c r="J286" s="14"/>
      <c r="K286" s="13"/>
    </row>
    <row r="287" spans="1:11" ht="12.6" customHeight="1" x14ac:dyDescent="0.2">
      <c r="A287" s="13"/>
      <c r="B287" s="19"/>
      <c r="C287" s="15"/>
      <c r="D287" s="14"/>
      <c r="E287" s="15"/>
      <c r="F287" s="14"/>
      <c r="G287" s="15"/>
      <c r="H287" s="14"/>
      <c r="I287" s="15"/>
      <c r="J287" s="14"/>
      <c r="K287" s="13"/>
    </row>
    <row r="288" spans="1:11" ht="12.6" customHeight="1" x14ac:dyDescent="0.2">
      <c r="A288" s="13"/>
      <c r="B288" s="19"/>
      <c r="C288" s="15"/>
      <c r="D288" s="14"/>
      <c r="E288" s="15"/>
      <c r="F288" s="14"/>
      <c r="G288" s="15"/>
      <c r="H288" s="14"/>
      <c r="I288" s="15"/>
      <c r="J288" s="14"/>
      <c r="K288" s="13"/>
    </row>
    <row r="289" spans="1:11" ht="12.6" customHeight="1" x14ac:dyDescent="0.2">
      <c r="A289" s="13"/>
      <c r="B289" s="19"/>
      <c r="C289" s="15"/>
      <c r="D289" s="14"/>
      <c r="E289" s="15"/>
      <c r="F289" s="14"/>
      <c r="G289" s="15"/>
      <c r="H289" s="14"/>
      <c r="I289" s="15"/>
      <c r="J289" s="14"/>
      <c r="K289" s="13"/>
    </row>
    <row r="290" spans="1:11" ht="12.6" customHeight="1" x14ac:dyDescent="0.2">
      <c r="A290" s="13"/>
      <c r="B290" s="19"/>
      <c r="C290" s="15"/>
      <c r="D290" s="14"/>
      <c r="E290" s="15"/>
      <c r="F290" s="14"/>
      <c r="G290" s="15"/>
      <c r="H290" s="14"/>
      <c r="I290" s="15"/>
      <c r="J290" s="14"/>
      <c r="K290" s="16"/>
    </row>
    <row r="291" spans="1:11" ht="12.6" customHeight="1" x14ac:dyDescent="0.2">
      <c r="A291" s="19"/>
      <c r="B291" s="19"/>
      <c r="C291" s="36">
        <f>SUM(C265:C290)</f>
        <v>1.25</v>
      </c>
      <c r="D291" s="36">
        <f>SUM(D265:D290)</f>
        <v>0</v>
      </c>
      <c r="E291" s="36"/>
      <c r="F291" s="37"/>
      <c r="G291" s="36">
        <f>SUM(G265:G290)</f>
        <v>1.25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C298" s="26">
        <f>SUM(C291+C256+C217+C182+C143+C108+C69+C34)</f>
        <v>406.79200000000003</v>
      </c>
      <c r="D298" s="26">
        <f>SUM(D291+D256+D217+D182+D143+D108+D69+D34)</f>
        <v>205.73600000000002</v>
      </c>
      <c r="E298" s="46"/>
      <c r="G298" s="26">
        <f>SUM(G291+G256+G217+G182+G143+G108+G69+G34)</f>
        <v>406.79200000000003</v>
      </c>
      <c r="H298" s="26">
        <f>SUM(H291+H256+H217+H182+H143+H108+H69+H34)</f>
        <v>200.5</v>
      </c>
      <c r="I298" s="46"/>
      <c r="K298" s="28">
        <v>319.875</v>
      </c>
    </row>
    <row r="299" spans="1:11" ht="12.6" customHeight="1" x14ac:dyDescent="0.2">
      <c r="K299" s="47">
        <f>G298-K298</f>
        <v>86.91700000000003</v>
      </c>
    </row>
    <row r="308" spans="2:11" ht="12.6" customHeight="1" x14ac:dyDescent="0.2">
      <c r="B308" s="3" t="s">
        <v>33</v>
      </c>
      <c r="E308" s="46"/>
      <c r="F308" s="48">
        <f>C298</f>
        <v>406.79200000000003</v>
      </c>
      <c r="H308" s="48">
        <f>F308</f>
        <v>406.79200000000003</v>
      </c>
    </row>
    <row r="309" spans="2:11" ht="12.6" customHeight="1" x14ac:dyDescent="0.2">
      <c r="B309" s="3" t="s">
        <v>34</v>
      </c>
      <c r="E309" s="46"/>
      <c r="F309" s="48">
        <f>D298</f>
        <v>205.73600000000002</v>
      </c>
      <c r="H309" s="48">
        <f>H298</f>
        <v>200.5</v>
      </c>
    </row>
    <row r="310" spans="2:11" ht="12.6" customHeight="1" x14ac:dyDescent="0.2">
      <c r="B310" s="3" t="s">
        <v>35</v>
      </c>
      <c r="E310" s="46"/>
      <c r="F310" s="49"/>
      <c r="G310" s="50"/>
      <c r="H310" s="49"/>
    </row>
    <row r="311" spans="2:11" ht="12.6" customHeight="1" thickBot="1" x14ac:dyDescent="0.25">
      <c r="B311" s="3" t="s">
        <v>36</v>
      </c>
      <c r="E311" s="46"/>
      <c r="F311" s="51"/>
      <c r="G311" s="52"/>
      <c r="H311" s="51"/>
    </row>
    <row r="312" spans="2:11" ht="12.6" customHeight="1" thickTop="1" x14ac:dyDescent="0.2">
      <c r="B312" s="3" t="s">
        <v>37</v>
      </c>
      <c r="E312" s="46"/>
      <c r="F312" s="53">
        <f>SUM(F308-F309)</f>
        <v>201.05600000000001</v>
      </c>
      <c r="G312" s="50"/>
      <c r="H312" s="53">
        <f>SUM(H308-H309)</f>
        <v>206.29200000000003</v>
      </c>
      <c r="I312" s="54">
        <f>SUM(H312+F312)</f>
        <v>407.34800000000007</v>
      </c>
    </row>
    <row r="313" spans="2:11" ht="12.6" customHeight="1" x14ac:dyDescent="0.2">
      <c r="E313" s="46"/>
    </row>
    <row r="314" spans="2:11" ht="12.6" customHeight="1" x14ac:dyDescent="0.2">
      <c r="B314" s="1" t="s">
        <v>38</v>
      </c>
      <c r="C314" s="97" t="s">
        <v>39</v>
      </c>
      <c r="D314" s="97"/>
      <c r="E314" s="98" t="s">
        <v>40</v>
      </c>
      <c r="F314" s="98"/>
      <c r="H314" s="99" t="s">
        <v>41</v>
      </c>
      <c r="I314" s="99"/>
      <c r="J314" s="99"/>
    </row>
    <row r="315" spans="2:11" ht="12.6" customHeight="1" thickBot="1" x14ac:dyDescent="0.25">
      <c r="B315" s="55">
        <v>15971</v>
      </c>
      <c r="C315" s="97">
        <f>I312</f>
        <v>407.34800000000007</v>
      </c>
      <c r="D315" s="97"/>
      <c r="E315" s="100">
        <v>4.8192699999999998E-2</v>
      </c>
      <c r="F315" s="100"/>
      <c r="H315" s="101">
        <f>B315*C315*E315</f>
        <v>313529.8945547716</v>
      </c>
      <c r="I315" s="101"/>
      <c r="J315" s="101"/>
      <c r="K315" s="56"/>
    </row>
    <row r="316" spans="2:11" ht="12.6" customHeight="1" thickTop="1" x14ac:dyDescent="0.2"/>
  </sheetData>
  <mergeCells count="86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C314:D314"/>
    <mergeCell ref="E314:F314"/>
    <mergeCell ref="H314:J314"/>
    <mergeCell ref="C315:D315"/>
    <mergeCell ref="E315:F315"/>
    <mergeCell ref="H315:J315"/>
  </mergeCells>
  <pageMargins left="0.25" right="0.25" top="0.75" bottom="0.75" header="0.3" footer="0.3"/>
  <pageSetup paperSize="5" orientation="portrait" horizontalDpi="0" verticalDpi="0" copies="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80"/>
  <sheetViews>
    <sheetView topLeftCell="A613" zoomScale="200" zoomScaleNormal="200" workbookViewId="0">
      <selection activeCell="A626" sqref="A626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586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587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34708</v>
      </c>
      <c r="B7" s="14"/>
      <c r="C7" s="15">
        <v>1.208</v>
      </c>
      <c r="D7" s="14"/>
      <c r="E7" s="15">
        <f>C7+D7</f>
        <v>1.208</v>
      </c>
      <c r="F7" s="14"/>
      <c r="G7" s="15">
        <f>C7</f>
        <v>1.208</v>
      </c>
      <c r="H7" s="14"/>
      <c r="I7" s="15">
        <f>G7+H7</f>
        <v>1.208</v>
      </c>
      <c r="J7" s="14"/>
      <c r="K7" s="16"/>
    </row>
    <row r="8" spans="1:11" ht="12.6" customHeight="1" x14ac:dyDescent="0.2">
      <c r="A8" s="13">
        <v>35065</v>
      </c>
      <c r="B8" s="17"/>
      <c r="C8" s="15">
        <v>5</v>
      </c>
      <c r="D8" s="18"/>
      <c r="E8" s="15">
        <f>E7+C8-D8</f>
        <v>6.2080000000000002</v>
      </c>
      <c r="F8" s="14"/>
      <c r="G8" s="15">
        <f t="shared" ref="G8:G33" si="0">C8</f>
        <v>5</v>
      </c>
      <c r="H8" s="14"/>
      <c r="I8" s="15">
        <f>I7+G8-H8</f>
        <v>6.2080000000000002</v>
      </c>
      <c r="J8" s="14"/>
      <c r="K8" s="16"/>
    </row>
    <row r="9" spans="1:11" ht="12.6" customHeight="1" x14ac:dyDescent="0.2">
      <c r="A9" s="13">
        <v>35431</v>
      </c>
      <c r="B9" s="17"/>
      <c r="C9" s="15">
        <v>15</v>
      </c>
      <c r="D9" s="14"/>
      <c r="E9" s="15">
        <f t="shared" ref="E9:E33" si="1">E8+C9-D9</f>
        <v>21.207999999999998</v>
      </c>
      <c r="F9" s="14"/>
      <c r="G9" s="15">
        <f t="shared" si="0"/>
        <v>15</v>
      </c>
      <c r="H9" s="14"/>
      <c r="I9" s="15">
        <f t="shared" ref="I9:I34" si="2">I8+G9-H9</f>
        <v>21.207999999999998</v>
      </c>
      <c r="J9" s="14"/>
      <c r="K9" s="16"/>
    </row>
    <row r="10" spans="1:11" ht="12.6" customHeight="1" x14ac:dyDescent="0.2">
      <c r="A10" s="13"/>
      <c r="B10" s="19" t="s">
        <v>65</v>
      </c>
      <c r="C10" s="15"/>
      <c r="D10" s="14">
        <v>5</v>
      </c>
      <c r="E10" s="15">
        <f t="shared" si="1"/>
        <v>16.207999999999998</v>
      </c>
      <c r="F10" s="14"/>
      <c r="G10" s="15">
        <f t="shared" si="0"/>
        <v>0</v>
      </c>
      <c r="H10" s="14"/>
      <c r="I10" s="15">
        <f t="shared" si="2"/>
        <v>21.207999999999998</v>
      </c>
      <c r="J10" s="14"/>
      <c r="K10" s="13" t="s">
        <v>215</v>
      </c>
    </row>
    <row r="11" spans="1:11" ht="12.6" customHeight="1" x14ac:dyDescent="0.2">
      <c r="A11" s="13">
        <v>35796</v>
      </c>
      <c r="B11" s="17"/>
      <c r="C11" s="15">
        <v>15</v>
      </c>
      <c r="D11" s="14"/>
      <c r="E11" s="15">
        <f t="shared" si="1"/>
        <v>31.207999999999998</v>
      </c>
      <c r="F11" s="14"/>
      <c r="G11" s="15">
        <f t="shared" si="0"/>
        <v>15</v>
      </c>
      <c r="H11" s="14"/>
      <c r="I11" s="15">
        <f t="shared" si="2"/>
        <v>36.207999999999998</v>
      </c>
      <c r="J11" s="14"/>
      <c r="K11" s="20"/>
    </row>
    <row r="12" spans="1:11" ht="12.6" customHeight="1" x14ac:dyDescent="0.2">
      <c r="A12" s="13"/>
      <c r="B12" s="19" t="s">
        <v>65</v>
      </c>
      <c r="C12" s="15"/>
      <c r="D12" s="14">
        <v>5</v>
      </c>
      <c r="E12" s="15">
        <f t="shared" si="1"/>
        <v>26.207999999999998</v>
      </c>
      <c r="F12" s="14"/>
      <c r="G12" s="15">
        <f t="shared" si="0"/>
        <v>0</v>
      </c>
      <c r="H12" s="14"/>
      <c r="I12" s="15">
        <f t="shared" si="2"/>
        <v>36.207999999999998</v>
      </c>
      <c r="J12" s="14"/>
      <c r="K12" s="13" t="s">
        <v>83</v>
      </c>
    </row>
    <row r="13" spans="1:11" ht="12.6" customHeight="1" x14ac:dyDescent="0.2">
      <c r="A13" s="13">
        <v>35798</v>
      </c>
      <c r="B13" s="17"/>
      <c r="C13" s="15">
        <v>2.5</v>
      </c>
      <c r="D13" s="14"/>
      <c r="E13" s="15">
        <f t="shared" si="1"/>
        <v>28.707999999999998</v>
      </c>
      <c r="F13" s="14"/>
      <c r="G13" s="15">
        <f t="shared" si="0"/>
        <v>2.5</v>
      </c>
      <c r="H13" s="14"/>
      <c r="I13" s="15">
        <f t="shared" si="2"/>
        <v>38.707999999999998</v>
      </c>
      <c r="J13" s="14"/>
      <c r="K13" s="13"/>
    </row>
    <row r="14" spans="1:11" ht="12.6" customHeight="1" x14ac:dyDescent="0.2">
      <c r="A14" s="13"/>
      <c r="B14" s="19" t="s">
        <v>60</v>
      </c>
      <c r="C14" s="15"/>
      <c r="D14" s="14">
        <v>5</v>
      </c>
      <c r="E14" s="15">
        <f t="shared" si="1"/>
        <v>23.707999999999998</v>
      </c>
      <c r="F14" s="14"/>
      <c r="G14" s="15">
        <f t="shared" si="0"/>
        <v>0</v>
      </c>
      <c r="H14" s="14"/>
      <c r="I14" s="15">
        <f t="shared" si="2"/>
        <v>38.707999999999998</v>
      </c>
      <c r="J14" s="14"/>
      <c r="K14" s="13" t="s">
        <v>588</v>
      </c>
    </row>
    <row r="15" spans="1:11" ht="12.6" customHeight="1" x14ac:dyDescent="0.2">
      <c r="A15" s="13">
        <v>36161</v>
      </c>
      <c r="B15" s="17"/>
      <c r="C15" s="15">
        <v>12.5</v>
      </c>
      <c r="D15" s="14"/>
      <c r="E15" s="15">
        <f t="shared" si="1"/>
        <v>36.207999999999998</v>
      </c>
      <c r="F15" s="14"/>
      <c r="G15" s="15">
        <f t="shared" si="0"/>
        <v>12.5</v>
      </c>
      <c r="H15" s="14"/>
      <c r="I15" s="15">
        <f t="shared" si="2"/>
        <v>51.207999999999998</v>
      </c>
      <c r="J15" s="14"/>
      <c r="K15" s="13"/>
    </row>
    <row r="16" spans="1:11" ht="12.6" customHeight="1" x14ac:dyDescent="0.2">
      <c r="A16" s="13">
        <v>36163</v>
      </c>
      <c r="B16" s="19"/>
      <c r="C16" s="15">
        <v>2.5</v>
      </c>
      <c r="D16" s="14"/>
      <c r="E16" s="15">
        <f t="shared" si="1"/>
        <v>38.707999999999998</v>
      </c>
      <c r="F16" s="14"/>
      <c r="G16" s="15">
        <f t="shared" si="0"/>
        <v>2.5</v>
      </c>
      <c r="H16" s="14"/>
      <c r="I16" s="15">
        <f t="shared" si="2"/>
        <v>53.707999999999998</v>
      </c>
      <c r="J16" s="14"/>
      <c r="K16" s="13"/>
    </row>
    <row r="17" spans="1:11" ht="12.6" customHeight="1" x14ac:dyDescent="0.2">
      <c r="A17" s="13"/>
      <c r="B17" s="17" t="s">
        <v>95</v>
      </c>
      <c r="C17" s="15"/>
      <c r="D17" s="14">
        <v>3</v>
      </c>
      <c r="E17" s="15">
        <f t="shared" si="1"/>
        <v>35.707999999999998</v>
      </c>
      <c r="F17" s="14"/>
      <c r="G17" s="15">
        <f t="shared" si="0"/>
        <v>0</v>
      </c>
      <c r="H17" s="14"/>
      <c r="I17" s="15">
        <f t="shared" si="2"/>
        <v>53.707999999999998</v>
      </c>
      <c r="J17" s="14"/>
      <c r="K17" s="13" t="s">
        <v>589</v>
      </c>
    </row>
    <row r="18" spans="1:11" ht="12.6" customHeight="1" x14ac:dyDescent="0.2">
      <c r="A18" s="13">
        <v>36165</v>
      </c>
      <c r="B18" s="17"/>
      <c r="C18" s="15">
        <v>2.5</v>
      </c>
      <c r="D18" s="14"/>
      <c r="E18" s="15">
        <f t="shared" si="1"/>
        <v>38.207999999999998</v>
      </c>
      <c r="F18" s="14"/>
      <c r="G18" s="15">
        <f t="shared" si="0"/>
        <v>2.5</v>
      </c>
      <c r="H18" s="14"/>
      <c r="I18" s="15">
        <f t="shared" si="2"/>
        <v>56.207999999999998</v>
      </c>
      <c r="J18" s="14"/>
      <c r="K18" s="13"/>
    </row>
    <row r="19" spans="1:11" ht="12.6" customHeight="1" x14ac:dyDescent="0.2">
      <c r="A19" s="13"/>
      <c r="B19" s="17" t="s">
        <v>144</v>
      </c>
      <c r="C19" s="15"/>
      <c r="D19" s="14"/>
      <c r="E19" s="15">
        <f t="shared" si="1"/>
        <v>38.207999999999998</v>
      </c>
      <c r="F19" s="14"/>
      <c r="G19" s="15">
        <f t="shared" si="0"/>
        <v>0</v>
      </c>
      <c r="H19" s="14">
        <v>1.5</v>
      </c>
      <c r="I19" s="15">
        <f t="shared" si="2"/>
        <v>54.707999999999998</v>
      </c>
      <c r="J19" s="14"/>
      <c r="K19" s="13" t="s">
        <v>590</v>
      </c>
    </row>
    <row r="20" spans="1:11" ht="12.6" customHeight="1" x14ac:dyDescent="0.2">
      <c r="A20" s="13">
        <v>36168</v>
      </c>
      <c r="B20" s="17"/>
      <c r="C20" s="15">
        <v>3.75</v>
      </c>
      <c r="D20" s="21"/>
      <c r="E20" s="15">
        <f t="shared" si="1"/>
        <v>41.957999999999998</v>
      </c>
      <c r="F20" s="14"/>
      <c r="G20" s="15">
        <f t="shared" si="0"/>
        <v>3.75</v>
      </c>
      <c r="H20" s="14"/>
      <c r="I20" s="15">
        <f t="shared" si="2"/>
        <v>58.457999999999998</v>
      </c>
      <c r="J20" s="14"/>
      <c r="K20" s="13"/>
    </row>
    <row r="21" spans="1:11" ht="12.6" customHeight="1" x14ac:dyDescent="0.2">
      <c r="A21" s="13"/>
      <c r="B21" s="17" t="s">
        <v>166</v>
      </c>
      <c r="C21" s="15"/>
      <c r="D21" s="14"/>
      <c r="E21" s="15">
        <f t="shared" si="1"/>
        <v>41.957999999999998</v>
      </c>
      <c r="F21" s="14"/>
      <c r="G21" s="15">
        <f t="shared" si="0"/>
        <v>0</v>
      </c>
      <c r="H21" s="14"/>
      <c r="I21" s="15">
        <f t="shared" si="2"/>
        <v>58.457999999999998</v>
      </c>
      <c r="J21" s="14"/>
      <c r="K21" s="13" t="s">
        <v>591</v>
      </c>
    </row>
    <row r="22" spans="1:11" ht="12.6" customHeight="1" x14ac:dyDescent="0.2">
      <c r="A22" s="13">
        <v>36172</v>
      </c>
      <c r="B22" s="17"/>
      <c r="C22" s="15">
        <v>5</v>
      </c>
      <c r="D22" s="14"/>
      <c r="E22" s="15">
        <f t="shared" si="1"/>
        <v>46.957999999999998</v>
      </c>
      <c r="F22" s="14"/>
      <c r="G22" s="15">
        <f t="shared" si="0"/>
        <v>5</v>
      </c>
      <c r="H22" s="14"/>
      <c r="I22" s="15">
        <f t="shared" si="2"/>
        <v>63.457999999999998</v>
      </c>
      <c r="J22" s="14"/>
      <c r="K22" s="13"/>
    </row>
    <row r="23" spans="1:11" ht="12.6" customHeight="1" x14ac:dyDescent="0.2">
      <c r="A23" s="13"/>
      <c r="B23" s="17" t="s">
        <v>76</v>
      </c>
      <c r="C23" s="15"/>
      <c r="D23" s="14">
        <v>2</v>
      </c>
      <c r="E23" s="15">
        <f t="shared" si="1"/>
        <v>44.957999999999998</v>
      </c>
      <c r="F23" s="14"/>
      <c r="G23" s="15">
        <f t="shared" si="0"/>
        <v>0</v>
      </c>
      <c r="H23" s="14"/>
      <c r="I23" s="15">
        <f t="shared" si="2"/>
        <v>63.457999999999998</v>
      </c>
      <c r="J23" s="14"/>
      <c r="K23" s="13" t="s">
        <v>592</v>
      </c>
    </row>
    <row r="24" spans="1:11" ht="12.6" customHeight="1" x14ac:dyDescent="0.2">
      <c r="A24" s="13"/>
      <c r="B24" s="19" t="s">
        <v>91</v>
      </c>
      <c r="C24" s="15"/>
      <c r="D24" s="14">
        <v>30</v>
      </c>
      <c r="E24" s="15">
        <f t="shared" si="1"/>
        <v>14.957999999999998</v>
      </c>
      <c r="F24" s="14"/>
      <c r="G24" s="15">
        <f t="shared" si="0"/>
        <v>0</v>
      </c>
      <c r="H24" s="14"/>
      <c r="I24" s="15">
        <f t="shared" si="2"/>
        <v>63.457999999999998</v>
      </c>
      <c r="J24" s="14"/>
      <c r="K24" s="38" t="s">
        <v>593</v>
      </c>
    </row>
    <row r="25" spans="1:11" ht="12.6" customHeight="1" x14ac:dyDescent="0.2">
      <c r="A25" s="13">
        <v>36531</v>
      </c>
      <c r="B25" s="17"/>
      <c r="C25" s="15">
        <v>7.5</v>
      </c>
      <c r="D25" s="14"/>
      <c r="E25" s="15">
        <f t="shared" si="1"/>
        <v>22.457999999999998</v>
      </c>
      <c r="F25" s="14"/>
      <c r="G25" s="15">
        <f t="shared" si="0"/>
        <v>7.5</v>
      </c>
      <c r="H25" s="14"/>
      <c r="I25" s="15">
        <f t="shared" si="2"/>
        <v>70.957999999999998</v>
      </c>
      <c r="J25" s="14"/>
      <c r="K25" s="13"/>
    </row>
    <row r="26" spans="1:11" ht="12.6" customHeight="1" x14ac:dyDescent="0.2">
      <c r="A26" s="13"/>
      <c r="B26" s="19" t="s">
        <v>90</v>
      </c>
      <c r="C26" s="15"/>
      <c r="D26" s="14"/>
      <c r="E26" s="15">
        <f t="shared" si="1"/>
        <v>22.457999999999998</v>
      </c>
      <c r="F26" s="14"/>
      <c r="G26" s="15">
        <f t="shared" si="0"/>
        <v>0</v>
      </c>
      <c r="H26" s="14"/>
      <c r="I26" s="15">
        <f t="shared" si="2"/>
        <v>70.957999999999998</v>
      </c>
      <c r="J26" s="14"/>
      <c r="K26" s="13" t="s">
        <v>594</v>
      </c>
    </row>
    <row r="27" spans="1:11" ht="12.6" customHeight="1" x14ac:dyDescent="0.2">
      <c r="A27" s="13">
        <v>36892</v>
      </c>
      <c r="B27" s="17"/>
      <c r="C27" s="15">
        <v>8.75</v>
      </c>
      <c r="D27" s="14"/>
      <c r="E27" s="15">
        <f t="shared" si="1"/>
        <v>31.207999999999998</v>
      </c>
      <c r="F27" s="14"/>
      <c r="G27" s="15">
        <f t="shared" si="0"/>
        <v>8.75</v>
      </c>
      <c r="H27" s="14"/>
      <c r="I27" s="15">
        <f t="shared" si="2"/>
        <v>79.707999999999998</v>
      </c>
      <c r="J27" s="14"/>
      <c r="K27" s="13"/>
    </row>
    <row r="28" spans="1:11" s="63" customFormat="1" ht="12.6" customHeight="1" x14ac:dyDescent="0.2">
      <c r="A28" s="58"/>
      <c r="B28" s="67" t="s">
        <v>65</v>
      </c>
      <c r="C28" s="60"/>
      <c r="D28" s="61">
        <v>5</v>
      </c>
      <c r="E28" s="60">
        <f t="shared" si="1"/>
        <v>26.207999999999998</v>
      </c>
      <c r="F28" s="61"/>
      <c r="G28" s="60">
        <f t="shared" si="0"/>
        <v>0</v>
      </c>
      <c r="H28" s="61"/>
      <c r="I28" s="60">
        <f t="shared" si="2"/>
        <v>79.707999999999998</v>
      </c>
      <c r="J28" s="61"/>
      <c r="K28" s="58" t="s">
        <v>93</v>
      </c>
    </row>
    <row r="29" spans="1:11" ht="12.6" customHeight="1" x14ac:dyDescent="0.2">
      <c r="A29" s="13">
        <v>36893</v>
      </c>
      <c r="B29" s="19"/>
      <c r="C29" s="15">
        <v>1.25</v>
      </c>
      <c r="D29" s="14"/>
      <c r="E29" s="15">
        <f t="shared" si="1"/>
        <v>27.457999999999998</v>
      </c>
      <c r="F29" s="14"/>
      <c r="G29" s="15">
        <f t="shared" si="0"/>
        <v>1.25</v>
      </c>
      <c r="H29" s="14"/>
      <c r="I29" s="15">
        <f t="shared" si="2"/>
        <v>80.957999999999998</v>
      </c>
      <c r="J29" s="14"/>
      <c r="K29" s="13"/>
    </row>
    <row r="30" spans="1:11" ht="12.6" customHeight="1" x14ac:dyDescent="0.2">
      <c r="A30" s="13"/>
      <c r="B30" s="19" t="s">
        <v>125</v>
      </c>
      <c r="C30" s="15"/>
      <c r="D30" s="14"/>
      <c r="E30" s="15">
        <f t="shared" si="1"/>
        <v>27.457999999999998</v>
      </c>
      <c r="F30" s="14"/>
      <c r="G30" s="15">
        <f t="shared" si="0"/>
        <v>0</v>
      </c>
      <c r="H30" s="14">
        <v>4</v>
      </c>
      <c r="I30" s="15">
        <f t="shared" si="2"/>
        <v>76.957999999999998</v>
      </c>
      <c r="J30" s="14"/>
      <c r="K30" s="16" t="s">
        <v>595</v>
      </c>
    </row>
    <row r="31" spans="1:11" ht="12.6" customHeight="1" x14ac:dyDescent="0.2">
      <c r="A31" s="13">
        <v>36901</v>
      </c>
      <c r="B31" s="19"/>
      <c r="C31" s="15">
        <v>10</v>
      </c>
      <c r="D31" s="14"/>
      <c r="E31" s="15">
        <f t="shared" si="1"/>
        <v>37.457999999999998</v>
      </c>
      <c r="F31" s="22"/>
      <c r="G31" s="15">
        <f t="shared" si="0"/>
        <v>10</v>
      </c>
      <c r="H31" s="22"/>
      <c r="I31" s="15">
        <f t="shared" si="2"/>
        <v>86.957999999999998</v>
      </c>
      <c r="J31" s="22"/>
      <c r="K31" s="23"/>
    </row>
    <row r="32" spans="1:11" ht="12.6" customHeight="1" x14ac:dyDescent="0.2">
      <c r="A32" s="13"/>
      <c r="B32" s="19" t="s">
        <v>60</v>
      </c>
      <c r="C32" s="15"/>
      <c r="D32" s="14">
        <v>5</v>
      </c>
      <c r="E32" s="15">
        <f t="shared" si="1"/>
        <v>32.457999999999998</v>
      </c>
      <c r="F32" s="22"/>
      <c r="G32" s="15">
        <f t="shared" si="0"/>
        <v>0</v>
      </c>
      <c r="H32" s="22"/>
      <c r="I32" s="15">
        <f t="shared" si="2"/>
        <v>86.957999999999998</v>
      </c>
      <c r="J32" s="22"/>
      <c r="K32" s="23" t="s">
        <v>596</v>
      </c>
    </row>
    <row r="33" spans="1:11" ht="12.6" customHeight="1" x14ac:dyDescent="0.2">
      <c r="A33" s="13">
        <v>37258</v>
      </c>
      <c r="B33" s="17"/>
      <c r="C33" s="15">
        <v>5</v>
      </c>
      <c r="D33" s="14"/>
      <c r="E33" s="15">
        <f t="shared" si="1"/>
        <v>37.457999999999998</v>
      </c>
      <c r="F33" s="22"/>
      <c r="G33" s="15">
        <f t="shared" si="0"/>
        <v>5</v>
      </c>
      <c r="H33" s="22"/>
      <c r="I33" s="15">
        <f t="shared" si="2"/>
        <v>91.957999999999998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97.457999999999998</v>
      </c>
      <c r="D34" s="25">
        <f>SUM(D9:D33)</f>
        <v>60</v>
      </c>
      <c r="E34" s="25"/>
      <c r="F34" s="22"/>
      <c r="G34" s="25">
        <f>SUM(G7:G33)</f>
        <v>97.457999999999998</v>
      </c>
      <c r="H34" s="25">
        <f>SUM(H7:H33)</f>
        <v>5.5</v>
      </c>
      <c r="I34" s="15">
        <f t="shared" si="2"/>
        <v>183.916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CATAPANG, CRISPIN JR. D.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AUGUST 02, 1995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52</v>
      </c>
      <c r="C43" s="15"/>
      <c r="D43" s="14"/>
      <c r="E43" s="15">
        <f>E33+C43-D43</f>
        <v>37.457999999999998</v>
      </c>
      <c r="F43" s="14"/>
      <c r="G43" s="15">
        <f>C43</f>
        <v>0</v>
      </c>
      <c r="H43" s="14">
        <v>2</v>
      </c>
      <c r="I43" s="15">
        <f>I33+G43-H43</f>
        <v>89.957999999999998</v>
      </c>
      <c r="J43" s="14"/>
      <c r="K43" s="13" t="s">
        <v>597</v>
      </c>
    </row>
    <row r="44" spans="1:11" ht="12.6" customHeight="1" x14ac:dyDescent="0.2">
      <c r="A44" s="13">
        <v>37259</v>
      </c>
      <c r="B44" s="17"/>
      <c r="C44" s="15">
        <v>1.25</v>
      </c>
      <c r="D44" s="14"/>
      <c r="E44" s="15">
        <f>E43+C44-D44</f>
        <v>38.707999999999998</v>
      </c>
      <c r="F44" s="14"/>
      <c r="G44" s="15">
        <f t="shared" ref="G44:G68" si="3">C44</f>
        <v>1.25</v>
      </c>
      <c r="H44" s="14"/>
      <c r="I44" s="15">
        <f>I43+G44-H44</f>
        <v>91.207999999999998</v>
      </c>
      <c r="J44" s="14"/>
      <c r="K44" s="13"/>
    </row>
    <row r="45" spans="1:11" ht="12.6" customHeight="1" x14ac:dyDescent="0.2">
      <c r="A45" s="13"/>
      <c r="B45" s="19" t="s">
        <v>47</v>
      </c>
      <c r="C45" s="15"/>
      <c r="D45" s="14"/>
      <c r="E45" s="15">
        <f t="shared" ref="E45:E68" si="4">E44+C45-D45</f>
        <v>38.707999999999998</v>
      </c>
      <c r="F45" s="14"/>
      <c r="G45" s="15">
        <f t="shared" si="3"/>
        <v>0</v>
      </c>
      <c r="H45" s="14">
        <v>1</v>
      </c>
      <c r="I45" s="15">
        <f t="shared" ref="I45:I68" si="5">I44+G45-H45</f>
        <v>90.207999999999998</v>
      </c>
      <c r="J45" s="14"/>
      <c r="K45" s="13" t="s">
        <v>598</v>
      </c>
    </row>
    <row r="46" spans="1:11" ht="12.6" customHeight="1" x14ac:dyDescent="0.2">
      <c r="A46" s="13">
        <v>37260</v>
      </c>
      <c r="B46" s="17"/>
      <c r="C46" s="15">
        <v>1.25</v>
      </c>
      <c r="D46" s="14"/>
      <c r="E46" s="15">
        <f t="shared" si="4"/>
        <v>39.957999999999998</v>
      </c>
      <c r="F46" s="14"/>
      <c r="G46" s="15">
        <f t="shared" si="3"/>
        <v>1.25</v>
      </c>
      <c r="H46" s="14"/>
      <c r="I46" s="15">
        <f t="shared" si="5"/>
        <v>91.457999999999998</v>
      </c>
      <c r="J46" s="14"/>
      <c r="K46" s="13"/>
    </row>
    <row r="47" spans="1:11" ht="12.6" customHeight="1" x14ac:dyDescent="0.2">
      <c r="A47" s="13"/>
      <c r="B47" s="19" t="s">
        <v>129</v>
      </c>
      <c r="C47" s="15"/>
      <c r="D47" s="14"/>
      <c r="E47" s="15">
        <f t="shared" si="4"/>
        <v>39.957999999999998</v>
      </c>
      <c r="F47" s="14"/>
      <c r="G47" s="15">
        <f t="shared" si="3"/>
        <v>0</v>
      </c>
      <c r="H47" s="14">
        <v>0.5</v>
      </c>
      <c r="I47" s="15">
        <f t="shared" si="5"/>
        <v>90.957999999999998</v>
      </c>
      <c r="J47" s="14"/>
      <c r="K47" s="13" t="s">
        <v>599</v>
      </c>
    </row>
    <row r="48" spans="1:11" ht="12.6" customHeight="1" x14ac:dyDescent="0.2">
      <c r="A48" s="13"/>
      <c r="B48" s="19" t="s">
        <v>74</v>
      </c>
      <c r="C48" s="15"/>
      <c r="D48" s="14">
        <v>1</v>
      </c>
      <c r="E48" s="15">
        <f t="shared" si="4"/>
        <v>38.957999999999998</v>
      </c>
      <c r="F48" s="14"/>
      <c r="G48" s="15">
        <f t="shared" si="3"/>
        <v>0</v>
      </c>
      <c r="H48" s="14"/>
      <c r="I48" s="15">
        <f t="shared" si="5"/>
        <v>90.957999999999998</v>
      </c>
      <c r="J48" s="14"/>
      <c r="K48" s="13">
        <v>37533</v>
      </c>
    </row>
    <row r="49" spans="1:11" ht="12.6" customHeight="1" x14ac:dyDescent="0.2">
      <c r="A49" s="13">
        <v>37261</v>
      </c>
      <c r="B49" s="19"/>
      <c r="C49" s="15">
        <v>1.25</v>
      </c>
      <c r="D49" s="14"/>
      <c r="E49" s="15">
        <f t="shared" si="4"/>
        <v>40.207999999999998</v>
      </c>
      <c r="F49" s="14"/>
      <c r="G49" s="15">
        <f t="shared" si="3"/>
        <v>1.25</v>
      </c>
      <c r="H49" s="14"/>
      <c r="I49" s="15">
        <f t="shared" si="5"/>
        <v>92.207999999999998</v>
      </c>
      <c r="J49" s="14"/>
      <c r="K49" s="13"/>
    </row>
    <row r="50" spans="1:11" ht="12.6" customHeight="1" x14ac:dyDescent="0.2">
      <c r="A50" s="13"/>
      <c r="B50" s="19" t="s">
        <v>74</v>
      </c>
      <c r="C50" s="15"/>
      <c r="D50" s="14">
        <v>1</v>
      </c>
      <c r="E50" s="15">
        <f t="shared" si="4"/>
        <v>39.207999999999998</v>
      </c>
      <c r="F50" s="14"/>
      <c r="G50" s="15">
        <f t="shared" si="3"/>
        <v>0</v>
      </c>
      <c r="H50" s="14"/>
      <c r="I50" s="15">
        <f t="shared" si="5"/>
        <v>92.207999999999998</v>
      </c>
      <c r="J50" s="14"/>
      <c r="K50" s="13" t="s">
        <v>600</v>
      </c>
    </row>
    <row r="51" spans="1:11" ht="12.6" customHeight="1" x14ac:dyDescent="0.2">
      <c r="A51" s="13">
        <v>37263</v>
      </c>
      <c r="B51" s="17"/>
      <c r="C51" s="15">
        <v>2.5</v>
      </c>
      <c r="D51" s="14"/>
      <c r="E51" s="15">
        <f t="shared" si="4"/>
        <v>41.707999999999998</v>
      </c>
      <c r="F51" s="14"/>
      <c r="G51" s="15">
        <f t="shared" si="3"/>
        <v>2.5</v>
      </c>
      <c r="H51" s="14"/>
      <c r="I51" s="15">
        <f t="shared" si="5"/>
        <v>94.707999999999998</v>
      </c>
      <c r="J51" s="14"/>
      <c r="K51" s="16"/>
    </row>
    <row r="52" spans="1:11" ht="12.6" customHeight="1" x14ac:dyDescent="0.2">
      <c r="A52" s="13"/>
      <c r="B52" s="19" t="s">
        <v>52</v>
      </c>
      <c r="C52" s="15"/>
      <c r="D52" s="14">
        <v>2</v>
      </c>
      <c r="E52" s="15">
        <f t="shared" si="4"/>
        <v>39.707999999999998</v>
      </c>
      <c r="F52" s="14"/>
      <c r="G52" s="15">
        <f t="shared" si="3"/>
        <v>0</v>
      </c>
      <c r="H52" s="14"/>
      <c r="I52" s="15">
        <f t="shared" si="5"/>
        <v>94.707999999999998</v>
      </c>
      <c r="J52" s="14"/>
      <c r="K52" s="13" t="s">
        <v>601</v>
      </c>
    </row>
    <row r="53" spans="1:11" ht="12.6" customHeight="1" x14ac:dyDescent="0.2">
      <c r="A53" s="13">
        <v>37265</v>
      </c>
      <c r="B53" s="19"/>
      <c r="C53" s="15">
        <v>2.5</v>
      </c>
      <c r="D53" s="14"/>
      <c r="E53" s="15">
        <f t="shared" si="4"/>
        <v>42.207999999999998</v>
      </c>
      <c r="F53" s="14"/>
      <c r="G53" s="15">
        <f t="shared" si="3"/>
        <v>2.5</v>
      </c>
      <c r="H53" s="14"/>
      <c r="I53" s="15">
        <f t="shared" si="5"/>
        <v>97.207999999999998</v>
      </c>
      <c r="J53" s="14"/>
      <c r="K53" s="13"/>
    </row>
    <row r="54" spans="1:11" ht="12.6" customHeight="1" x14ac:dyDescent="0.2">
      <c r="A54" s="13"/>
      <c r="B54" s="19" t="s">
        <v>52</v>
      </c>
      <c r="C54" s="15"/>
      <c r="D54" s="14"/>
      <c r="E54" s="15">
        <f t="shared" si="4"/>
        <v>42.207999999999998</v>
      </c>
      <c r="F54" s="14"/>
      <c r="G54" s="15">
        <f t="shared" si="3"/>
        <v>0</v>
      </c>
      <c r="H54" s="14">
        <v>2</v>
      </c>
      <c r="I54" s="15">
        <f t="shared" si="5"/>
        <v>95.207999999999998</v>
      </c>
      <c r="J54" s="14"/>
      <c r="K54" s="13" t="s">
        <v>602</v>
      </c>
    </row>
    <row r="55" spans="1:11" ht="12.6" customHeight="1" x14ac:dyDescent="0.2">
      <c r="A55" s="13"/>
      <c r="B55" s="19" t="s">
        <v>74</v>
      </c>
      <c r="C55" s="15"/>
      <c r="D55" s="14">
        <v>1</v>
      </c>
      <c r="E55" s="15">
        <f t="shared" si="4"/>
        <v>41.207999999999998</v>
      </c>
      <c r="F55" s="14"/>
      <c r="G55" s="15">
        <f t="shared" si="3"/>
        <v>0</v>
      </c>
      <c r="H55" s="14"/>
      <c r="I55" s="15">
        <f t="shared" si="5"/>
        <v>95.207999999999998</v>
      </c>
      <c r="J55" s="14"/>
      <c r="K55" s="13">
        <v>37356</v>
      </c>
    </row>
    <row r="56" spans="1:11" ht="12.6" customHeight="1" x14ac:dyDescent="0.2">
      <c r="A56" s="13">
        <v>37267</v>
      </c>
      <c r="B56" s="19"/>
      <c r="C56" s="15">
        <v>2.5</v>
      </c>
      <c r="D56" s="14"/>
      <c r="E56" s="15">
        <f t="shared" si="4"/>
        <v>43.707999999999998</v>
      </c>
      <c r="F56" s="14"/>
      <c r="G56" s="15">
        <f t="shared" si="3"/>
        <v>2.5</v>
      </c>
      <c r="H56" s="14"/>
      <c r="I56" s="15">
        <f t="shared" si="5"/>
        <v>97.707999999999998</v>
      </c>
      <c r="J56" s="14"/>
      <c r="K56" s="16"/>
    </row>
    <row r="57" spans="1:11" ht="12.6" customHeight="1" x14ac:dyDescent="0.2">
      <c r="A57" s="13"/>
      <c r="B57" s="19" t="s">
        <v>47</v>
      </c>
      <c r="C57" s="15"/>
      <c r="D57" s="14"/>
      <c r="E57" s="15">
        <f t="shared" si="4"/>
        <v>43.707999999999998</v>
      </c>
      <c r="F57" s="14"/>
      <c r="G57" s="15">
        <f t="shared" si="3"/>
        <v>0</v>
      </c>
      <c r="H57" s="14">
        <v>1</v>
      </c>
      <c r="I57" s="15">
        <f t="shared" si="5"/>
        <v>96.707999999999998</v>
      </c>
      <c r="J57" s="14"/>
      <c r="K57" s="13" t="s">
        <v>603</v>
      </c>
    </row>
    <row r="58" spans="1:11" ht="12.6" customHeight="1" x14ac:dyDescent="0.2">
      <c r="A58" s="13">
        <v>37624</v>
      </c>
      <c r="B58" s="17"/>
      <c r="C58" s="15">
        <v>5</v>
      </c>
      <c r="D58" s="14"/>
      <c r="E58" s="15">
        <f t="shared" si="4"/>
        <v>48.707999999999998</v>
      </c>
      <c r="F58" s="14"/>
      <c r="G58" s="15">
        <f t="shared" si="3"/>
        <v>5</v>
      </c>
      <c r="H58" s="14"/>
      <c r="I58" s="15">
        <f t="shared" si="5"/>
        <v>101.708</v>
      </c>
      <c r="J58" s="14"/>
      <c r="K58" s="13"/>
    </row>
    <row r="59" spans="1:11" ht="12.6" customHeight="1" x14ac:dyDescent="0.2">
      <c r="A59" s="13"/>
      <c r="B59" s="19" t="s">
        <v>45</v>
      </c>
      <c r="C59" s="15"/>
      <c r="D59" s="14"/>
      <c r="E59" s="15">
        <f t="shared" si="4"/>
        <v>48.707999999999998</v>
      </c>
      <c r="F59" s="14"/>
      <c r="G59" s="15">
        <f t="shared" si="3"/>
        <v>0</v>
      </c>
      <c r="H59" s="14"/>
      <c r="I59" s="15">
        <f t="shared" si="5"/>
        <v>101.708</v>
      </c>
      <c r="J59" s="14"/>
      <c r="K59" s="13">
        <v>37928</v>
      </c>
    </row>
    <row r="60" spans="1:11" ht="12.6" customHeight="1" x14ac:dyDescent="0.2">
      <c r="A60" s="13">
        <v>37626</v>
      </c>
      <c r="B60" s="19"/>
      <c r="C60" s="15">
        <v>2.5</v>
      </c>
      <c r="D60" s="14"/>
      <c r="E60" s="15">
        <f t="shared" si="4"/>
        <v>51.207999999999998</v>
      </c>
      <c r="F60" s="14"/>
      <c r="G60" s="15">
        <f t="shared" si="3"/>
        <v>2.5</v>
      </c>
      <c r="H60" s="14"/>
      <c r="I60" s="15">
        <f t="shared" si="5"/>
        <v>104.208</v>
      </c>
      <c r="J60" s="14"/>
      <c r="K60" s="13"/>
    </row>
    <row r="61" spans="1:11" ht="12.6" customHeight="1" x14ac:dyDescent="0.2">
      <c r="A61" s="13"/>
      <c r="B61" s="19" t="s">
        <v>76</v>
      </c>
      <c r="C61" s="15"/>
      <c r="D61" s="14">
        <v>2</v>
      </c>
      <c r="E61" s="15">
        <f t="shared" si="4"/>
        <v>49.207999999999998</v>
      </c>
      <c r="F61" s="14"/>
      <c r="G61" s="15">
        <f t="shared" si="3"/>
        <v>0</v>
      </c>
      <c r="H61" s="14"/>
      <c r="I61" s="15">
        <f t="shared" si="5"/>
        <v>104.208</v>
      </c>
      <c r="J61" s="14"/>
      <c r="K61" s="13" t="s">
        <v>605</v>
      </c>
    </row>
    <row r="62" spans="1:11" ht="12.6" customHeight="1" x14ac:dyDescent="0.2">
      <c r="A62" s="13">
        <v>37627</v>
      </c>
      <c r="B62" s="17"/>
      <c r="C62" s="15">
        <v>1.25</v>
      </c>
      <c r="D62" s="14"/>
      <c r="E62" s="15">
        <f t="shared" si="4"/>
        <v>50.457999999999998</v>
      </c>
      <c r="F62" s="14"/>
      <c r="G62" s="15">
        <f t="shared" si="3"/>
        <v>1.25</v>
      </c>
      <c r="H62" s="14"/>
      <c r="I62" s="15">
        <f t="shared" si="5"/>
        <v>105.458</v>
      </c>
      <c r="J62" s="14"/>
      <c r="K62" s="16"/>
    </row>
    <row r="63" spans="1:11" ht="12.6" customHeight="1" x14ac:dyDescent="0.2">
      <c r="A63" s="13"/>
      <c r="B63" s="19" t="s">
        <v>95</v>
      </c>
      <c r="C63" s="15"/>
      <c r="D63" s="14">
        <v>3</v>
      </c>
      <c r="E63" s="15">
        <f t="shared" si="4"/>
        <v>47.457999999999998</v>
      </c>
      <c r="F63" s="14"/>
      <c r="G63" s="15">
        <f t="shared" si="3"/>
        <v>0</v>
      </c>
      <c r="H63" s="14"/>
      <c r="I63" s="15">
        <f t="shared" si="5"/>
        <v>105.458</v>
      </c>
      <c r="J63" s="14"/>
      <c r="K63" s="13" t="s">
        <v>604</v>
      </c>
    </row>
    <row r="64" spans="1:11" ht="12.6" customHeight="1" x14ac:dyDescent="0.2">
      <c r="A64" s="29">
        <v>37631</v>
      </c>
      <c r="B64" s="17"/>
      <c r="C64" s="15">
        <v>5</v>
      </c>
      <c r="D64" s="14"/>
      <c r="E64" s="15">
        <f t="shared" si="4"/>
        <v>52.457999999999998</v>
      </c>
      <c r="F64" s="14"/>
      <c r="G64" s="15">
        <f>C64</f>
        <v>5</v>
      </c>
      <c r="H64" s="14"/>
      <c r="I64" s="15">
        <f t="shared" si="5"/>
        <v>110.458</v>
      </c>
      <c r="J64" s="14"/>
      <c r="K64" s="29"/>
    </row>
    <row r="65" spans="1:11" ht="12.6" customHeight="1" x14ac:dyDescent="0.2">
      <c r="A65" s="13"/>
      <c r="B65" s="19" t="s">
        <v>45</v>
      </c>
      <c r="C65" s="15"/>
      <c r="D65" s="21"/>
      <c r="E65" s="15">
        <f t="shared" si="4"/>
        <v>52.457999999999998</v>
      </c>
      <c r="F65" s="14"/>
      <c r="G65" s="15">
        <f t="shared" si="3"/>
        <v>0</v>
      </c>
      <c r="H65" s="14"/>
      <c r="I65" s="15">
        <f t="shared" si="5"/>
        <v>110.458</v>
      </c>
      <c r="J65" s="14"/>
      <c r="K65" s="13">
        <v>37690</v>
      </c>
    </row>
    <row r="66" spans="1:11" ht="12.6" customHeight="1" x14ac:dyDescent="0.2">
      <c r="A66" s="13">
        <v>37992</v>
      </c>
      <c r="B66" s="19"/>
      <c r="C66" s="15">
        <v>10</v>
      </c>
      <c r="D66" s="14"/>
      <c r="E66" s="15">
        <f t="shared" si="4"/>
        <v>62.457999999999998</v>
      </c>
      <c r="F66" s="14"/>
      <c r="G66" s="15">
        <f t="shared" si="3"/>
        <v>10</v>
      </c>
      <c r="H66" s="14"/>
      <c r="I66" s="15">
        <f t="shared" si="5"/>
        <v>120.458</v>
      </c>
      <c r="J66" s="14"/>
      <c r="K66" s="13"/>
    </row>
    <row r="67" spans="1:11" ht="12.6" customHeight="1" x14ac:dyDescent="0.2">
      <c r="A67" s="30"/>
      <c r="B67" s="19" t="s">
        <v>76</v>
      </c>
      <c r="C67" s="15"/>
      <c r="D67" s="14">
        <v>2</v>
      </c>
      <c r="E67" s="15">
        <f t="shared" si="4"/>
        <v>60.457999999999998</v>
      </c>
      <c r="F67" s="14"/>
      <c r="G67" s="15">
        <f t="shared" si="3"/>
        <v>0</v>
      </c>
      <c r="H67" s="31"/>
      <c r="I67" s="15">
        <f t="shared" si="5"/>
        <v>120.458</v>
      </c>
      <c r="J67" s="31"/>
      <c r="K67" s="30" t="s">
        <v>606</v>
      </c>
    </row>
    <row r="68" spans="1:11" ht="12.6" customHeight="1" x14ac:dyDescent="0.2">
      <c r="A68" s="13">
        <v>37994</v>
      </c>
      <c r="B68" s="19"/>
      <c r="C68" s="15">
        <v>2.5</v>
      </c>
      <c r="D68" s="14"/>
      <c r="E68" s="15">
        <f t="shared" si="4"/>
        <v>62.957999999999998</v>
      </c>
      <c r="F68" s="14"/>
      <c r="G68" s="15">
        <f t="shared" si="3"/>
        <v>2.5</v>
      </c>
      <c r="H68" s="14"/>
      <c r="I68" s="15">
        <f t="shared" si="5"/>
        <v>122.958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37.5</v>
      </c>
      <c r="D69" s="15">
        <f>SUM(D43:D68)</f>
        <v>12</v>
      </c>
      <c r="E69" s="15" t="s">
        <v>17</v>
      </c>
      <c r="F69" s="32"/>
      <c r="G69" s="15">
        <f>SUM(G43:G68)</f>
        <v>37.5</v>
      </c>
      <c r="H69" s="15">
        <f>SUM(H43:H68)</f>
        <v>6.5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CATAPANG, CRISPIN JR. D.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AUGUST 02, 1995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76</v>
      </c>
      <c r="C82" s="15"/>
      <c r="D82" s="14">
        <v>2</v>
      </c>
      <c r="E82" s="15">
        <f>E68+C82-D82</f>
        <v>60.957999999999998</v>
      </c>
      <c r="F82" s="14"/>
      <c r="G82" s="15">
        <f>C82</f>
        <v>0</v>
      </c>
      <c r="H82" s="14"/>
      <c r="I82" s="15">
        <f>I68+G82-H82</f>
        <v>122.958</v>
      </c>
      <c r="J82" s="14"/>
      <c r="K82" s="13" t="s">
        <v>607</v>
      </c>
    </row>
    <row r="83" spans="1:11" ht="12.6" customHeight="1" x14ac:dyDescent="0.2">
      <c r="A83" s="13"/>
      <c r="B83" s="17" t="s">
        <v>47</v>
      </c>
      <c r="C83" s="15"/>
      <c r="D83" s="14"/>
      <c r="E83" s="15">
        <f>E82+C83-D83</f>
        <v>60.957999999999998</v>
      </c>
      <c r="F83" s="14"/>
      <c r="G83" s="15">
        <f t="shared" ref="G83:G107" si="6">C83</f>
        <v>0</v>
      </c>
      <c r="H83" s="14">
        <v>1</v>
      </c>
      <c r="I83" s="15">
        <f>I82+G83-H83</f>
        <v>121.958</v>
      </c>
      <c r="J83" s="22"/>
      <c r="K83" s="23" t="s">
        <v>608</v>
      </c>
    </row>
    <row r="84" spans="1:11" ht="12.6" customHeight="1" x14ac:dyDescent="0.2">
      <c r="A84" s="13">
        <v>37995</v>
      </c>
      <c r="B84" s="19"/>
      <c r="C84" s="15">
        <v>1.25</v>
      </c>
      <c r="D84" s="14"/>
      <c r="E84" s="15">
        <f t="shared" ref="E84:E107" si="7">E83+C84-D84</f>
        <v>62.207999999999998</v>
      </c>
      <c r="F84" s="14"/>
      <c r="G84" s="15">
        <f t="shared" si="6"/>
        <v>1.25</v>
      </c>
      <c r="H84" s="14"/>
      <c r="I84" s="15">
        <f t="shared" ref="I84:I107" si="8">I83+G84-H84</f>
        <v>123.208</v>
      </c>
      <c r="J84" s="14"/>
      <c r="K84" s="16"/>
    </row>
    <row r="85" spans="1:11" ht="12.6" customHeight="1" x14ac:dyDescent="0.2">
      <c r="A85" s="13"/>
      <c r="B85" s="19" t="s">
        <v>67</v>
      </c>
      <c r="C85" s="15"/>
      <c r="D85" s="14"/>
      <c r="E85" s="15">
        <f t="shared" si="7"/>
        <v>62.207999999999998</v>
      </c>
      <c r="F85" s="14"/>
      <c r="G85" s="15">
        <f t="shared" si="6"/>
        <v>0</v>
      </c>
      <c r="H85" s="14">
        <v>3</v>
      </c>
      <c r="I85" s="15">
        <f t="shared" si="8"/>
        <v>120.208</v>
      </c>
      <c r="J85" s="14"/>
      <c r="K85" s="13" t="s">
        <v>609</v>
      </c>
    </row>
    <row r="86" spans="1:11" ht="12.6" customHeight="1" x14ac:dyDescent="0.2">
      <c r="A86" s="29">
        <v>37996</v>
      </c>
      <c r="B86" s="19"/>
      <c r="C86" s="15">
        <v>1.25</v>
      </c>
      <c r="D86" s="14"/>
      <c r="E86" s="15">
        <f t="shared" si="7"/>
        <v>63.457999999999998</v>
      </c>
      <c r="F86" s="14"/>
      <c r="G86" s="15">
        <f t="shared" si="6"/>
        <v>1.25</v>
      </c>
      <c r="H86" s="14"/>
      <c r="I86" s="15">
        <f t="shared" si="8"/>
        <v>121.458</v>
      </c>
      <c r="J86" s="14"/>
      <c r="K86" s="13"/>
    </row>
    <row r="87" spans="1:11" ht="12.6" customHeight="1" x14ac:dyDescent="0.2">
      <c r="A87" s="13"/>
      <c r="B87" s="17" t="s">
        <v>47</v>
      </c>
      <c r="C87" s="15"/>
      <c r="D87" s="14"/>
      <c r="E87" s="15">
        <f t="shared" si="7"/>
        <v>63.457999999999998</v>
      </c>
      <c r="F87" s="14"/>
      <c r="G87" s="15">
        <f t="shared" si="6"/>
        <v>0</v>
      </c>
      <c r="H87" s="14">
        <v>1</v>
      </c>
      <c r="I87" s="15">
        <f t="shared" si="8"/>
        <v>120.458</v>
      </c>
      <c r="J87" s="14"/>
      <c r="K87" s="13">
        <v>38087</v>
      </c>
    </row>
    <row r="88" spans="1:11" ht="12.6" customHeight="1" x14ac:dyDescent="0.2">
      <c r="A88" s="13"/>
      <c r="B88" s="19" t="s">
        <v>45</v>
      </c>
      <c r="C88" s="15"/>
      <c r="D88" s="14"/>
      <c r="E88" s="15">
        <f t="shared" si="7"/>
        <v>63.457999999999998</v>
      </c>
      <c r="F88" s="14"/>
      <c r="G88" s="15">
        <f t="shared" si="6"/>
        <v>0</v>
      </c>
      <c r="H88" s="14"/>
      <c r="I88" s="15">
        <f t="shared" si="8"/>
        <v>120.458</v>
      </c>
      <c r="J88" s="14"/>
      <c r="K88" s="13">
        <v>38028</v>
      </c>
    </row>
    <row r="89" spans="1:11" ht="12.6" customHeight="1" x14ac:dyDescent="0.2">
      <c r="A89" s="13">
        <v>37997</v>
      </c>
      <c r="B89" s="19"/>
      <c r="C89" s="15">
        <v>1.25</v>
      </c>
      <c r="D89" s="14"/>
      <c r="E89" s="15">
        <f t="shared" si="7"/>
        <v>64.707999999999998</v>
      </c>
      <c r="F89" s="14"/>
      <c r="G89" s="15">
        <f t="shared" si="6"/>
        <v>1.25</v>
      </c>
      <c r="H89" s="14"/>
      <c r="I89" s="15">
        <f t="shared" si="8"/>
        <v>121.708</v>
      </c>
      <c r="J89" s="14"/>
      <c r="K89" s="16"/>
    </row>
    <row r="90" spans="1:11" ht="12.6" customHeight="1" x14ac:dyDescent="0.2">
      <c r="A90" s="13"/>
      <c r="B90" s="17" t="s">
        <v>125</v>
      </c>
      <c r="C90" s="15"/>
      <c r="D90" s="14"/>
      <c r="E90" s="15">
        <f t="shared" si="7"/>
        <v>64.707999999999998</v>
      </c>
      <c r="F90" s="14"/>
      <c r="G90" s="15">
        <f t="shared" si="6"/>
        <v>0</v>
      </c>
      <c r="H90" s="14">
        <v>4</v>
      </c>
      <c r="I90" s="15">
        <f t="shared" si="8"/>
        <v>117.708</v>
      </c>
      <c r="J90" s="14"/>
      <c r="K90" s="16" t="s">
        <v>610</v>
      </c>
    </row>
    <row r="91" spans="1:11" ht="12.6" customHeight="1" x14ac:dyDescent="0.2">
      <c r="A91" s="13">
        <v>38353</v>
      </c>
      <c r="B91" s="17"/>
      <c r="C91" s="15">
        <v>2.5</v>
      </c>
      <c r="D91" s="14"/>
      <c r="E91" s="15">
        <f t="shared" si="7"/>
        <v>67.207999999999998</v>
      </c>
      <c r="F91" s="14"/>
      <c r="G91" s="15">
        <f t="shared" si="6"/>
        <v>2.5</v>
      </c>
      <c r="H91" s="14"/>
      <c r="I91" s="15">
        <f t="shared" si="8"/>
        <v>120.208</v>
      </c>
      <c r="J91" s="14"/>
      <c r="K91" s="16"/>
    </row>
    <row r="92" spans="1:11" ht="12.6" customHeight="1" x14ac:dyDescent="0.2">
      <c r="A92" s="13"/>
      <c r="B92" s="19" t="s">
        <v>613</v>
      </c>
      <c r="C92" s="15"/>
      <c r="D92" s="14">
        <v>0.25</v>
      </c>
      <c r="E92" s="15">
        <f t="shared" si="7"/>
        <v>66.957999999999998</v>
      </c>
      <c r="F92" s="14"/>
      <c r="G92" s="15">
        <f t="shared" si="6"/>
        <v>0</v>
      </c>
      <c r="H92" s="14"/>
      <c r="I92" s="15">
        <f t="shared" si="8"/>
        <v>120.208</v>
      </c>
      <c r="J92" s="14"/>
      <c r="K92" s="13" t="s">
        <v>611</v>
      </c>
    </row>
    <row r="93" spans="1:11" ht="12.6" customHeight="1" x14ac:dyDescent="0.2">
      <c r="A93" s="13">
        <v>38354</v>
      </c>
      <c r="B93" s="17"/>
      <c r="C93" s="15">
        <v>1.25</v>
      </c>
      <c r="D93" s="14"/>
      <c r="E93" s="15">
        <f t="shared" si="7"/>
        <v>68.207999999999998</v>
      </c>
      <c r="F93" s="14"/>
      <c r="G93" s="15">
        <f t="shared" si="6"/>
        <v>1.25</v>
      </c>
      <c r="H93" s="14"/>
      <c r="I93" s="15">
        <f t="shared" si="8"/>
        <v>121.458</v>
      </c>
      <c r="J93" s="14"/>
      <c r="K93" s="13"/>
    </row>
    <row r="94" spans="1:11" ht="12.6" customHeight="1" x14ac:dyDescent="0.2">
      <c r="A94" s="13"/>
      <c r="B94" s="19" t="s">
        <v>52</v>
      </c>
      <c r="C94" s="15"/>
      <c r="D94" s="14"/>
      <c r="E94" s="15">
        <f t="shared" si="7"/>
        <v>68.207999999999998</v>
      </c>
      <c r="F94" s="14"/>
      <c r="G94" s="15">
        <f t="shared" si="6"/>
        <v>0</v>
      </c>
      <c r="H94" s="14">
        <v>2</v>
      </c>
      <c r="I94" s="15">
        <f t="shared" si="8"/>
        <v>119.458</v>
      </c>
      <c r="J94" s="14"/>
      <c r="K94" s="13" t="s">
        <v>612</v>
      </c>
    </row>
    <row r="95" spans="1:11" ht="12.6" customHeight="1" x14ac:dyDescent="0.2">
      <c r="A95" s="13"/>
      <c r="B95" s="19" t="s">
        <v>52</v>
      </c>
      <c r="C95" s="15"/>
      <c r="D95" s="14"/>
      <c r="E95" s="15">
        <f t="shared" si="7"/>
        <v>68.207999999999998</v>
      </c>
      <c r="F95" s="14"/>
      <c r="G95" s="15">
        <f t="shared" si="6"/>
        <v>0</v>
      </c>
      <c r="H95" s="14">
        <v>2</v>
      </c>
      <c r="I95" s="15">
        <f t="shared" si="8"/>
        <v>117.458</v>
      </c>
      <c r="J95" s="14"/>
      <c r="K95" s="13" t="s">
        <v>614</v>
      </c>
    </row>
    <row r="96" spans="1:11" ht="12.6" customHeight="1" x14ac:dyDescent="0.2">
      <c r="A96" s="13">
        <v>38359</v>
      </c>
      <c r="B96" s="19"/>
      <c r="C96" s="15">
        <v>6.25</v>
      </c>
      <c r="D96" s="14"/>
      <c r="E96" s="15">
        <f t="shared" si="7"/>
        <v>74.457999999999998</v>
      </c>
      <c r="F96" s="14"/>
      <c r="G96" s="15">
        <f t="shared" si="6"/>
        <v>6.25</v>
      </c>
      <c r="H96" s="14"/>
      <c r="I96" s="15">
        <f t="shared" si="8"/>
        <v>123.708</v>
      </c>
      <c r="J96" s="14"/>
      <c r="K96" s="33"/>
    </row>
    <row r="97" spans="1:11" ht="12.6" customHeight="1" x14ac:dyDescent="0.2">
      <c r="A97" s="13"/>
      <c r="B97" s="19" t="s">
        <v>95</v>
      </c>
      <c r="C97" s="15"/>
      <c r="D97" s="14">
        <v>3</v>
      </c>
      <c r="E97" s="15">
        <f t="shared" si="7"/>
        <v>71.457999999999998</v>
      </c>
      <c r="F97" s="14"/>
      <c r="G97" s="15">
        <f t="shared" si="6"/>
        <v>0</v>
      </c>
      <c r="H97" s="14"/>
      <c r="I97" s="15">
        <f t="shared" si="8"/>
        <v>123.708</v>
      </c>
      <c r="J97" s="14"/>
      <c r="K97" s="13" t="s">
        <v>615</v>
      </c>
    </row>
    <row r="98" spans="1:11" ht="12.6" customHeight="1" x14ac:dyDescent="0.2">
      <c r="A98" s="13">
        <v>38361</v>
      </c>
      <c r="B98" s="19"/>
      <c r="C98" s="15">
        <v>2.5</v>
      </c>
      <c r="D98" s="14"/>
      <c r="E98" s="15">
        <f t="shared" si="7"/>
        <v>73.957999999999998</v>
      </c>
      <c r="F98" s="14"/>
      <c r="G98" s="15">
        <f t="shared" si="6"/>
        <v>2.5</v>
      </c>
      <c r="H98" s="14"/>
      <c r="I98" s="15">
        <f t="shared" si="8"/>
        <v>126.208</v>
      </c>
      <c r="J98" s="14"/>
      <c r="K98" s="16"/>
    </row>
    <row r="99" spans="1:11" ht="12.6" customHeight="1" x14ac:dyDescent="0.2">
      <c r="A99" s="13"/>
      <c r="B99" s="19" t="s">
        <v>47</v>
      </c>
      <c r="C99" s="15"/>
      <c r="D99" s="14"/>
      <c r="E99" s="15">
        <f t="shared" si="7"/>
        <v>73.957999999999998</v>
      </c>
      <c r="F99" s="14"/>
      <c r="G99" s="15">
        <f t="shared" si="6"/>
        <v>0</v>
      </c>
      <c r="H99" s="14">
        <v>1</v>
      </c>
      <c r="I99" s="15">
        <f t="shared" si="8"/>
        <v>125.208</v>
      </c>
      <c r="J99" s="14"/>
      <c r="K99" s="13" t="s">
        <v>616</v>
      </c>
    </row>
    <row r="100" spans="1:11" ht="12.6" customHeight="1" x14ac:dyDescent="0.2">
      <c r="A100" s="13"/>
      <c r="B100" s="19" t="s">
        <v>144</v>
      </c>
      <c r="C100" s="15"/>
      <c r="D100" s="14"/>
      <c r="E100" s="15">
        <f t="shared" si="7"/>
        <v>73.957999999999998</v>
      </c>
      <c r="F100" s="14"/>
      <c r="G100" s="15">
        <f t="shared" si="6"/>
        <v>0</v>
      </c>
      <c r="H100" s="14">
        <v>1.5</v>
      </c>
      <c r="I100" s="15">
        <f t="shared" si="8"/>
        <v>123.708</v>
      </c>
      <c r="J100" s="14"/>
      <c r="K100" s="13" t="s">
        <v>617</v>
      </c>
    </row>
    <row r="101" spans="1:11" ht="12.6" customHeight="1" x14ac:dyDescent="0.2">
      <c r="A101" s="13">
        <v>38362</v>
      </c>
      <c r="B101" s="19"/>
      <c r="C101" s="15">
        <v>1.25</v>
      </c>
      <c r="D101" s="14"/>
      <c r="E101" s="15">
        <f t="shared" si="7"/>
        <v>75.207999999999998</v>
      </c>
      <c r="F101" s="14"/>
      <c r="G101" s="15">
        <f t="shared" si="6"/>
        <v>1.25</v>
      </c>
      <c r="H101" s="14"/>
      <c r="I101" s="15">
        <f t="shared" si="8"/>
        <v>124.958</v>
      </c>
      <c r="J101" s="14"/>
      <c r="K101" s="13"/>
    </row>
    <row r="102" spans="1:11" ht="12.6" customHeight="1" x14ac:dyDescent="0.2">
      <c r="A102" s="13"/>
      <c r="B102" s="19" t="s">
        <v>60</v>
      </c>
      <c r="C102" s="15"/>
      <c r="D102" s="14">
        <v>5</v>
      </c>
      <c r="E102" s="15">
        <f t="shared" si="7"/>
        <v>70.207999999999998</v>
      </c>
      <c r="F102" s="14"/>
      <c r="G102" s="15">
        <f t="shared" si="6"/>
        <v>0</v>
      </c>
      <c r="H102" s="14"/>
      <c r="I102" s="15">
        <f t="shared" si="8"/>
        <v>124.958</v>
      </c>
      <c r="J102" s="14"/>
      <c r="K102" s="13" t="s">
        <v>618</v>
      </c>
    </row>
    <row r="103" spans="1:11" ht="12.6" customHeight="1" x14ac:dyDescent="0.2">
      <c r="A103" s="13"/>
      <c r="B103" s="19" t="s">
        <v>45</v>
      </c>
      <c r="C103" s="15"/>
      <c r="D103" s="14"/>
      <c r="E103" s="15">
        <f t="shared" si="7"/>
        <v>70.207999999999998</v>
      </c>
      <c r="F103" s="14"/>
      <c r="G103" s="15">
        <f t="shared" si="6"/>
        <v>0</v>
      </c>
      <c r="H103" s="14"/>
      <c r="I103" s="15">
        <f t="shared" si="8"/>
        <v>124.958</v>
      </c>
      <c r="J103" s="14"/>
      <c r="K103" s="13">
        <v>38394</v>
      </c>
    </row>
    <row r="104" spans="1:11" ht="12.6" customHeight="1" x14ac:dyDescent="0.2">
      <c r="A104" s="13">
        <v>38363</v>
      </c>
      <c r="B104" s="19"/>
      <c r="C104" s="15">
        <v>1.25</v>
      </c>
      <c r="D104" s="14"/>
      <c r="E104" s="15">
        <f t="shared" si="7"/>
        <v>71.457999999999998</v>
      </c>
      <c r="F104" s="14"/>
      <c r="G104" s="15">
        <f t="shared" si="6"/>
        <v>1.25</v>
      </c>
      <c r="H104" s="14"/>
      <c r="I104" s="15">
        <f t="shared" si="8"/>
        <v>126.208</v>
      </c>
      <c r="J104" s="14"/>
      <c r="K104" s="13"/>
    </row>
    <row r="105" spans="1:11" ht="12.6" customHeight="1" x14ac:dyDescent="0.2">
      <c r="A105" s="13"/>
      <c r="B105" s="19" t="s">
        <v>47</v>
      </c>
      <c r="C105" s="15"/>
      <c r="D105" s="14"/>
      <c r="E105" s="15">
        <f t="shared" si="7"/>
        <v>71.457999999999998</v>
      </c>
      <c r="F105" s="14"/>
      <c r="G105" s="15">
        <f t="shared" si="6"/>
        <v>0</v>
      </c>
      <c r="H105" s="14">
        <v>1</v>
      </c>
      <c r="I105" s="15">
        <f t="shared" si="8"/>
        <v>125.208</v>
      </c>
      <c r="J105" s="14"/>
      <c r="K105" s="13">
        <v>38422</v>
      </c>
    </row>
    <row r="106" spans="1:11" ht="12.6" customHeight="1" x14ac:dyDescent="0.2">
      <c r="A106" s="13"/>
      <c r="B106" s="19" t="s">
        <v>45</v>
      </c>
      <c r="C106" s="15"/>
      <c r="D106" s="14"/>
      <c r="E106" s="15">
        <f t="shared" si="7"/>
        <v>71.457999999999998</v>
      </c>
      <c r="F106" s="14"/>
      <c r="G106" s="15">
        <f t="shared" si="6"/>
        <v>0</v>
      </c>
      <c r="H106" s="14"/>
      <c r="I106" s="15">
        <f t="shared" si="8"/>
        <v>125.208</v>
      </c>
      <c r="J106" s="14"/>
      <c r="K106" s="13">
        <v>38364</v>
      </c>
    </row>
    <row r="107" spans="1:11" ht="12.6" customHeight="1" x14ac:dyDescent="0.2">
      <c r="A107" s="13">
        <v>38718</v>
      </c>
      <c r="B107" s="19"/>
      <c r="C107" s="15">
        <v>2.5</v>
      </c>
      <c r="D107" s="14"/>
      <c r="E107" s="15">
        <f t="shared" si="7"/>
        <v>73.957999999999998</v>
      </c>
      <c r="F107" s="14"/>
      <c r="G107" s="15">
        <f t="shared" si="6"/>
        <v>2.5</v>
      </c>
      <c r="H107" s="14"/>
      <c r="I107" s="15">
        <f t="shared" si="8"/>
        <v>127.708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21.25</v>
      </c>
      <c r="D108" s="15">
        <f>SUM(D82:D107)</f>
        <v>10.25</v>
      </c>
      <c r="E108" s="15"/>
      <c r="F108" s="14"/>
      <c r="G108" s="15">
        <f>SUM(G82:G107)</f>
        <v>21.25</v>
      </c>
      <c r="H108" s="15">
        <f>SUM(H82:H107)</f>
        <v>16.5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CATAPANG, CRISPIN JR. D.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AUGUST 02, 1995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 t="s">
        <v>52</v>
      </c>
      <c r="C117" s="15"/>
      <c r="D117" s="14"/>
      <c r="E117" s="15">
        <f>E107+C117-D117</f>
        <v>73.957999999999998</v>
      </c>
      <c r="F117" s="14"/>
      <c r="G117" s="15">
        <f>C117</f>
        <v>0</v>
      </c>
      <c r="H117" s="14">
        <v>2</v>
      </c>
      <c r="I117" s="15">
        <f>I107+G117-H117</f>
        <v>125.708</v>
      </c>
      <c r="J117" s="14"/>
      <c r="K117" s="13" t="s">
        <v>619</v>
      </c>
    </row>
    <row r="118" spans="1:11" ht="12.6" customHeight="1" x14ac:dyDescent="0.2">
      <c r="A118" s="13"/>
      <c r="B118" s="19" t="s">
        <v>45</v>
      </c>
      <c r="C118" s="15"/>
      <c r="D118" s="14"/>
      <c r="E118" s="15">
        <f>E117+C118-D118</f>
        <v>73.957999999999998</v>
      </c>
      <c r="F118" s="14"/>
      <c r="G118" s="15">
        <f t="shared" ref="G118:G142" si="9">C118</f>
        <v>0</v>
      </c>
      <c r="H118" s="14"/>
      <c r="I118" s="15">
        <f>I117+G118-H118</f>
        <v>125.708</v>
      </c>
      <c r="J118" s="22"/>
      <c r="K118" s="30">
        <v>39052</v>
      </c>
    </row>
    <row r="119" spans="1:11" ht="12.6" customHeight="1" x14ac:dyDescent="0.2">
      <c r="A119" s="13">
        <v>38721</v>
      </c>
      <c r="B119" s="19"/>
      <c r="C119" s="15">
        <v>3.75</v>
      </c>
      <c r="D119" s="14"/>
      <c r="E119" s="15">
        <f t="shared" ref="E119:E142" si="10">E118+C119-D119</f>
        <v>77.707999999999998</v>
      </c>
      <c r="F119" s="14"/>
      <c r="G119" s="15">
        <f t="shared" si="9"/>
        <v>3.75</v>
      </c>
      <c r="H119" s="14"/>
      <c r="I119" s="15">
        <f t="shared" ref="I119:I142" si="11">I118+G119-H119</f>
        <v>129.458</v>
      </c>
      <c r="J119" s="14"/>
      <c r="K119" s="16"/>
    </row>
    <row r="120" spans="1:11" ht="12.6" customHeight="1" x14ac:dyDescent="0.2">
      <c r="A120" s="13"/>
      <c r="B120" s="19" t="s">
        <v>52</v>
      </c>
      <c r="C120" s="15"/>
      <c r="D120" s="14"/>
      <c r="E120" s="15">
        <f t="shared" si="10"/>
        <v>77.707999999999998</v>
      </c>
      <c r="F120" s="14"/>
      <c r="G120" s="15">
        <f t="shared" si="9"/>
        <v>0</v>
      </c>
      <c r="H120" s="14">
        <v>2</v>
      </c>
      <c r="I120" s="15">
        <f t="shared" si="11"/>
        <v>127.458</v>
      </c>
      <c r="J120" s="14"/>
      <c r="K120" s="13" t="s">
        <v>620</v>
      </c>
    </row>
    <row r="121" spans="1:11" ht="12.6" customHeight="1" x14ac:dyDescent="0.2">
      <c r="A121" s="29">
        <v>38723</v>
      </c>
      <c r="B121" s="19"/>
      <c r="C121" s="15">
        <v>2.5</v>
      </c>
      <c r="D121" s="14"/>
      <c r="E121" s="15">
        <f t="shared" si="10"/>
        <v>80.207999999999998</v>
      </c>
      <c r="F121" s="14"/>
      <c r="G121" s="15">
        <f t="shared" si="9"/>
        <v>2.5</v>
      </c>
      <c r="H121" s="14"/>
      <c r="I121" s="15">
        <f t="shared" si="11"/>
        <v>129.958</v>
      </c>
      <c r="J121" s="14"/>
      <c r="K121" s="13"/>
    </row>
    <row r="122" spans="1:11" ht="12.6" customHeight="1" x14ac:dyDescent="0.2">
      <c r="A122" s="13"/>
      <c r="B122" s="19" t="s">
        <v>271</v>
      </c>
      <c r="C122" s="15"/>
      <c r="D122" s="14"/>
      <c r="E122" s="15">
        <f t="shared" si="10"/>
        <v>80.207999999999998</v>
      </c>
      <c r="F122" s="14"/>
      <c r="G122" s="15">
        <f t="shared" si="9"/>
        <v>0</v>
      </c>
      <c r="H122" s="14">
        <v>5</v>
      </c>
      <c r="I122" s="15">
        <f t="shared" si="11"/>
        <v>124.958</v>
      </c>
      <c r="J122" s="14"/>
      <c r="K122" s="13" t="s">
        <v>621</v>
      </c>
    </row>
    <row r="123" spans="1:11" ht="12.6" customHeight="1" x14ac:dyDescent="0.2">
      <c r="A123" s="13">
        <v>38724</v>
      </c>
      <c r="B123" s="17"/>
      <c r="C123" s="15">
        <v>1.25</v>
      </c>
      <c r="D123" s="14"/>
      <c r="E123" s="15">
        <f t="shared" si="10"/>
        <v>81.457999999999998</v>
      </c>
      <c r="F123" s="14"/>
      <c r="G123" s="15">
        <f t="shared" si="9"/>
        <v>1.25</v>
      </c>
      <c r="H123" s="14"/>
      <c r="I123" s="15">
        <f t="shared" si="11"/>
        <v>126.208</v>
      </c>
      <c r="J123" s="14"/>
      <c r="K123" s="13"/>
    </row>
    <row r="124" spans="1:11" ht="12.6" customHeight="1" x14ac:dyDescent="0.2">
      <c r="A124" s="13"/>
      <c r="B124" s="19" t="s">
        <v>52</v>
      </c>
      <c r="C124" s="15"/>
      <c r="D124" s="14"/>
      <c r="E124" s="15">
        <f t="shared" si="10"/>
        <v>81.457999999999998</v>
      </c>
      <c r="F124" s="14"/>
      <c r="G124" s="15">
        <f t="shared" si="9"/>
        <v>0</v>
      </c>
      <c r="H124" s="14">
        <v>2</v>
      </c>
      <c r="I124" s="15">
        <f t="shared" si="11"/>
        <v>124.208</v>
      </c>
      <c r="J124" s="14"/>
      <c r="K124" s="16" t="s">
        <v>622</v>
      </c>
    </row>
    <row r="125" spans="1:11" ht="12.6" customHeight="1" x14ac:dyDescent="0.2">
      <c r="A125" s="13">
        <v>38726</v>
      </c>
      <c r="B125" s="17"/>
      <c r="C125" s="15">
        <v>2.5</v>
      </c>
      <c r="D125" s="14"/>
      <c r="E125" s="15">
        <f t="shared" si="10"/>
        <v>83.957999999999998</v>
      </c>
      <c r="F125" s="14"/>
      <c r="G125" s="15">
        <f t="shared" si="9"/>
        <v>2.5</v>
      </c>
      <c r="H125" s="14"/>
      <c r="I125" s="15">
        <f t="shared" si="11"/>
        <v>126.708</v>
      </c>
      <c r="J125" s="14"/>
      <c r="K125" s="16"/>
    </row>
    <row r="126" spans="1:11" ht="12.6" customHeight="1" x14ac:dyDescent="0.2">
      <c r="A126" s="13"/>
      <c r="B126" s="19" t="s">
        <v>67</v>
      </c>
      <c r="C126" s="15"/>
      <c r="D126" s="14"/>
      <c r="E126" s="15">
        <f t="shared" si="10"/>
        <v>83.957999999999998</v>
      </c>
      <c r="F126" s="14"/>
      <c r="G126" s="15">
        <f t="shared" si="9"/>
        <v>0</v>
      </c>
      <c r="H126" s="14">
        <v>3</v>
      </c>
      <c r="I126" s="15">
        <f t="shared" si="11"/>
        <v>123.708</v>
      </c>
      <c r="J126" s="14"/>
      <c r="K126" s="16" t="s">
        <v>623</v>
      </c>
    </row>
    <row r="127" spans="1:11" ht="12.6" customHeight="1" x14ac:dyDescent="0.2">
      <c r="A127" s="13">
        <v>38727</v>
      </c>
      <c r="B127" s="19"/>
      <c r="C127" s="15">
        <v>1.25</v>
      </c>
      <c r="D127" s="14"/>
      <c r="E127" s="15">
        <f t="shared" si="10"/>
        <v>85.207999999999998</v>
      </c>
      <c r="F127" s="14"/>
      <c r="G127" s="15">
        <f t="shared" si="9"/>
        <v>1.25</v>
      </c>
      <c r="H127" s="14"/>
      <c r="I127" s="15">
        <f t="shared" si="11"/>
        <v>124.958</v>
      </c>
      <c r="J127" s="14"/>
      <c r="K127" s="13"/>
    </row>
    <row r="128" spans="1:11" ht="12.6" customHeight="1" x14ac:dyDescent="0.2">
      <c r="A128" s="13"/>
      <c r="B128" s="17" t="s">
        <v>60</v>
      </c>
      <c r="C128" s="15"/>
      <c r="D128" s="14">
        <v>5</v>
      </c>
      <c r="E128" s="15">
        <f t="shared" si="10"/>
        <v>80.207999999999998</v>
      </c>
      <c r="F128" s="14"/>
      <c r="G128" s="15">
        <f t="shared" si="9"/>
        <v>0</v>
      </c>
      <c r="H128" s="14"/>
      <c r="I128" s="15">
        <f t="shared" si="11"/>
        <v>124.958</v>
      </c>
      <c r="J128" s="14"/>
      <c r="K128" s="13" t="s">
        <v>624</v>
      </c>
    </row>
    <row r="129" spans="1:11" ht="12.6" customHeight="1" x14ac:dyDescent="0.2">
      <c r="A129" s="13">
        <v>38718</v>
      </c>
      <c r="B129" s="19"/>
      <c r="C129" s="15">
        <v>3.75</v>
      </c>
      <c r="D129" s="14"/>
      <c r="E129" s="15">
        <f t="shared" si="10"/>
        <v>83.957999999999998</v>
      </c>
      <c r="F129" s="14"/>
      <c r="G129" s="15">
        <f t="shared" si="9"/>
        <v>3.75</v>
      </c>
      <c r="H129" s="14"/>
      <c r="I129" s="15">
        <f t="shared" si="11"/>
        <v>128.708</v>
      </c>
      <c r="J129" s="14"/>
      <c r="K129" s="13"/>
    </row>
    <row r="130" spans="1:11" ht="12.6" customHeight="1" x14ac:dyDescent="0.2">
      <c r="A130" s="13"/>
      <c r="B130" s="19" t="s">
        <v>626</v>
      </c>
      <c r="C130" s="15"/>
      <c r="D130" s="14">
        <v>0.01</v>
      </c>
      <c r="E130" s="15">
        <f t="shared" si="10"/>
        <v>83.947999999999993</v>
      </c>
      <c r="F130" s="14"/>
      <c r="G130" s="15">
        <f t="shared" si="9"/>
        <v>0</v>
      </c>
      <c r="H130" s="14"/>
      <c r="I130" s="15">
        <f t="shared" si="11"/>
        <v>128.708</v>
      </c>
      <c r="J130" s="14"/>
      <c r="K130" s="13" t="s">
        <v>625</v>
      </c>
    </row>
    <row r="131" spans="1:11" ht="12.6" customHeight="1" x14ac:dyDescent="0.2">
      <c r="A131" s="13">
        <v>39084</v>
      </c>
      <c r="B131" s="19"/>
      <c r="C131" s="15">
        <v>1.25</v>
      </c>
      <c r="D131" s="14"/>
      <c r="E131" s="15">
        <f t="shared" si="10"/>
        <v>85.197999999999993</v>
      </c>
      <c r="F131" s="14"/>
      <c r="G131" s="15">
        <f t="shared" si="9"/>
        <v>1.25</v>
      </c>
      <c r="H131" s="14"/>
      <c r="I131" s="15">
        <f t="shared" si="11"/>
        <v>129.958</v>
      </c>
      <c r="J131" s="14"/>
      <c r="K131" s="33"/>
    </row>
    <row r="132" spans="1:11" ht="12.6" customHeight="1" x14ac:dyDescent="0.2">
      <c r="A132" s="13"/>
      <c r="B132" s="19" t="s">
        <v>95</v>
      </c>
      <c r="C132" s="15"/>
      <c r="D132" s="14">
        <v>3</v>
      </c>
      <c r="E132" s="15">
        <f t="shared" si="10"/>
        <v>82.197999999999993</v>
      </c>
      <c r="F132" s="14"/>
      <c r="G132" s="15">
        <f t="shared" si="9"/>
        <v>0</v>
      </c>
      <c r="H132" s="14"/>
      <c r="I132" s="15">
        <f t="shared" si="11"/>
        <v>129.958</v>
      </c>
      <c r="J132" s="14"/>
      <c r="K132" s="13" t="s">
        <v>627</v>
      </c>
    </row>
    <row r="133" spans="1:11" ht="12.6" customHeight="1" x14ac:dyDescent="0.2">
      <c r="A133" s="13">
        <v>39088</v>
      </c>
      <c r="B133" s="19"/>
      <c r="C133" s="15">
        <v>5</v>
      </c>
      <c r="D133" s="14"/>
      <c r="E133" s="15">
        <f t="shared" si="10"/>
        <v>87.197999999999993</v>
      </c>
      <c r="F133" s="14"/>
      <c r="G133" s="15">
        <f t="shared" si="9"/>
        <v>5</v>
      </c>
      <c r="H133" s="14"/>
      <c r="I133" s="15">
        <f t="shared" si="11"/>
        <v>134.958</v>
      </c>
      <c r="J133" s="14"/>
      <c r="K133" s="16"/>
    </row>
    <row r="134" spans="1:11" ht="12.6" customHeight="1" x14ac:dyDescent="0.2">
      <c r="A134" s="13"/>
      <c r="B134" s="19" t="s">
        <v>52</v>
      </c>
      <c r="C134" s="15"/>
      <c r="D134" s="14"/>
      <c r="E134" s="15">
        <f t="shared" si="10"/>
        <v>87.197999999999993</v>
      </c>
      <c r="F134" s="14"/>
      <c r="G134" s="15">
        <f t="shared" si="9"/>
        <v>0</v>
      </c>
      <c r="H134" s="14">
        <v>2</v>
      </c>
      <c r="I134" s="15">
        <f t="shared" si="11"/>
        <v>132.958</v>
      </c>
      <c r="J134" s="14"/>
      <c r="K134" s="13" t="s">
        <v>628</v>
      </c>
    </row>
    <row r="135" spans="1:11" ht="12.6" customHeight="1" x14ac:dyDescent="0.2">
      <c r="A135" s="13"/>
      <c r="B135" s="19" t="s">
        <v>76</v>
      </c>
      <c r="C135" s="15"/>
      <c r="D135" s="14">
        <v>2</v>
      </c>
      <c r="E135" s="15">
        <f t="shared" si="10"/>
        <v>85.197999999999993</v>
      </c>
      <c r="F135" s="14"/>
      <c r="G135" s="15">
        <f t="shared" si="9"/>
        <v>0</v>
      </c>
      <c r="H135" s="14"/>
      <c r="I135" s="15">
        <f t="shared" si="11"/>
        <v>132.958</v>
      </c>
      <c r="J135" s="14"/>
      <c r="K135" s="13" t="s">
        <v>629</v>
      </c>
    </row>
    <row r="136" spans="1:11" ht="12.6" customHeight="1" x14ac:dyDescent="0.2">
      <c r="A136" s="13">
        <v>39089</v>
      </c>
      <c r="B136" s="19"/>
      <c r="C136" s="15">
        <v>1.25</v>
      </c>
      <c r="D136" s="14"/>
      <c r="E136" s="15">
        <f t="shared" si="10"/>
        <v>86.447999999999993</v>
      </c>
      <c r="F136" s="14"/>
      <c r="G136" s="15">
        <f t="shared" si="9"/>
        <v>1.25</v>
      </c>
      <c r="H136" s="14"/>
      <c r="I136" s="15">
        <f t="shared" si="11"/>
        <v>134.208</v>
      </c>
      <c r="J136" s="14"/>
      <c r="K136" s="13"/>
    </row>
    <row r="137" spans="1:11" ht="12.6" customHeight="1" x14ac:dyDescent="0.2">
      <c r="A137" s="13"/>
      <c r="B137" s="19" t="s">
        <v>47</v>
      </c>
      <c r="C137" s="15"/>
      <c r="D137" s="14"/>
      <c r="E137" s="15">
        <f t="shared" si="10"/>
        <v>86.447999999999993</v>
      </c>
      <c r="F137" s="14"/>
      <c r="G137" s="15">
        <f t="shared" si="9"/>
        <v>0</v>
      </c>
      <c r="H137" s="14">
        <v>1</v>
      </c>
      <c r="I137" s="15">
        <f t="shared" si="11"/>
        <v>133.208</v>
      </c>
      <c r="J137" s="14"/>
      <c r="K137" s="13" t="s">
        <v>630</v>
      </c>
    </row>
    <row r="138" spans="1:11" ht="12.6" customHeight="1" x14ac:dyDescent="0.2">
      <c r="A138" s="13">
        <v>39090</v>
      </c>
      <c r="B138" s="19"/>
      <c r="C138" s="15">
        <v>1.25</v>
      </c>
      <c r="D138" s="14"/>
      <c r="E138" s="15">
        <f t="shared" si="10"/>
        <v>87.697999999999993</v>
      </c>
      <c r="F138" s="14"/>
      <c r="G138" s="15">
        <f t="shared" si="9"/>
        <v>1.25</v>
      </c>
      <c r="H138" s="14"/>
      <c r="I138" s="15">
        <f t="shared" si="11"/>
        <v>134.458</v>
      </c>
      <c r="J138" s="14"/>
      <c r="K138" s="19"/>
    </row>
    <row r="139" spans="1:11" ht="12.6" customHeight="1" x14ac:dyDescent="0.2">
      <c r="A139" s="13"/>
      <c r="B139" s="19" t="s">
        <v>47</v>
      </c>
      <c r="C139" s="15"/>
      <c r="D139" s="14"/>
      <c r="E139" s="15">
        <f t="shared" si="10"/>
        <v>87.697999999999993</v>
      </c>
      <c r="F139" s="14"/>
      <c r="G139" s="15">
        <f t="shared" si="9"/>
        <v>0</v>
      </c>
      <c r="H139" s="14">
        <v>1</v>
      </c>
      <c r="I139" s="15">
        <f t="shared" si="11"/>
        <v>133.458</v>
      </c>
      <c r="J139" s="14"/>
      <c r="K139" s="13">
        <v>39241</v>
      </c>
    </row>
    <row r="140" spans="1:11" ht="12.6" customHeight="1" x14ac:dyDescent="0.2">
      <c r="A140" s="13">
        <v>39091</v>
      </c>
      <c r="B140" s="19"/>
      <c r="C140" s="15">
        <v>1.25</v>
      </c>
      <c r="D140" s="14"/>
      <c r="E140" s="15">
        <f t="shared" si="10"/>
        <v>88.947999999999993</v>
      </c>
      <c r="F140" s="14"/>
      <c r="G140" s="15">
        <f t="shared" si="9"/>
        <v>1.25</v>
      </c>
      <c r="H140" s="14"/>
      <c r="I140" s="15">
        <f t="shared" si="11"/>
        <v>134.708</v>
      </c>
      <c r="J140" s="14"/>
      <c r="K140" s="13"/>
    </row>
    <row r="141" spans="1:11" ht="12.6" customHeight="1" x14ac:dyDescent="0.2">
      <c r="A141" s="13"/>
      <c r="B141" s="19" t="s">
        <v>74</v>
      </c>
      <c r="C141" s="15"/>
      <c r="D141" s="14">
        <v>1</v>
      </c>
      <c r="E141" s="15">
        <f t="shared" si="10"/>
        <v>87.947999999999993</v>
      </c>
      <c r="F141" s="14"/>
      <c r="G141" s="15">
        <f t="shared" si="9"/>
        <v>0</v>
      </c>
      <c r="H141" s="14"/>
      <c r="I141" s="15">
        <f t="shared" si="11"/>
        <v>134.708</v>
      </c>
      <c r="J141" s="14"/>
      <c r="K141" s="13">
        <v>39425</v>
      </c>
    </row>
    <row r="142" spans="1:11" ht="12.6" customHeight="1" x14ac:dyDescent="0.2">
      <c r="A142" s="13"/>
      <c r="B142" s="19" t="s">
        <v>67</v>
      </c>
      <c r="C142" s="15"/>
      <c r="D142" s="14"/>
      <c r="E142" s="15">
        <f t="shared" si="10"/>
        <v>87.947999999999993</v>
      </c>
      <c r="F142" s="14"/>
      <c r="G142" s="15">
        <f t="shared" si="9"/>
        <v>0</v>
      </c>
      <c r="H142" s="14">
        <v>3</v>
      </c>
      <c r="I142" s="15">
        <f t="shared" si="11"/>
        <v>131.708</v>
      </c>
      <c r="J142" s="14"/>
      <c r="K142" s="16" t="s">
        <v>631</v>
      </c>
    </row>
    <row r="143" spans="1:11" ht="12.6" customHeight="1" x14ac:dyDescent="0.2">
      <c r="A143" s="19"/>
      <c r="B143" s="19"/>
      <c r="C143" s="15">
        <f>SUM(C117:C142)</f>
        <v>25</v>
      </c>
      <c r="D143" s="15">
        <f>SUM(D117:D142)</f>
        <v>11.01</v>
      </c>
      <c r="E143" s="15"/>
      <c r="F143" s="14"/>
      <c r="G143" s="15">
        <f>SUM(G117:G142)</f>
        <v>25</v>
      </c>
      <c r="H143" s="15">
        <f>SUM(H117:H142)</f>
        <v>21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CATAPANG, CRISPIN JR. D.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AUGUST 02, 1995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39092</v>
      </c>
      <c r="B156" s="19"/>
      <c r="C156" s="15">
        <v>1.25</v>
      </c>
      <c r="D156" s="14"/>
      <c r="E156" s="15">
        <f>E142+C156-D156</f>
        <v>89.197999999999993</v>
      </c>
      <c r="F156" s="14"/>
      <c r="G156" s="15">
        <f>C156</f>
        <v>1.25</v>
      </c>
      <c r="H156" s="14"/>
      <c r="I156" s="15">
        <f>I142+G156-H156</f>
        <v>132.958</v>
      </c>
      <c r="J156" s="14"/>
      <c r="K156" s="13"/>
    </row>
    <row r="157" spans="1:11" ht="12.6" customHeight="1" x14ac:dyDescent="0.2">
      <c r="A157" s="13"/>
      <c r="B157" s="19" t="s">
        <v>245</v>
      </c>
      <c r="C157" s="15"/>
      <c r="D157" s="14">
        <v>7</v>
      </c>
      <c r="E157" s="15">
        <f>E156+C157-D157</f>
        <v>82.197999999999993</v>
      </c>
      <c r="F157" s="14"/>
      <c r="G157" s="15">
        <f t="shared" ref="G157:G181" si="12">C157</f>
        <v>0</v>
      </c>
      <c r="H157" s="14"/>
      <c r="I157" s="15">
        <f>I156+G157-H157</f>
        <v>132.958</v>
      </c>
      <c r="J157" s="14"/>
      <c r="K157" s="13" t="s">
        <v>632</v>
      </c>
    </row>
    <row r="158" spans="1:11" ht="12.6" customHeight="1" x14ac:dyDescent="0.2">
      <c r="A158" s="13"/>
      <c r="B158" s="19" t="s">
        <v>90</v>
      </c>
      <c r="C158" s="15"/>
      <c r="D158" s="14"/>
      <c r="E158" s="15">
        <f t="shared" ref="E158:E181" si="13">E157+C158-D158</f>
        <v>82.197999999999993</v>
      </c>
      <c r="F158" s="22"/>
      <c r="G158" s="15">
        <f t="shared" si="12"/>
        <v>0</v>
      </c>
      <c r="H158" s="34"/>
      <c r="I158" s="15">
        <f t="shared" ref="I158:I181" si="14">I157+G158-H158</f>
        <v>132.958</v>
      </c>
      <c r="J158" s="14"/>
      <c r="K158" s="13" t="s">
        <v>633</v>
      </c>
    </row>
    <row r="159" spans="1:11" ht="12.6" customHeight="1" x14ac:dyDescent="0.2">
      <c r="A159" s="13">
        <v>39093</v>
      </c>
      <c r="B159" s="19"/>
      <c r="C159" s="15">
        <v>1.25</v>
      </c>
      <c r="D159" s="14"/>
      <c r="E159" s="15">
        <f t="shared" si="13"/>
        <v>83.447999999999993</v>
      </c>
      <c r="F159" s="14"/>
      <c r="G159" s="15">
        <f t="shared" si="12"/>
        <v>1.25</v>
      </c>
      <c r="H159" s="34"/>
      <c r="I159" s="15">
        <f t="shared" si="14"/>
        <v>134.208</v>
      </c>
      <c r="J159" s="14"/>
      <c r="K159" s="13"/>
    </row>
    <row r="160" spans="1:11" ht="12.6" customHeight="1" x14ac:dyDescent="0.2">
      <c r="A160" s="13"/>
      <c r="B160" s="19" t="s">
        <v>248</v>
      </c>
      <c r="C160" s="15"/>
      <c r="D160" s="14"/>
      <c r="E160" s="15">
        <f t="shared" si="13"/>
        <v>83.447999999999993</v>
      </c>
      <c r="F160" s="14"/>
      <c r="G160" s="15">
        <f t="shared" si="12"/>
        <v>0</v>
      </c>
      <c r="H160" s="35">
        <v>2.5</v>
      </c>
      <c r="I160" s="15">
        <f t="shared" si="14"/>
        <v>131.708</v>
      </c>
      <c r="J160" s="14"/>
      <c r="K160" s="16" t="s">
        <v>635</v>
      </c>
    </row>
    <row r="161" spans="1:11" ht="12.6" customHeight="1" x14ac:dyDescent="0.2">
      <c r="A161" s="13"/>
      <c r="B161" s="19" t="s">
        <v>248</v>
      </c>
      <c r="C161" s="15"/>
      <c r="D161" s="14"/>
      <c r="E161" s="15">
        <f t="shared" si="13"/>
        <v>83.447999999999993</v>
      </c>
      <c r="F161" s="14"/>
      <c r="G161" s="15">
        <f t="shared" si="12"/>
        <v>0</v>
      </c>
      <c r="H161" s="35">
        <v>2.5</v>
      </c>
      <c r="I161" s="15">
        <f t="shared" si="14"/>
        <v>129.208</v>
      </c>
      <c r="J161" s="14"/>
      <c r="K161" s="13" t="s">
        <v>634</v>
      </c>
    </row>
    <row r="162" spans="1:11" ht="12.6" customHeight="1" x14ac:dyDescent="0.2">
      <c r="A162" s="13">
        <v>39094</v>
      </c>
      <c r="B162" s="19"/>
      <c r="C162" s="15">
        <v>1.25</v>
      </c>
      <c r="D162" s="14"/>
      <c r="E162" s="15">
        <f t="shared" si="13"/>
        <v>84.697999999999993</v>
      </c>
      <c r="F162" s="14"/>
      <c r="G162" s="15">
        <f t="shared" si="12"/>
        <v>1.25</v>
      </c>
      <c r="H162" s="34"/>
      <c r="I162" s="15">
        <f t="shared" si="14"/>
        <v>130.458</v>
      </c>
      <c r="J162" s="14"/>
      <c r="K162" s="16"/>
    </row>
    <row r="163" spans="1:11" ht="12.6" customHeight="1" x14ac:dyDescent="0.2">
      <c r="A163" s="13"/>
      <c r="B163" s="19" t="s">
        <v>52</v>
      </c>
      <c r="C163" s="15"/>
      <c r="D163" s="22"/>
      <c r="E163" s="15">
        <f t="shared" si="13"/>
        <v>84.697999999999993</v>
      </c>
      <c r="F163" s="22"/>
      <c r="G163" s="15">
        <f t="shared" si="12"/>
        <v>0</v>
      </c>
      <c r="H163" s="14">
        <v>2</v>
      </c>
      <c r="I163" s="15">
        <f t="shared" si="14"/>
        <v>128.458</v>
      </c>
      <c r="J163" s="14"/>
      <c r="K163" s="13" t="s">
        <v>636</v>
      </c>
    </row>
    <row r="164" spans="1:11" ht="12.6" customHeight="1" x14ac:dyDescent="0.2">
      <c r="A164" s="13">
        <v>39448</v>
      </c>
      <c r="B164" s="19"/>
      <c r="C164" s="15">
        <v>1.25</v>
      </c>
      <c r="D164" s="22"/>
      <c r="E164" s="15">
        <f t="shared" si="13"/>
        <v>85.947999999999993</v>
      </c>
      <c r="F164" s="14"/>
      <c r="G164" s="15">
        <f t="shared" si="12"/>
        <v>1.25</v>
      </c>
      <c r="H164" s="34"/>
      <c r="I164" s="15">
        <f t="shared" si="14"/>
        <v>129.708</v>
      </c>
      <c r="J164" s="14"/>
      <c r="K164" s="13"/>
    </row>
    <row r="165" spans="1:11" ht="12.6" customHeight="1" x14ac:dyDescent="0.2">
      <c r="A165" s="13"/>
      <c r="B165" s="19" t="s">
        <v>638</v>
      </c>
      <c r="C165" s="15"/>
      <c r="D165" s="14">
        <v>2.0670000000000002</v>
      </c>
      <c r="E165" s="15">
        <f t="shared" si="13"/>
        <v>83.881</v>
      </c>
      <c r="F165" s="14"/>
      <c r="G165" s="15">
        <f t="shared" si="12"/>
        <v>0</v>
      </c>
      <c r="H165" s="34"/>
      <c r="I165" s="15">
        <f t="shared" si="14"/>
        <v>129.708</v>
      </c>
      <c r="J165" s="14"/>
      <c r="K165" s="13" t="s">
        <v>637</v>
      </c>
    </row>
    <row r="166" spans="1:11" ht="12.6" customHeight="1" x14ac:dyDescent="0.2">
      <c r="A166" s="13"/>
      <c r="B166" s="19" t="s">
        <v>271</v>
      </c>
      <c r="C166" s="15"/>
      <c r="D166" s="14"/>
      <c r="E166" s="15">
        <f t="shared" si="13"/>
        <v>83.881</v>
      </c>
      <c r="F166" s="22"/>
      <c r="G166" s="15">
        <f t="shared" si="12"/>
        <v>0</v>
      </c>
      <c r="H166" s="34">
        <v>5</v>
      </c>
      <c r="I166" s="15">
        <f t="shared" si="14"/>
        <v>124.708</v>
      </c>
      <c r="J166" s="14"/>
      <c r="K166" s="13" t="s">
        <v>639</v>
      </c>
    </row>
    <row r="167" spans="1:11" ht="12.6" customHeight="1" x14ac:dyDescent="0.2">
      <c r="A167" s="13"/>
      <c r="B167" s="19" t="s">
        <v>47</v>
      </c>
      <c r="C167" s="15"/>
      <c r="D167" s="14"/>
      <c r="E167" s="15">
        <f t="shared" si="13"/>
        <v>83.881</v>
      </c>
      <c r="F167" s="22"/>
      <c r="G167" s="15">
        <f t="shared" si="12"/>
        <v>0</v>
      </c>
      <c r="H167" s="35">
        <v>1</v>
      </c>
      <c r="I167" s="15">
        <f t="shared" si="14"/>
        <v>123.708</v>
      </c>
      <c r="J167" s="14"/>
      <c r="K167" s="16" t="s">
        <v>640</v>
      </c>
    </row>
    <row r="168" spans="1:11" ht="12.6" customHeight="1" x14ac:dyDescent="0.2">
      <c r="A168" s="13">
        <v>39450</v>
      </c>
      <c r="B168" s="19"/>
      <c r="C168" s="15">
        <v>2.5</v>
      </c>
      <c r="D168" s="14"/>
      <c r="E168" s="15">
        <f t="shared" si="13"/>
        <v>86.381</v>
      </c>
      <c r="F168" s="14"/>
      <c r="G168" s="15">
        <f t="shared" si="12"/>
        <v>2.5</v>
      </c>
      <c r="H168" s="32"/>
      <c r="I168" s="15">
        <f t="shared" si="14"/>
        <v>126.208</v>
      </c>
      <c r="J168" s="14"/>
      <c r="K168" s="13"/>
    </row>
    <row r="169" spans="1:11" ht="12.6" customHeight="1" x14ac:dyDescent="0.2">
      <c r="A169" s="13"/>
      <c r="B169" s="19" t="s">
        <v>95</v>
      </c>
      <c r="C169" s="15"/>
      <c r="D169" s="14">
        <v>3</v>
      </c>
      <c r="E169" s="15">
        <f t="shared" si="13"/>
        <v>83.381</v>
      </c>
      <c r="F169" s="22"/>
      <c r="G169" s="15">
        <f t="shared" si="12"/>
        <v>0</v>
      </c>
      <c r="H169" s="34"/>
      <c r="I169" s="15">
        <f t="shared" si="14"/>
        <v>126.208</v>
      </c>
      <c r="J169" s="14"/>
      <c r="K169" s="13" t="s">
        <v>641</v>
      </c>
    </row>
    <row r="170" spans="1:11" ht="12.6" customHeight="1" x14ac:dyDescent="0.2">
      <c r="A170" s="13">
        <v>39451</v>
      </c>
      <c r="B170" s="19"/>
      <c r="C170" s="15">
        <v>1.25</v>
      </c>
      <c r="D170" s="14"/>
      <c r="E170" s="15">
        <f t="shared" si="13"/>
        <v>84.631</v>
      </c>
      <c r="F170" s="14"/>
      <c r="G170" s="15">
        <f t="shared" si="12"/>
        <v>1.25</v>
      </c>
      <c r="H170" s="14"/>
      <c r="I170" s="15">
        <f t="shared" si="14"/>
        <v>127.458</v>
      </c>
      <c r="J170" s="14"/>
      <c r="K170" s="13"/>
    </row>
    <row r="171" spans="1:11" ht="12.6" customHeight="1" x14ac:dyDescent="0.2">
      <c r="A171" s="13"/>
      <c r="B171" s="19" t="s">
        <v>47</v>
      </c>
      <c r="C171" s="15"/>
      <c r="D171" s="14"/>
      <c r="E171" s="15">
        <f t="shared" si="13"/>
        <v>84.631</v>
      </c>
      <c r="F171" s="14"/>
      <c r="G171" s="15">
        <f t="shared" si="12"/>
        <v>0</v>
      </c>
      <c r="H171" s="34">
        <v>1</v>
      </c>
      <c r="I171" s="15">
        <f t="shared" si="14"/>
        <v>126.458</v>
      </c>
      <c r="J171" s="14"/>
      <c r="K171" s="16" t="s">
        <v>642</v>
      </c>
    </row>
    <row r="172" spans="1:11" ht="12.6" customHeight="1" x14ac:dyDescent="0.2">
      <c r="A172" s="13">
        <v>39453</v>
      </c>
      <c r="B172" s="19"/>
      <c r="C172" s="15">
        <v>2.5</v>
      </c>
      <c r="D172" s="14"/>
      <c r="E172" s="15">
        <f t="shared" si="13"/>
        <v>87.131</v>
      </c>
      <c r="F172" s="14"/>
      <c r="G172" s="15">
        <f t="shared" si="12"/>
        <v>2.5</v>
      </c>
      <c r="H172" s="34"/>
      <c r="I172" s="15">
        <f t="shared" si="14"/>
        <v>128.958</v>
      </c>
      <c r="J172" s="14"/>
      <c r="K172" s="13"/>
    </row>
    <row r="173" spans="1:11" ht="12.6" customHeight="1" x14ac:dyDescent="0.2">
      <c r="A173" s="13"/>
      <c r="B173" s="19" t="s">
        <v>52</v>
      </c>
      <c r="C173" s="15"/>
      <c r="D173" s="14"/>
      <c r="E173" s="15">
        <f t="shared" si="13"/>
        <v>87.131</v>
      </c>
      <c r="F173" s="14"/>
      <c r="G173" s="15">
        <f t="shared" si="12"/>
        <v>0</v>
      </c>
      <c r="H173" s="35">
        <v>2</v>
      </c>
      <c r="I173" s="15">
        <f t="shared" si="14"/>
        <v>126.958</v>
      </c>
      <c r="J173" s="14"/>
      <c r="K173" s="13" t="s">
        <v>643</v>
      </c>
    </row>
    <row r="174" spans="1:11" ht="12.6" customHeight="1" x14ac:dyDescent="0.2">
      <c r="A174" s="13"/>
      <c r="B174" s="19" t="s">
        <v>52</v>
      </c>
      <c r="C174" s="15"/>
      <c r="D174" s="14"/>
      <c r="E174" s="15">
        <f t="shared" si="13"/>
        <v>87.131</v>
      </c>
      <c r="F174" s="22"/>
      <c r="G174" s="15">
        <f t="shared" si="12"/>
        <v>0</v>
      </c>
      <c r="H174" s="14">
        <v>2</v>
      </c>
      <c r="I174" s="15">
        <f t="shared" si="14"/>
        <v>124.958</v>
      </c>
      <c r="J174" s="14"/>
      <c r="K174" s="13" t="s">
        <v>644</v>
      </c>
    </row>
    <row r="175" spans="1:11" ht="12.6" customHeight="1" x14ac:dyDescent="0.2">
      <c r="A175" s="13">
        <v>39454</v>
      </c>
      <c r="B175" s="19"/>
      <c r="C175" s="15">
        <v>1.25</v>
      </c>
      <c r="D175" s="14"/>
      <c r="E175" s="15">
        <f t="shared" si="13"/>
        <v>88.381</v>
      </c>
      <c r="F175" s="22"/>
      <c r="G175" s="15">
        <f t="shared" si="12"/>
        <v>1.25</v>
      </c>
      <c r="H175" s="34"/>
      <c r="I175" s="15">
        <f t="shared" si="14"/>
        <v>126.208</v>
      </c>
      <c r="J175" s="14"/>
      <c r="K175" s="13"/>
    </row>
    <row r="176" spans="1:11" ht="12.6" customHeight="1" x14ac:dyDescent="0.2">
      <c r="A176" s="13"/>
      <c r="B176" s="19" t="s">
        <v>47</v>
      </c>
      <c r="C176" s="15"/>
      <c r="D176" s="14"/>
      <c r="E176" s="15">
        <f t="shared" si="13"/>
        <v>88.381</v>
      </c>
      <c r="F176" s="14"/>
      <c r="G176" s="15">
        <f t="shared" si="12"/>
        <v>0</v>
      </c>
      <c r="H176" s="32">
        <v>1</v>
      </c>
      <c r="I176" s="15">
        <f t="shared" si="14"/>
        <v>125.208</v>
      </c>
      <c r="J176" s="14"/>
      <c r="K176" s="16" t="s">
        <v>645</v>
      </c>
    </row>
    <row r="177" spans="1:11" ht="12.6" customHeight="1" x14ac:dyDescent="0.2">
      <c r="A177" s="13">
        <v>39456</v>
      </c>
      <c r="B177" s="19"/>
      <c r="C177" s="15">
        <v>2.5</v>
      </c>
      <c r="D177" s="14"/>
      <c r="E177" s="15">
        <f t="shared" si="13"/>
        <v>90.881</v>
      </c>
      <c r="F177" s="14"/>
      <c r="G177" s="15">
        <f t="shared" si="12"/>
        <v>2.5</v>
      </c>
      <c r="H177" s="34"/>
      <c r="I177" s="15">
        <f t="shared" si="14"/>
        <v>127.708</v>
      </c>
      <c r="J177" s="14"/>
      <c r="K177" s="16"/>
    </row>
    <row r="178" spans="1:11" ht="12.6" customHeight="1" x14ac:dyDescent="0.2">
      <c r="A178" s="13"/>
      <c r="B178" s="19" t="s">
        <v>648</v>
      </c>
      <c r="C178" s="15"/>
      <c r="D178" s="14"/>
      <c r="E178" s="15">
        <f t="shared" si="13"/>
        <v>90.881</v>
      </c>
      <c r="F178" s="14"/>
      <c r="G178" s="15">
        <f t="shared" si="12"/>
        <v>0</v>
      </c>
      <c r="H178" s="34">
        <v>24</v>
      </c>
      <c r="I178" s="15">
        <f t="shared" si="14"/>
        <v>103.708</v>
      </c>
      <c r="J178" s="14"/>
      <c r="K178" s="13" t="s">
        <v>646</v>
      </c>
    </row>
    <row r="179" spans="1:11" ht="12.6" customHeight="1" x14ac:dyDescent="0.2">
      <c r="A179" s="13"/>
      <c r="B179" s="19" t="s">
        <v>47</v>
      </c>
      <c r="C179" s="15"/>
      <c r="D179" s="14"/>
      <c r="E179" s="15">
        <f t="shared" si="13"/>
        <v>90.881</v>
      </c>
      <c r="F179" s="14"/>
      <c r="G179" s="15">
        <f t="shared" si="12"/>
        <v>0</v>
      </c>
      <c r="H179" s="34">
        <v>1</v>
      </c>
      <c r="I179" s="15">
        <f t="shared" si="14"/>
        <v>102.708</v>
      </c>
      <c r="J179" s="14"/>
      <c r="K179" s="16" t="s">
        <v>647</v>
      </c>
    </row>
    <row r="180" spans="1:11" ht="12.6" customHeight="1" x14ac:dyDescent="0.2">
      <c r="A180" s="13">
        <v>39459</v>
      </c>
      <c r="B180" s="19"/>
      <c r="C180" s="15">
        <v>3.75</v>
      </c>
      <c r="D180" s="14"/>
      <c r="E180" s="15">
        <f t="shared" si="13"/>
        <v>94.631</v>
      </c>
      <c r="F180" s="14"/>
      <c r="G180" s="15">
        <f t="shared" si="12"/>
        <v>3.75</v>
      </c>
      <c r="H180" s="34"/>
      <c r="I180" s="15">
        <f t="shared" si="14"/>
        <v>106.458</v>
      </c>
      <c r="J180" s="14"/>
      <c r="K180" s="13"/>
    </row>
    <row r="181" spans="1:11" ht="12.6" customHeight="1" x14ac:dyDescent="0.2">
      <c r="A181" s="13"/>
      <c r="B181" s="19" t="s">
        <v>52</v>
      </c>
      <c r="C181" s="15"/>
      <c r="D181" s="14"/>
      <c r="E181" s="15">
        <f t="shared" si="13"/>
        <v>94.631</v>
      </c>
      <c r="F181" s="14"/>
      <c r="G181" s="15">
        <f t="shared" si="12"/>
        <v>0</v>
      </c>
      <c r="H181" s="34">
        <v>2</v>
      </c>
      <c r="I181" s="15">
        <f t="shared" si="14"/>
        <v>104.458</v>
      </c>
      <c r="J181" s="14"/>
      <c r="K181" s="13" t="s">
        <v>649</v>
      </c>
    </row>
    <row r="182" spans="1:11" ht="12.6" customHeight="1" x14ac:dyDescent="0.2">
      <c r="A182" s="19"/>
      <c r="B182" s="19"/>
      <c r="C182" s="15">
        <f>SUM(C156:C181)</f>
        <v>18.75</v>
      </c>
      <c r="D182" s="15">
        <f>SUM(D156:D181)</f>
        <v>12.067</v>
      </c>
      <c r="E182" s="36"/>
      <c r="F182" s="37"/>
      <c r="G182" s="15">
        <f>SUM(G156:G181)</f>
        <v>18.75</v>
      </c>
      <c r="H182" s="15">
        <f>SUM(H156:H181)</f>
        <v>46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CATAPANG, CRISPIN JR. D.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AUGUST 02, 1995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39814</v>
      </c>
      <c r="B191" s="19"/>
      <c r="C191" s="15">
        <v>1.25</v>
      </c>
      <c r="D191" s="14"/>
      <c r="E191" s="15">
        <f>E181+C191-D191</f>
        <v>95.881</v>
      </c>
      <c r="F191" s="14"/>
      <c r="G191" s="15">
        <f>C191</f>
        <v>1.25</v>
      </c>
      <c r="H191" s="34"/>
      <c r="I191" s="15">
        <f>I181+G191-H191</f>
        <v>105.708</v>
      </c>
      <c r="J191" s="14"/>
      <c r="K191" s="13"/>
    </row>
    <row r="192" spans="1:11" ht="12.6" customHeight="1" x14ac:dyDescent="0.2">
      <c r="A192" s="13"/>
      <c r="B192" s="19" t="s">
        <v>651</v>
      </c>
      <c r="C192" s="15"/>
      <c r="D192" s="14">
        <v>0.121</v>
      </c>
      <c r="E192" s="15">
        <f>E191+C192-D192</f>
        <v>95.76</v>
      </c>
      <c r="F192" s="14"/>
      <c r="G192" s="15">
        <f t="shared" ref="G192:G216" si="15">C192</f>
        <v>0</v>
      </c>
      <c r="H192" s="34"/>
      <c r="I192" s="15">
        <f>I191+G192-H192</f>
        <v>105.708</v>
      </c>
      <c r="J192" s="14"/>
      <c r="K192" s="13" t="s">
        <v>650</v>
      </c>
    </row>
    <row r="193" spans="1:11" ht="12.6" customHeight="1" x14ac:dyDescent="0.2">
      <c r="A193" s="13">
        <v>39815</v>
      </c>
      <c r="B193" s="19"/>
      <c r="C193" s="15">
        <v>1.25</v>
      </c>
      <c r="D193" s="14"/>
      <c r="E193" s="15">
        <f t="shared" ref="E193:E216" si="16">E192+C193-D193</f>
        <v>97.01</v>
      </c>
      <c r="F193" s="22"/>
      <c r="G193" s="15">
        <f t="shared" si="15"/>
        <v>1.25</v>
      </c>
      <c r="H193" s="34"/>
      <c r="I193" s="15">
        <f t="shared" ref="I193:I216" si="17">I192+G193-H193</f>
        <v>106.958</v>
      </c>
      <c r="J193" s="14"/>
      <c r="K193" s="38"/>
    </row>
    <row r="194" spans="1:11" ht="12.6" customHeight="1" x14ac:dyDescent="0.2">
      <c r="A194" s="13"/>
      <c r="B194" s="19" t="s">
        <v>45</v>
      </c>
      <c r="C194" s="15"/>
      <c r="D194" s="14"/>
      <c r="E194" s="15">
        <f t="shared" si="16"/>
        <v>97.01</v>
      </c>
      <c r="F194" s="14"/>
      <c r="G194" s="15">
        <f t="shared" si="15"/>
        <v>0</v>
      </c>
      <c r="H194" s="34"/>
      <c r="I194" s="15">
        <f t="shared" si="17"/>
        <v>106.958</v>
      </c>
      <c r="J194" s="14"/>
      <c r="K194" s="13">
        <v>40058</v>
      </c>
    </row>
    <row r="195" spans="1:11" ht="12.6" customHeight="1" x14ac:dyDescent="0.2">
      <c r="A195" s="13">
        <v>39816</v>
      </c>
      <c r="B195" s="19"/>
      <c r="C195" s="15">
        <v>1.25</v>
      </c>
      <c r="D195" s="14"/>
      <c r="E195" s="15">
        <f t="shared" si="16"/>
        <v>98.26</v>
      </c>
      <c r="F195" s="14"/>
      <c r="G195" s="15">
        <f t="shared" si="15"/>
        <v>1.25</v>
      </c>
      <c r="H195" s="34"/>
      <c r="I195" s="15">
        <f t="shared" si="17"/>
        <v>108.208</v>
      </c>
      <c r="J195" s="14"/>
      <c r="K195" s="13"/>
    </row>
    <row r="196" spans="1:11" ht="12.6" customHeight="1" x14ac:dyDescent="0.2">
      <c r="A196" s="13"/>
      <c r="B196" s="19" t="s">
        <v>47</v>
      </c>
      <c r="C196" s="15"/>
      <c r="D196" s="14"/>
      <c r="E196" s="15">
        <f t="shared" si="16"/>
        <v>98.26</v>
      </c>
      <c r="F196" s="14"/>
      <c r="G196" s="15">
        <f t="shared" si="15"/>
        <v>0</v>
      </c>
      <c r="H196" s="34">
        <v>1</v>
      </c>
      <c r="I196" s="15">
        <f t="shared" si="17"/>
        <v>107.208</v>
      </c>
      <c r="J196" s="14"/>
      <c r="K196" s="13">
        <v>39847</v>
      </c>
    </row>
    <row r="197" spans="1:11" ht="12.6" customHeight="1" x14ac:dyDescent="0.2">
      <c r="A197" s="13"/>
      <c r="B197" s="19" t="s">
        <v>166</v>
      </c>
      <c r="C197" s="15"/>
      <c r="D197" s="14"/>
      <c r="E197" s="15">
        <f t="shared" si="16"/>
        <v>98.26</v>
      </c>
      <c r="F197" s="14"/>
      <c r="G197" s="15">
        <f t="shared" si="15"/>
        <v>0</v>
      </c>
      <c r="H197" s="34"/>
      <c r="I197" s="15">
        <f t="shared" si="17"/>
        <v>107.208</v>
      </c>
      <c r="J197" s="14"/>
      <c r="K197" s="13" t="s">
        <v>652</v>
      </c>
    </row>
    <row r="198" spans="1:11" ht="12.6" customHeight="1" x14ac:dyDescent="0.2">
      <c r="A198" s="13">
        <v>39817</v>
      </c>
      <c r="B198" s="19"/>
      <c r="C198" s="15">
        <v>1.25</v>
      </c>
      <c r="D198" s="22"/>
      <c r="E198" s="15">
        <f t="shared" si="16"/>
        <v>99.51</v>
      </c>
      <c r="F198" s="22"/>
      <c r="G198" s="15">
        <f t="shared" si="15"/>
        <v>1.25</v>
      </c>
      <c r="H198" s="34"/>
      <c r="I198" s="15">
        <f t="shared" si="17"/>
        <v>108.458</v>
      </c>
      <c r="J198" s="14"/>
      <c r="K198" s="16"/>
    </row>
    <row r="199" spans="1:11" ht="12.6" customHeight="1" x14ac:dyDescent="0.2">
      <c r="A199" s="13"/>
      <c r="B199" s="19" t="s">
        <v>248</v>
      </c>
      <c r="C199" s="15"/>
      <c r="D199" s="22"/>
      <c r="E199" s="15">
        <f t="shared" si="16"/>
        <v>99.51</v>
      </c>
      <c r="F199" s="14"/>
      <c r="G199" s="15">
        <f t="shared" si="15"/>
        <v>0</v>
      </c>
      <c r="H199" s="35">
        <v>2.5</v>
      </c>
      <c r="I199" s="15">
        <f t="shared" si="17"/>
        <v>105.958</v>
      </c>
      <c r="J199" s="14"/>
      <c r="K199" s="16" t="s">
        <v>653</v>
      </c>
    </row>
    <row r="200" spans="1:11" ht="12.6" customHeight="1" x14ac:dyDescent="0.2">
      <c r="A200" s="13">
        <v>39818</v>
      </c>
      <c r="B200" s="19"/>
      <c r="C200" s="15">
        <v>1.25</v>
      </c>
      <c r="D200" s="14"/>
      <c r="E200" s="15">
        <f t="shared" si="16"/>
        <v>100.76</v>
      </c>
      <c r="F200" s="14"/>
      <c r="G200" s="15">
        <f t="shared" si="15"/>
        <v>1.25</v>
      </c>
      <c r="H200" s="34"/>
      <c r="I200" s="15">
        <f t="shared" si="17"/>
        <v>107.208</v>
      </c>
      <c r="J200" s="14"/>
      <c r="K200" s="13"/>
    </row>
    <row r="201" spans="1:11" ht="12.6" customHeight="1" x14ac:dyDescent="0.2">
      <c r="A201" s="13"/>
      <c r="B201" s="19" t="s">
        <v>129</v>
      </c>
      <c r="C201" s="15"/>
      <c r="D201" s="22"/>
      <c r="E201" s="15">
        <f t="shared" si="16"/>
        <v>100.76</v>
      </c>
      <c r="F201" s="22"/>
      <c r="G201" s="15">
        <f t="shared" si="15"/>
        <v>0</v>
      </c>
      <c r="H201" s="35">
        <v>0.5</v>
      </c>
      <c r="I201" s="15">
        <f t="shared" si="17"/>
        <v>106.708</v>
      </c>
      <c r="J201" s="14"/>
      <c r="K201" s="13" t="s">
        <v>654</v>
      </c>
    </row>
    <row r="202" spans="1:11" ht="12.6" customHeight="1" x14ac:dyDescent="0.2">
      <c r="A202" s="13">
        <v>39819</v>
      </c>
      <c r="B202" s="19"/>
      <c r="C202" s="15">
        <v>1.25</v>
      </c>
      <c r="D202" s="14"/>
      <c r="E202" s="15">
        <f t="shared" si="16"/>
        <v>102.01</v>
      </c>
      <c r="F202" s="22"/>
      <c r="G202" s="15">
        <f t="shared" si="15"/>
        <v>1.25</v>
      </c>
      <c r="H202" s="34"/>
      <c r="I202" s="15">
        <f t="shared" si="17"/>
        <v>107.958</v>
      </c>
      <c r="J202" s="14"/>
      <c r="K202" s="13"/>
    </row>
    <row r="203" spans="1:11" ht="12.6" customHeight="1" x14ac:dyDescent="0.2">
      <c r="A203" s="13"/>
      <c r="B203" s="19" t="s">
        <v>47</v>
      </c>
      <c r="C203" s="15"/>
      <c r="D203" s="14"/>
      <c r="E203" s="15">
        <f t="shared" si="16"/>
        <v>102.01</v>
      </c>
      <c r="F203" s="14"/>
      <c r="G203" s="15">
        <f t="shared" si="15"/>
        <v>0</v>
      </c>
      <c r="H203" s="34">
        <v>1</v>
      </c>
      <c r="I203" s="15">
        <f t="shared" si="17"/>
        <v>106.958</v>
      </c>
      <c r="J203" s="14"/>
      <c r="K203" s="13">
        <v>39819</v>
      </c>
    </row>
    <row r="204" spans="1:11" ht="12.6" customHeight="1" x14ac:dyDescent="0.2">
      <c r="A204" s="13">
        <v>39820</v>
      </c>
      <c r="B204" s="19"/>
      <c r="C204" s="15">
        <v>1.25</v>
      </c>
      <c r="D204" s="14"/>
      <c r="E204" s="15">
        <f t="shared" si="16"/>
        <v>103.26</v>
      </c>
      <c r="F204" s="22"/>
      <c r="G204" s="15">
        <f t="shared" si="15"/>
        <v>1.25</v>
      </c>
      <c r="H204" s="34"/>
      <c r="I204" s="15">
        <f t="shared" si="17"/>
        <v>108.208</v>
      </c>
      <c r="J204" s="14"/>
      <c r="K204" s="13"/>
    </row>
    <row r="205" spans="1:11" ht="12.6" customHeight="1" x14ac:dyDescent="0.2">
      <c r="A205" s="13"/>
      <c r="B205" s="19" t="s">
        <v>47</v>
      </c>
      <c r="C205" s="15"/>
      <c r="D205" s="14"/>
      <c r="E205" s="15">
        <f t="shared" si="16"/>
        <v>103.26</v>
      </c>
      <c r="F205" s="14"/>
      <c r="G205" s="15">
        <f t="shared" si="15"/>
        <v>0</v>
      </c>
      <c r="H205" s="34">
        <v>1</v>
      </c>
      <c r="I205" s="15">
        <f t="shared" si="17"/>
        <v>107.208</v>
      </c>
      <c r="J205" s="14"/>
      <c r="K205" s="16" t="s">
        <v>655</v>
      </c>
    </row>
    <row r="206" spans="1:11" ht="12.6" customHeight="1" x14ac:dyDescent="0.2">
      <c r="A206" s="13">
        <v>39822</v>
      </c>
      <c r="B206" s="19"/>
      <c r="C206" s="15">
        <v>2.5</v>
      </c>
      <c r="D206" s="22"/>
      <c r="E206" s="15">
        <f t="shared" si="16"/>
        <v>105.76</v>
      </c>
      <c r="F206" s="14"/>
      <c r="G206" s="15">
        <f t="shared" si="15"/>
        <v>2.5</v>
      </c>
      <c r="H206" s="34"/>
      <c r="I206" s="15">
        <f t="shared" si="17"/>
        <v>109.708</v>
      </c>
      <c r="J206" s="14"/>
      <c r="K206" s="16"/>
    </row>
    <row r="207" spans="1:11" ht="12.6" customHeight="1" x14ac:dyDescent="0.2">
      <c r="A207" s="13"/>
      <c r="B207" s="19" t="s">
        <v>47</v>
      </c>
      <c r="C207" s="15"/>
      <c r="D207" s="22"/>
      <c r="E207" s="15">
        <f t="shared" si="16"/>
        <v>105.76</v>
      </c>
      <c r="F207" s="14"/>
      <c r="G207" s="15">
        <f t="shared" si="15"/>
        <v>0</v>
      </c>
      <c r="H207" s="34">
        <v>1</v>
      </c>
      <c r="I207" s="15">
        <f t="shared" si="17"/>
        <v>108.708</v>
      </c>
      <c r="J207" s="14"/>
      <c r="K207" s="13">
        <v>40034</v>
      </c>
    </row>
    <row r="208" spans="1:11" ht="12.6" customHeight="1" x14ac:dyDescent="0.2">
      <c r="A208" s="13"/>
      <c r="B208" s="19" t="s">
        <v>52</v>
      </c>
      <c r="C208" s="15"/>
      <c r="D208" s="14"/>
      <c r="E208" s="15">
        <f t="shared" si="16"/>
        <v>105.76</v>
      </c>
      <c r="F208" s="14"/>
      <c r="G208" s="15">
        <f t="shared" si="15"/>
        <v>0</v>
      </c>
      <c r="H208" s="34">
        <v>2</v>
      </c>
      <c r="I208" s="15">
        <f t="shared" si="17"/>
        <v>106.708</v>
      </c>
      <c r="J208" s="14"/>
      <c r="K208" s="16" t="s">
        <v>656</v>
      </c>
    </row>
    <row r="209" spans="1:11" ht="12.6" customHeight="1" x14ac:dyDescent="0.2">
      <c r="A209" s="13">
        <v>39825</v>
      </c>
      <c r="B209" s="19"/>
      <c r="C209" s="15">
        <v>3.75</v>
      </c>
      <c r="D209" s="14"/>
      <c r="E209" s="15">
        <f t="shared" si="16"/>
        <v>109.51</v>
      </c>
      <c r="F209" s="22"/>
      <c r="G209" s="15">
        <f t="shared" si="15"/>
        <v>3.75</v>
      </c>
      <c r="H209" s="34"/>
      <c r="I209" s="15">
        <f t="shared" si="17"/>
        <v>110.458</v>
      </c>
      <c r="J209" s="14"/>
      <c r="K209" s="16"/>
    </row>
    <row r="210" spans="1:11" ht="12.6" customHeight="1" x14ac:dyDescent="0.2">
      <c r="A210" s="13"/>
      <c r="B210" s="19" t="s">
        <v>52</v>
      </c>
      <c r="C210" s="15"/>
      <c r="D210" s="14"/>
      <c r="E210" s="15">
        <f t="shared" si="16"/>
        <v>109.51</v>
      </c>
      <c r="F210" s="22"/>
      <c r="G210" s="15">
        <f t="shared" si="15"/>
        <v>0</v>
      </c>
      <c r="H210" s="34">
        <v>2</v>
      </c>
      <c r="I210" s="15">
        <f t="shared" si="17"/>
        <v>108.458</v>
      </c>
      <c r="J210" s="14"/>
      <c r="K210" s="13" t="s">
        <v>657</v>
      </c>
    </row>
    <row r="211" spans="1:11" ht="12.6" customHeight="1" x14ac:dyDescent="0.2">
      <c r="A211" s="13"/>
      <c r="B211" s="19" t="s">
        <v>76</v>
      </c>
      <c r="C211" s="15"/>
      <c r="D211" s="14">
        <v>2</v>
      </c>
      <c r="E211" s="15">
        <f t="shared" si="16"/>
        <v>107.51</v>
      </c>
      <c r="F211" s="14"/>
      <c r="G211" s="15">
        <f t="shared" si="15"/>
        <v>0</v>
      </c>
      <c r="H211" s="34"/>
      <c r="I211" s="15">
        <f t="shared" si="17"/>
        <v>108.458</v>
      </c>
      <c r="J211" s="14"/>
      <c r="K211" s="16" t="s">
        <v>658</v>
      </c>
    </row>
    <row r="212" spans="1:11" ht="12.6" customHeight="1" x14ac:dyDescent="0.2">
      <c r="A212" s="13">
        <v>40180</v>
      </c>
      <c r="B212" s="19"/>
      <c r="C212" s="15">
        <v>2.5</v>
      </c>
      <c r="D212" s="14"/>
      <c r="E212" s="15">
        <f t="shared" si="16"/>
        <v>110.01</v>
      </c>
      <c r="F212" s="14"/>
      <c r="G212" s="15">
        <f t="shared" si="15"/>
        <v>2.5</v>
      </c>
      <c r="H212" s="34"/>
      <c r="I212" s="15">
        <f t="shared" si="17"/>
        <v>110.958</v>
      </c>
      <c r="J212" s="14"/>
      <c r="K212" s="13"/>
    </row>
    <row r="213" spans="1:11" ht="12.6" customHeight="1" x14ac:dyDescent="0.2">
      <c r="A213" s="13"/>
      <c r="B213" s="19" t="s">
        <v>52</v>
      </c>
      <c r="C213" s="15"/>
      <c r="D213" s="14"/>
      <c r="E213" s="15">
        <f t="shared" si="16"/>
        <v>110.01</v>
      </c>
      <c r="F213" s="14"/>
      <c r="G213" s="15">
        <f t="shared" si="15"/>
        <v>0</v>
      </c>
      <c r="H213" s="34">
        <v>2</v>
      </c>
      <c r="I213" s="15">
        <f t="shared" si="17"/>
        <v>108.958</v>
      </c>
      <c r="J213" s="14"/>
      <c r="K213" s="13" t="s">
        <v>659</v>
      </c>
    </row>
    <row r="214" spans="1:11" ht="12.6" customHeight="1" x14ac:dyDescent="0.2">
      <c r="A214" s="13">
        <v>40183</v>
      </c>
      <c r="B214" s="19"/>
      <c r="C214" s="15">
        <v>3.75</v>
      </c>
      <c r="D214" s="14"/>
      <c r="E214" s="15">
        <f t="shared" si="16"/>
        <v>113.76</v>
      </c>
      <c r="F214" s="14"/>
      <c r="G214" s="15">
        <f t="shared" si="15"/>
        <v>3.75</v>
      </c>
      <c r="H214" s="14"/>
      <c r="I214" s="15">
        <f t="shared" si="17"/>
        <v>112.708</v>
      </c>
      <c r="J214" s="14"/>
      <c r="K214" s="16"/>
    </row>
    <row r="215" spans="1:11" ht="12.6" customHeight="1" x14ac:dyDescent="0.2">
      <c r="A215" s="13"/>
      <c r="B215" s="19" t="s">
        <v>45</v>
      </c>
      <c r="C215" s="15"/>
      <c r="D215" s="14"/>
      <c r="E215" s="15">
        <f t="shared" si="16"/>
        <v>113.76</v>
      </c>
      <c r="F215" s="14"/>
      <c r="G215" s="15">
        <f t="shared" si="15"/>
        <v>0</v>
      </c>
      <c r="H215" s="14"/>
      <c r="I215" s="15">
        <f t="shared" si="17"/>
        <v>112.708</v>
      </c>
      <c r="J215" s="14"/>
      <c r="K215" s="13">
        <v>40273</v>
      </c>
    </row>
    <row r="216" spans="1:11" ht="12.6" customHeight="1" x14ac:dyDescent="0.2">
      <c r="A216" s="13">
        <v>40185</v>
      </c>
      <c r="B216" s="19"/>
      <c r="C216" s="15">
        <v>2.5</v>
      </c>
      <c r="D216" s="14"/>
      <c r="E216" s="15">
        <f t="shared" si="16"/>
        <v>116.26</v>
      </c>
      <c r="F216" s="14"/>
      <c r="G216" s="15">
        <f t="shared" si="15"/>
        <v>2.5</v>
      </c>
      <c r="H216" s="14"/>
      <c r="I216" s="15">
        <f t="shared" si="17"/>
        <v>115.208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23.75</v>
      </c>
      <c r="D217" s="15">
        <f>SUM(D191:D216)</f>
        <v>2.121</v>
      </c>
      <c r="E217" s="36"/>
      <c r="F217" s="39"/>
      <c r="G217" s="15">
        <f>SUM(G191:G216)</f>
        <v>23.75</v>
      </c>
      <c r="H217" s="15">
        <f>SUM(H191:H216)</f>
        <v>13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CATAPANG, CRISPIN JR. D.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AUGUST 02, 1995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 t="s">
        <v>47</v>
      </c>
      <c r="C230" s="15"/>
      <c r="D230" s="14"/>
      <c r="E230" s="15">
        <f>E216+C230-D230</f>
        <v>116.26</v>
      </c>
      <c r="F230" s="14"/>
      <c r="G230" s="15">
        <f>C230</f>
        <v>0</v>
      </c>
      <c r="H230" s="14">
        <v>1</v>
      </c>
      <c r="I230" s="15">
        <f>I216+G230-H230</f>
        <v>114.208</v>
      </c>
      <c r="J230" s="14"/>
      <c r="K230" s="13">
        <v>40336</v>
      </c>
    </row>
    <row r="231" spans="1:11" ht="12.6" customHeight="1" x14ac:dyDescent="0.2">
      <c r="A231" s="13">
        <v>40187</v>
      </c>
      <c r="B231" s="19"/>
      <c r="C231" s="15">
        <v>2.5</v>
      </c>
      <c r="D231" s="14"/>
      <c r="E231" s="15">
        <f>E230+C231-D231</f>
        <v>118.76</v>
      </c>
      <c r="F231" s="14"/>
      <c r="G231" s="15">
        <f t="shared" ref="G231:G255" si="18">C231</f>
        <v>2.5</v>
      </c>
      <c r="H231" s="14"/>
      <c r="I231" s="15">
        <f>I230+G231-H231</f>
        <v>116.708</v>
      </c>
      <c r="J231" s="14"/>
      <c r="K231" s="13"/>
    </row>
    <row r="232" spans="1:11" ht="12.6" customHeight="1" x14ac:dyDescent="0.2">
      <c r="A232" s="13"/>
      <c r="B232" s="19" t="s">
        <v>52</v>
      </c>
      <c r="C232" s="15"/>
      <c r="D232" s="14"/>
      <c r="E232" s="15">
        <f t="shared" ref="E232:E255" si="19">E231+C232-D232</f>
        <v>118.76</v>
      </c>
      <c r="F232" s="14"/>
      <c r="G232" s="15">
        <f t="shared" si="18"/>
        <v>0</v>
      </c>
      <c r="H232" s="14">
        <v>2</v>
      </c>
      <c r="I232" s="15">
        <f t="shared" ref="I232:I255" si="20">I231+G232-H232</f>
        <v>114.708</v>
      </c>
      <c r="J232" s="14"/>
      <c r="K232" s="13" t="s">
        <v>660</v>
      </c>
    </row>
    <row r="233" spans="1:11" ht="12.6" customHeight="1" x14ac:dyDescent="0.2">
      <c r="A233" s="13">
        <v>40188</v>
      </c>
      <c r="B233" s="19"/>
      <c r="C233" s="15">
        <v>1.25</v>
      </c>
      <c r="D233" s="14"/>
      <c r="E233" s="15">
        <f t="shared" si="19"/>
        <v>120.01</v>
      </c>
      <c r="F233" s="14"/>
      <c r="G233" s="15">
        <f t="shared" si="18"/>
        <v>1.25</v>
      </c>
      <c r="H233" s="14"/>
      <c r="I233" s="15">
        <f t="shared" si="20"/>
        <v>115.958</v>
      </c>
      <c r="J233" s="14"/>
      <c r="K233" s="16"/>
    </row>
    <row r="234" spans="1:11" ht="12.6" customHeight="1" x14ac:dyDescent="0.2">
      <c r="A234" s="13"/>
      <c r="B234" s="19" t="s">
        <v>52</v>
      </c>
      <c r="C234" s="15"/>
      <c r="D234" s="14"/>
      <c r="E234" s="15">
        <f t="shared" si="19"/>
        <v>120.01</v>
      </c>
      <c r="F234" s="14"/>
      <c r="G234" s="15">
        <f t="shared" si="18"/>
        <v>0</v>
      </c>
      <c r="H234" s="14">
        <v>2</v>
      </c>
      <c r="I234" s="15">
        <f t="shared" si="20"/>
        <v>113.958</v>
      </c>
      <c r="J234" s="14"/>
      <c r="K234" s="13" t="s">
        <v>661</v>
      </c>
    </row>
    <row r="235" spans="1:11" ht="12.6" customHeight="1" x14ac:dyDescent="0.2">
      <c r="A235" s="13"/>
      <c r="B235" s="19" t="s">
        <v>47</v>
      </c>
      <c r="C235" s="15"/>
      <c r="D235" s="14"/>
      <c r="E235" s="15">
        <f t="shared" si="19"/>
        <v>120.01</v>
      </c>
      <c r="F235" s="14"/>
      <c r="G235" s="15">
        <f t="shared" si="18"/>
        <v>0</v>
      </c>
      <c r="H235" s="14">
        <v>1</v>
      </c>
      <c r="I235" s="15">
        <f t="shared" si="20"/>
        <v>112.958</v>
      </c>
      <c r="J235" s="14"/>
      <c r="K235" s="13">
        <v>40522</v>
      </c>
    </row>
    <row r="236" spans="1:11" ht="12.6" customHeight="1" x14ac:dyDescent="0.2">
      <c r="A236" s="13"/>
      <c r="B236" s="19" t="s">
        <v>125</v>
      </c>
      <c r="C236" s="15"/>
      <c r="D236" s="14"/>
      <c r="E236" s="15">
        <f t="shared" si="19"/>
        <v>120.01</v>
      </c>
      <c r="F236" s="14"/>
      <c r="G236" s="15">
        <f t="shared" si="18"/>
        <v>0</v>
      </c>
      <c r="H236" s="14">
        <v>4</v>
      </c>
      <c r="I236" s="15">
        <f t="shared" si="20"/>
        <v>108.958</v>
      </c>
      <c r="J236" s="14"/>
      <c r="K236" s="13" t="s">
        <v>662</v>
      </c>
    </row>
    <row r="237" spans="1:11" ht="12.6" customHeight="1" x14ac:dyDescent="0.2">
      <c r="A237" s="13">
        <v>40189</v>
      </c>
      <c r="B237" s="19"/>
      <c r="C237" s="15">
        <v>1.25</v>
      </c>
      <c r="D237" s="14"/>
      <c r="E237" s="15">
        <f t="shared" si="19"/>
        <v>121.26</v>
      </c>
      <c r="F237" s="14"/>
      <c r="G237" s="15">
        <f t="shared" si="18"/>
        <v>1.25</v>
      </c>
      <c r="H237" s="14"/>
      <c r="I237" s="15">
        <f t="shared" si="20"/>
        <v>110.208</v>
      </c>
      <c r="J237" s="14"/>
      <c r="K237" s="13"/>
    </row>
    <row r="238" spans="1:11" ht="12.6" customHeight="1" x14ac:dyDescent="0.2">
      <c r="A238" s="13"/>
      <c r="B238" s="19" t="s">
        <v>45</v>
      </c>
      <c r="C238" s="15"/>
      <c r="D238" s="14"/>
      <c r="E238" s="15">
        <f t="shared" si="19"/>
        <v>121.26</v>
      </c>
      <c r="F238" s="14"/>
      <c r="G238" s="15">
        <f t="shared" si="18"/>
        <v>0</v>
      </c>
      <c r="H238" s="14"/>
      <c r="I238" s="15">
        <f t="shared" si="20"/>
        <v>110.208</v>
      </c>
      <c r="J238" s="14"/>
      <c r="K238" s="13">
        <v>40220</v>
      </c>
    </row>
    <row r="239" spans="1:11" ht="12.6" customHeight="1" x14ac:dyDescent="0.2">
      <c r="A239" s="13"/>
      <c r="B239" s="19" t="s">
        <v>74</v>
      </c>
      <c r="C239" s="15"/>
      <c r="D239" s="14">
        <v>1</v>
      </c>
      <c r="E239" s="15">
        <f t="shared" si="19"/>
        <v>120.26</v>
      </c>
      <c r="F239" s="14"/>
      <c r="G239" s="15">
        <f t="shared" si="18"/>
        <v>0</v>
      </c>
      <c r="H239" s="14"/>
      <c r="I239" s="15">
        <f t="shared" si="20"/>
        <v>110.208</v>
      </c>
      <c r="J239" s="14"/>
      <c r="K239" s="16" t="s">
        <v>663</v>
      </c>
    </row>
    <row r="240" spans="1:11" ht="12.6" customHeight="1" x14ac:dyDescent="0.2">
      <c r="A240" s="13">
        <v>40190</v>
      </c>
      <c r="B240" s="19"/>
      <c r="C240" s="15">
        <v>1.25</v>
      </c>
      <c r="D240" s="14"/>
      <c r="E240" s="15">
        <f t="shared" si="19"/>
        <v>121.51</v>
      </c>
      <c r="F240" s="14"/>
      <c r="G240" s="15">
        <f t="shared" si="18"/>
        <v>1.25</v>
      </c>
      <c r="H240" s="14"/>
      <c r="I240" s="15">
        <f t="shared" si="20"/>
        <v>111.458</v>
      </c>
      <c r="J240" s="14"/>
      <c r="K240" s="16"/>
    </row>
    <row r="241" spans="1:11" ht="12.6" customHeight="1" x14ac:dyDescent="0.2">
      <c r="A241" s="13"/>
      <c r="B241" s="19" t="s">
        <v>125</v>
      </c>
      <c r="C241" s="15"/>
      <c r="D241" s="14"/>
      <c r="E241" s="15">
        <f t="shared" si="19"/>
        <v>121.51</v>
      </c>
      <c r="F241" s="14"/>
      <c r="G241" s="15">
        <f t="shared" si="18"/>
        <v>0</v>
      </c>
      <c r="H241" s="14">
        <v>4</v>
      </c>
      <c r="I241" s="15">
        <f t="shared" si="20"/>
        <v>107.458</v>
      </c>
      <c r="J241" s="14"/>
      <c r="K241" s="13" t="s">
        <v>664</v>
      </c>
    </row>
    <row r="242" spans="1:11" ht="12.6" customHeight="1" x14ac:dyDescent="0.2">
      <c r="A242" s="13"/>
      <c r="B242" s="19" t="s">
        <v>56</v>
      </c>
      <c r="C242" s="15"/>
      <c r="D242" s="14">
        <v>4</v>
      </c>
      <c r="E242" s="15">
        <f t="shared" si="19"/>
        <v>117.51</v>
      </c>
      <c r="F242" s="14"/>
      <c r="G242" s="15">
        <f t="shared" si="18"/>
        <v>0</v>
      </c>
      <c r="H242" s="14"/>
      <c r="I242" s="15">
        <f t="shared" si="20"/>
        <v>107.458</v>
      </c>
      <c r="J242" s="14"/>
      <c r="K242" s="13" t="s">
        <v>665</v>
      </c>
    </row>
    <row r="243" spans="1:11" ht="12.6" customHeight="1" x14ac:dyDescent="0.2">
      <c r="A243" s="13">
        <v>40547</v>
      </c>
      <c r="B243" s="19"/>
      <c r="C243" s="15">
        <v>5</v>
      </c>
      <c r="D243" s="14"/>
      <c r="E243" s="15">
        <f t="shared" si="19"/>
        <v>122.51</v>
      </c>
      <c r="F243" s="14"/>
      <c r="G243" s="15">
        <f t="shared" si="18"/>
        <v>5</v>
      </c>
      <c r="H243" s="14"/>
      <c r="I243" s="15">
        <f t="shared" si="20"/>
        <v>112.458</v>
      </c>
      <c r="J243" s="14"/>
      <c r="K243" s="13"/>
    </row>
    <row r="244" spans="1:11" ht="12.6" customHeight="1" x14ac:dyDescent="0.2">
      <c r="A244" s="13"/>
      <c r="B244" s="19" t="s">
        <v>74</v>
      </c>
      <c r="C244" s="15"/>
      <c r="D244" s="14">
        <v>1</v>
      </c>
      <c r="E244" s="15">
        <f t="shared" si="19"/>
        <v>121.51</v>
      </c>
      <c r="F244" s="14"/>
      <c r="G244" s="15">
        <f t="shared" si="18"/>
        <v>0</v>
      </c>
      <c r="H244" s="14"/>
      <c r="I244" s="15">
        <f t="shared" si="20"/>
        <v>112.458</v>
      </c>
      <c r="J244" s="14"/>
      <c r="K244" s="13">
        <v>40637</v>
      </c>
    </row>
    <row r="245" spans="1:11" ht="12.6" customHeight="1" x14ac:dyDescent="0.2">
      <c r="A245" s="13">
        <v>40548</v>
      </c>
      <c r="B245" s="19"/>
      <c r="C245" s="15">
        <v>1.25</v>
      </c>
      <c r="D245" s="14"/>
      <c r="E245" s="15">
        <f t="shared" si="19"/>
        <v>122.76</v>
      </c>
      <c r="F245" s="14"/>
      <c r="G245" s="15">
        <f t="shared" si="18"/>
        <v>1.25</v>
      </c>
      <c r="H245" s="14"/>
      <c r="I245" s="15">
        <f t="shared" si="20"/>
        <v>113.708</v>
      </c>
      <c r="J245" s="14"/>
      <c r="K245" s="13"/>
    </row>
    <row r="246" spans="1:11" ht="12.6" customHeight="1" x14ac:dyDescent="0.2">
      <c r="A246" s="16"/>
      <c r="B246" s="19" t="s">
        <v>271</v>
      </c>
      <c r="C246" s="15"/>
      <c r="D246" s="14"/>
      <c r="E246" s="15">
        <f t="shared" si="19"/>
        <v>122.76</v>
      </c>
      <c r="F246" s="14"/>
      <c r="G246" s="15">
        <f t="shared" si="18"/>
        <v>0</v>
      </c>
      <c r="H246" s="14">
        <v>5</v>
      </c>
      <c r="I246" s="15">
        <f t="shared" si="20"/>
        <v>108.708</v>
      </c>
      <c r="J246" s="14"/>
      <c r="K246" s="13" t="s">
        <v>666</v>
      </c>
    </row>
    <row r="247" spans="1:11" ht="12.6" customHeight="1" x14ac:dyDescent="0.2">
      <c r="A247" s="13">
        <v>40551</v>
      </c>
      <c r="B247" s="19"/>
      <c r="C247" s="15">
        <v>3.75</v>
      </c>
      <c r="D247" s="15"/>
      <c r="E247" s="15">
        <f t="shared" si="19"/>
        <v>126.51</v>
      </c>
      <c r="F247" s="14"/>
      <c r="G247" s="15">
        <f t="shared" si="18"/>
        <v>3.75</v>
      </c>
      <c r="H247" s="14"/>
      <c r="I247" s="15">
        <f t="shared" si="20"/>
        <v>112.458</v>
      </c>
      <c r="J247" s="14"/>
      <c r="K247" s="13"/>
    </row>
    <row r="248" spans="1:11" ht="12.6" customHeight="1" x14ac:dyDescent="0.2">
      <c r="A248" s="13"/>
      <c r="B248" s="19" t="s">
        <v>248</v>
      </c>
      <c r="C248" s="15"/>
      <c r="D248" s="14"/>
      <c r="E248" s="15">
        <f t="shared" si="19"/>
        <v>126.51</v>
      </c>
      <c r="F248" s="14"/>
      <c r="G248" s="15">
        <f t="shared" si="18"/>
        <v>0</v>
      </c>
      <c r="H248" s="14">
        <v>2.5</v>
      </c>
      <c r="I248" s="15">
        <f t="shared" si="20"/>
        <v>109.958</v>
      </c>
      <c r="J248" s="14"/>
      <c r="K248" s="13" t="s">
        <v>667</v>
      </c>
    </row>
    <row r="249" spans="1:11" ht="12.6" customHeight="1" x14ac:dyDescent="0.2">
      <c r="A249" s="16"/>
      <c r="B249" s="19" t="s">
        <v>67</v>
      </c>
      <c r="C249" s="15"/>
      <c r="D249" s="15"/>
      <c r="E249" s="15">
        <f t="shared" si="19"/>
        <v>126.51</v>
      </c>
      <c r="F249" s="14"/>
      <c r="G249" s="15">
        <f t="shared" si="18"/>
        <v>0</v>
      </c>
      <c r="H249" s="14">
        <v>3</v>
      </c>
      <c r="I249" s="15">
        <f t="shared" si="20"/>
        <v>106.958</v>
      </c>
      <c r="J249" s="14"/>
      <c r="K249" s="13" t="s">
        <v>668</v>
      </c>
    </row>
    <row r="250" spans="1:11" ht="12.6" customHeight="1" x14ac:dyDescent="0.2">
      <c r="A250" s="13">
        <v>40552</v>
      </c>
      <c r="B250" s="19"/>
      <c r="C250" s="15">
        <v>1.25</v>
      </c>
      <c r="D250" s="14"/>
      <c r="E250" s="15">
        <f t="shared" si="19"/>
        <v>127.76</v>
      </c>
      <c r="F250" s="14"/>
      <c r="G250" s="15">
        <f t="shared" si="18"/>
        <v>1.25</v>
      </c>
      <c r="H250" s="14"/>
      <c r="I250" s="15">
        <f t="shared" si="20"/>
        <v>108.208</v>
      </c>
      <c r="J250" s="14"/>
      <c r="K250" s="16"/>
    </row>
    <row r="251" spans="1:11" ht="12.6" customHeight="1" x14ac:dyDescent="0.2">
      <c r="A251" s="13"/>
      <c r="B251" s="19" t="s">
        <v>52</v>
      </c>
      <c r="C251" s="15"/>
      <c r="D251" s="14"/>
      <c r="E251" s="15">
        <f t="shared" si="19"/>
        <v>127.76</v>
      </c>
      <c r="F251" s="14"/>
      <c r="G251" s="15">
        <f t="shared" si="18"/>
        <v>0</v>
      </c>
      <c r="H251" s="14">
        <v>2</v>
      </c>
      <c r="I251" s="15">
        <f t="shared" si="20"/>
        <v>106.208</v>
      </c>
      <c r="J251" s="14"/>
      <c r="K251" s="13" t="s">
        <v>669</v>
      </c>
    </row>
    <row r="252" spans="1:11" ht="12.6" customHeight="1" x14ac:dyDescent="0.2">
      <c r="A252" s="13"/>
      <c r="B252" s="19" t="s">
        <v>47</v>
      </c>
      <c r="C252" s="15"/>
      <c r="D252" s="14"/>
      <c r="E252" s="15">
        <f t="shared" si="19"/>
        <v>127.76</v>
      </c>
      <c r="F252" s="14"/>
      <c r="G252" s="15">
        <f t="shared" si="18"/>
        <v>0</v>
      </c>
      <c r="H252" s="14">
        <v>1</v>
      </c>
      <c r="I252" s="15">
        <f t="shared" si="20"/>
        <v>105.208</v>
      </c>
      <c r="J252" s="14"/>
      <c r="K252" s="13" t="s">
        <v>670</v>
      </c>
    </row>
    <row r="253" spans="1:11" ht="12.6" customHeight="1" x14ac:dyDescent="0.2">
      <c r="A253" s="13">
        <v>40553</v>
      </c>
      <c r="B253" s="19"/>
      <c r="C253" s="15">
        <v>1.25</v>
      </c>
      <c r="D253" s="14"/>
      <c r="E253" s="15">
        <f t="shared" si="19"/>
        <v>129.01</v>
      </c>
      <c r="F253" s="14"/>
      <c r="G253" s="15">
        <f t="shared" si="18"/>
        <v>1.25</v>
      </c>
      <c r="H253" s="14"/>
      <c r="I253" s="15">
        <f t="shared" si="20"/>
        <v>106.458</v>
      </c>
      <c r="J253" s="14"/>
      <c r="K253" s="13"/>
    </row>
    <row r="254" spans="1:11" ht="12.6" customHeight="1" x14ac:dyDescent="0.2">
      <c r="A254" s="13"/>
      <c r="B254" s="19" t="s">
        <v>52</v>
      </c>
      <c r="C254" s="15"/>
      <c r="D254" s="14"/>
      <c r="E254" s="15">
        <f t="shared" si="19"/>
        <v>129.01</v>
      </c>
      <c r="F254" s="14"/>
      <c r="G254" s="15">
        <f t="shared" si="18"/>
        <v>0</v>
      </c>
      <c r="H254" s="14">
        <v>2</v>
      </c>
      <c r="I254" s="15">
        <f t="shared" si="20"/>
        <v>104.458</v>
      </c>
      <c r="J254" s="14"/>
      <c r="K254" s="16" t="s">
        <v>671</v>
      </c>
    </row>
    <row r="255" spans="1:11" ht="12.6" customHeight="1" x14ac:dyDescent="0.2">
      <c r="A255" s="13"/>
      <c r="B255" s="19" t="s">
        <v>673</v>
      </c>
      <c r="C255" s="15"/>
      <c r="D255" s="14">
        <v>6</v>
      </c>
      <c r="E255" s="15">
        <f t="shared" si="19"/>
        <v>123.00999999999999</v>
      </c>
      <c r="F255" s="14"/>
      <c r="G255" s="15">
        <f t="shared" si="18"/>
        <v>0</v>
      </c>
      <c r="H255" s="14"/>
      <c r="I255" s="15">
        <f t="shared" si="20"/>
        <v>104.458</v>
      </c>
      <c r="J255" s="14"/>
      <c r="K255" s="16" t="s">
        <v>672</v>
      </c>
    </row>
    <row r="256" spans="1:11" ht="12.6" customHeight="1" x14ac:dyDescent="0.2">
      <c r="A256" s="19"/>
      <c r="B256" s="19"/>
      <c r="C256" s="36">
        <f>SUM(C230:C255)</f>
        <v>18.75</v>
      </c>
      <c r="D256" s="36">
        <f>SUM(D230:D255)</f>
        <v>12</v>
      </c>
      <c r="E256" s="36"/>
      <c r="F256" s="37"/>
      <c r="G256" s="36">
        <f>SUM(G230:G255)</f>
        <v>18.75</v>
      </c>
      <c r="H256" s="36">
        <f>SUM(H230:H255)</f>
        <v>29.5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CATAPANG, CRISPIN JR. D.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AUGUST 02, 1995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>
        <v>40910</v>
      </c>
      <c r="B265" s="19"/>
      <c r="C265" s="15">
        <v>5</v>
      </c>
      <c r="D265" s="14"/>
      <c r="E265" s="15">
        <f>E255+C265-D265</f>
        <v>128.01</v>
      </c>
      <c r="F265" s="14"/>
      <c r="G265" s="15">
        <f>C265</f>
        <v>5</v>
      </c>
      <c r="H265" s="14"/>
      <c r="I265" s="15">
        <f>I255+G265-H265</f>
        <v>109.458</v>
      </c>
      <c r="J265" s="14"/>
      <c r="K265" s="16"/>
    </row>
    <row r="266" spans="1:11" ht="12.6" customHeight="1" x14ac:dyDescent="0.2">
      <c r="A266" s="13"/>
      <c r="B266" s="19" t="s">
        <v>47</v>
      </c>
      <c r="C266" s="15"/>
      <c r="D266" s="14"/>
      <c r="E266" s="15">
        <f>E265+C266-D266</f>
        <v>128.01</v>
      </c>
      <c r="F266" s="14"/>
      <c r="G266" s="15">
        <f t="shared" ref="G266:G290" si="21">C266</f>
        <v>0</v>
      </c>
      <c r="H266" s="14">
        <v>1</v>
      </c>
      <c r="I266" s="15">
        <f>I265+G266-H266</f>
        <v>108.458</v>
      </c>
      <c r="J266" s="14"/>
      <c r="K266" s="13">
        <v>41062</v>
      </c>
    </row>
    <row r="267" spans="1:11" ht="12.6" customHeight="1" x14ac:dyDescent="0.2">
      <c r="A267" s="13">
        <v>40911</v>
      </c>
      <c r="B267" s="19"/>
      <c r="C267" s="15">
        <v>1.25</v>
      </c>
      <c r="D267" s="14"/>
      <c r="E267" s="15">
        <f t="shared" ref="E267:E290" si="22">E266+C267-D267</f>
        <v>129.26</v>
      </c>
      <c r="F267" s="14"/>
      <c r="G267" s="15">
        <f t="shared" si="21"/>
        <v>1.25</v>
      </c>
      <c r="H267" s="14"/>
      <c r="I267" s="15">
        <f t="shared" ref="I267:I290" si="23">I266+G267-H267</f>
        <v>109.708</v>
      </c>
      <c r="J267" s="14"/>
      <c r="K267" s="13"/>
    </row>
    <row r="268" spans="1:11" ht="12.6" customHeight="1" x14ac:dyDescent="0.2">
      <c r="A268" s="13"/>
      <c r="B268" s="19" t="s">
        <v>67</v>
      </c>
      <c r="C268" s="15"/>
      <c r="D268" s="14"/>
      <c r="E268" s="15">
        <f t="shared" si="22"/>
        <v>129.26</v>
      </c>
      <c r="F268" s="14"/>
      <c r="G268" s="15">
        <f t="shared" si="21"/>
        <v>0</v>
      </c>
      <c r="H268" s="14">
        <v>3</v>
      </c>
      <c r="I268" s="15">
        <f t="shared" si="23"/>
        <v>106.708</v>
      </c>
      <c r="J268" s="14"/>
      <c r="K268" s="16" t="s">
        <v>674</v>
      </c>
    </row>
    <row r="269" spans="1:11" ht="12.6" customHeight="1" x14ac:dyDescent="0.2">
      <c r="A269" s="13"/>
      <c r="B269" s="19" t="s">
        <v>52</v>
      </c>
      <c r="C269" s="15"/>
      <c r="D269" s="14"/>
      <c r="E269" s="15">
        <f t="shared" si="22"/>
        <v>129.26</v>
      </c>
      <c r="F269" s="14"/>
      <c r="G269" s="15">
        <f t="shared" si="21"/>
        <v>0</v>
      </c>
      <c r="H269" s="14">
        <v>2</v>
      </c>
      <c r="I269" s="15">
        <f t="shared" si="23"/>
        <v>104.708</v>
      </c>
      <c r="J269" s="14"/>
      <c r="K269" s="13" t="s">
        <v>675</v>
      </c>
    </row>
    <row r="270" spans="1:11" ht="12.6" customHeight="1" x14ac:dyDescent="0.2">
      <c r="A270" s="13">
        <v>40913</v>
      </c>
      <c r="B270" s="19"/>
      <c r="C270" s="15">
        <v>2.5</v>
      </c>
      <c r="D270" s="14"/>
      <c r="E270" s="15">
        <f t="shared" si="22"/>
        <v>131.76</v>
      </c>
      <c r="F270" s="14"/>
      <c r="G270" s="15">
        <f t="shared" si="21"/>
        <v>2.5</v>
      </c>
      <c r="H270" s="14"/>
      <c r="I270" s="15">
        <f t="shared" si="23"/>
        <v>107.208</v>
      </c>
      <c r="J270" s="14"/>
      <c r="K270" s="16"/>
    </row>
    <row r="271" spans="1:11" ht="12.6" customHeight="1" x14ac:dyDescent="0.2">
      <c r="A271" s="13"/>
      <c r="B271" s="19" t="s">
        <v>67</v>
      </c>
      <c r="C271" s="15"/>
      <c r="D271" s="14"/>
      <c r="E271" s="15">
        <f t="shared" si="22"/>
        <v>131.76</v>
      </c>
      <c r="F271" s="14"/>
      <c r="G271" s="15">
        <f t="shared" si="21"/>
        <v>0</v>
      </c>
      <c r="H271" s="14">
        <v>3</v>
      </c>
      <c r="I271" s="15">
        <f t="shared" si="23"/>
        <v>104.208</v>
      </c>
      <c r="J271" s="14"/>
      <c r="K271" s="13" t="s">
        <v>676</v>
      </c>
    </row>
    <row r="272" spans="1:11" ht="12.6" customHeight="1" x14ac:dyDescent="0.2">
      <c r="A272" s="13">
        <v>40914</v>
      </c>
      <c r="B272" s="19"/>
      <c r="C272" s="15">
        <v>1.25</v>
      </c>
      <c r="D272" s="14"/>
      <c r="E272" s="15">
        <f t="shared" si="22"/>
        <v>133.01</v>
      </c>
      <c r="F272" s="14"/>
      <c r="G272" s="15">
        <f t="shared" si="21"/>
        <v>1.25</v>
      </c>
      <c r="H272" s="14"/>
      <c r="I272" s="15">
        <f t="shared" si="23"/>
        <v>105.458</v>
      </c>
      <c r="J272" s="14"/>
      <c r="K272" s="13"/>
    </row>
    <row r="273" spans="1:11" ht="12.6" customHeight="1" x14ac:dyDescent="0.2">
      <c r="A273" s="13"/>
      <c r="B273" s="19" t="s">
        <v>52</v>
      </c>
      <c r="C273" s="15"/>
      <c r="D273" s="14"/>
      <c r="E273" s="15">
        <f t="shared" si="22"/>
        <v>133.01</v>
      </c>
      <c r="F273" s="14"/>
      <c r="G273" s="15">
        <f t="shared" si="21"/>
        <v>0</v>
      </c>
      <c r="H273" s="14">
        <v>2</v>
      </c>
      <c r="I273" s="15">
        <f t="shared" si="23"/>
        <v>103.458</v>
      </c>
      <c r="J273" s="14"/>
      <c r="K273" s="16" t="s">
        <v>677</v>
      </c>
    </row>
    <row r="274" spans="1:11" ht="12.6" customHeight="1" x14ac:dyDescent="0.2">
      <c r="A274" s="13">
        <v>40915</v>
      </c>
      <c r="B274" s="19"/>
      <c r="C274" s="15">
        <v>1.25</v>
      </c>
      <c r="D274" s="14"/>
      <c r="E274" s="15">
        <f t="shared" si="22"/>
        <v>134.26</v>
      </c>
      <c r="F274" s="14"/>
      <c r="G274" s="15">
        <f t="shared" si="21"/>
        <v>1.25</v>
      </c>
      <c r="H274" s="14"/>
      <c r="I274" s="15">
        <f t="shared" si="23"/>
        <v>104.708</v>
      </c>
      <c r="J274" s="14"/>
      <c r="K274" s="16"/>
    </row>
    <row r="275" spans="1:11" ht="12.6" customHeight="1" x14ac:dyDescent="0.2">
      <c r="A275" s="13"/>
      <c r="B275" s="19" t="s">
        <v>52</v>
      </c>
      <c r="C275" s="15"/>
      <c r="D275" s="14"/>
      <c r="E275" s="15">
        <f t="shared" si="22"/>
        <v>134.26</v>
      </c>
      <c r="F275" s="14"/>
      <c r="G275" s="15">
        <f t="shared" si="21"/>
        <v>0</v>
      </c>
      <c r="H275" s="14">
        <v>2</v>
      </c>
      <c r="I275" s="15">
        <f t="shared" si="23"/>
        <v>102.708</v>
      </c>
      <c r="J275" s="14"/>
      <c r="K275" s="13" t="s">
        <v>678</v>
      </c>
    </row>
    <row r="276" spans="1:11" ht="12.6" customHeight="1" x14ac:dyDescent="0.2">
      <c r="A276" s="13"/>
      <c r="B276" s="19" t="s">
        <v>129</v>
      </c>
      <c r="C276" s="15"/>
      <c r="D276" s="14"/>
      <c r="E276" s="15">
        <f t="shared" si="22"/>
        <v>134.26</v>
      </c>
      <c r="F276" s="14"/>
      <c r="G276" s="15">
        <f t="shared" si="21"/>
        <v>0</v>
      </c>
      <c r="H276" s="14">
        <v>0.5</v>
      </c>
      <c r="I276" s="15">
        <f t="shared" si="23"/>
        <v>102.208</v>
      </c>
      <c r="J276" s="14"/>
      <c r="K276" s="13" t="s">
        <v>679</v>
      </c>
    </row>
    <row r="277" spans="1:11" ht="12.6" customHeight="1" x14ac:dyDescent="0.2">
      <c r="A277" s="13">
        <v>40918</v>
      </c>
      <c r="B277" s="19"/>
      <c r="C277" s="15">
        <v>3.75</v>
      </c>
      <c r="D277" s="14"/>
      <c r="E277" s="15">
        <f t="shared" si="22"/>
        <v>138.01</v>
      </c>
      <c r="F277" s="14"/>
      <c r="G277" s="15">
        <f t="shared" si="21"/>
        <v>3.75</v>
      </c>
      <c r="H277" s="14"/>
      <c r="I277" s="15">
        <f t="shared" si="23"/>
        <v>105.958</v>
      </c>
      <c r="J277" s="14"/>
      <c r="K277" s="13"/>
    </row>
    <row r="278" spans="1:11" ht="12.6" customHeight="1" x14ac:dyDescent="0.2">
      <c r="A278" s="13"/>
      <c r="B278" s="19" t="s">
        <v>45</v>
      </c>
      <c r="C278" s="15"/>
      <c r="D278" s="14"/>
      <c r="E278" s="15">
        <f t="shared" si="22"/>
        <v>138.01</v>
      </c>
      <c r="F278" s="14"/>
      <c r="G278" s="15">
        <f t="shared" si="21"/>
        <v>0</v>
      </c>
      <c r="H278" s="14"/>
      <c r="I278" s="15">
        <f t="shared" si="23"/>
        <v>105.958</v>
      </c>
      <c r="J278" s="14"/>
      <c r="K278" s="13" t="s">
        <v>680</v>
      </c>
    </row>
    <row r="279" spans="1:11" ht="12.6" customHeight="1" x14ac:dyDescent="0.2">
      <c r="A279" s="13">
        <v>41275</v>
      </c>
      <c r="B279" s="19"/>
      <c r="C279" s="15">
        <v>3.75</v>
      </c>
      <c r="D279" s="14"/>
      <c r="E279" s="15">
        <f t="shared" si="22"/>
        <v>141.76</v>
      </c>
      <c r="F279" s="14"/>
      <c r="G279" s="15">
        <f t="shared" si="21"/>
        <v>3.75</v>
      </c>
      <c r="H279" s="14"/>
      <c r="I279" s="15">
        <f t="shared" si="23"/>
        <v>109.708</v>
      </c>
      <c r="J279" s="14"/>
      <c r="K279" s="13"/>
    </row>
    <row r="280" spans="1:11" s="63" customFormat="1" ht="12.6" customHeight="1" x14ac:dyDescent="0.2">
      <c r="A280" s="58"/>
      <c r="B280" s="67" t="s">
        <v>65</v>
      </c>
      <c r="C280" s="60"/>
      <c r="D280" s="61">
        <v>5</v>
      </c>
      <c r="E280" s="60">
        <f t="shared" si="22"/>
        <v>136.76</v>
      </c>
      <c r="F280" s="61"/>
      <c r="G280" s="60">
        <f t="shared" si="21"/>
        <v>0</v>
      </c>
      <c r="H280" s="61"/>
      <c r="I280" s="60">
        <f t="shared" si="23"/>
        <v>109.708</v>
      </c>
      <c r="J280" s="61"/>
      <c r="K280" s="58" t="s">
        <v>161</v>
      </c>
    </row>
    <row r="281" spans="1:11" ht="12.6" customHeight="1" x14ac:dyDescent="0.2">
      <c r="A281" s="13"/>
      <c r="B281" s="19" t="s">
        <v>166</v>
      </c>
      <c r="C281" s="15"/>
      <c r="D281" s="14"/>
      <c r="E281" s="15">
        <f t="shared" si="22"/>
        <v>136.76</v>
      </c>
      <c r="F281" s="14"/>
      <c r="G281" s="15">
        <f t="shared" si="21"/>
        <v>0</v>
      </c>
      <c r="H281" s="14"/>
      <c r="I281" s="15">
        <f t="shared" si="23"/>
        <v>109.708</v>
      </c>
      <c r="J281" s="14"/>
      <c r="K281" s="13" t="s">
        <v>681</v>
      </c>
    </row>
    <row r="282" spans="1:11" ht="12.6" customHeight="1" x14ac:dyDescent="0.2">
      <c r="A282" s="13"/>
      <c r="B282" s="19" t="s">
        <v>67</v>
      </c>
      <c r="C282" s="15"/>
      <c r="D282" s="15"/>
      <c r="E282" s="15">
        <f t="shared" si="22"/>
        <v>136.76</v>
      </c>
      <c r="F282" s="14"/>
      <c r="G282" s="15">
        <f t="shared" si="21"/>
        <v>0</v>
      </c>
      <c r="H282" s="14">
        <v>3</v>
      </c>
      <c r="I282" s="15">
        <f t="shared" si="23"/>
        <v>106.708</v>
      </c>
      <c r="J282" s="14"/>
      <c r="K282" s="13" t="s">
        <v>682</v>
      </c>
    </row>
    <row r="283" spans="1:11" ht="12.6" customHeight="1" x14ac:dyDescent="0.2">
      <c r="A283" s="13">
        <v>41276</v>
      </c>
      <c r="B283" s="19"/>
      <c r="C283" s="15">
        <v>1.25</v>
      </c>
      <c r="D283" s="14"/>
      <c r="E283" s="15">
        <f t="shared" si="22"/>
        <v>138.01</v>
      </c>
      <c r="F283" s="14"/>
      <c r="G283" s="15">
        <f t="shared" si="21"/>
        <v>1.25</v>
      </c>
      <c r="H283" s="14"/>
      <c r="I283" s="15">
        <f t="shared" si="23"/>
        <v>107.958</v>
      </c>
      <c r="J283" s="14"/>
      <c r="K283" s="16"/>
    </row>
    <row r="284" spans="1:11" ht="12.6" customHeight="1" x14ac:dyDescent="0.2">
      <c r="A284" s="13"/>
      <c r="B284" s="19" t="s">
        <v>67</v>
      </c>
      <c r="C284" s="15"/>
      <c r="D284" s="34">
        <v>3</v>
      </c>
      <c r="E284" s="15">
        <f t="shared" si="22"/>
        <v>135.01</v>
      </c>
      <c r="F284" s="14"/>
      <c r="G284" s="15">
        <f t="shared" si="21"/>
        <v>0</v>
      </c>
      <c r="H284" s="14"/>
      <c r="I284" s="15">
        <f t="shared" si="23"/>
        <v>107.958</v>
      </c>
      <c r="J284" s="14"/>
      <c r="K284" s="13" t="s">
        <v>683</v>
      </c>
    </row>
    <row r="285" spans="1:11" ht="12.6" customHeight="1" x14ac:dyDescent="0.2">
      <c r="A285" s="13"/>
      <c r="B285" s="19" t="s">
        <v>76</v>
      </c>
      <c r="C285" s="15"/>
      <c r="D285" s="14">
        <v>2</v>
      </c>
      <c r="E285" s="15">
        <f t="shared" si="22"/>
        <v>133.01</v>
      </c>
      <c r="F285" s="14"/>
      <c r="G285" s="15">
        <f t="shared" si="21"/>
        <v>0</v>
      </c>
      <c r="H285" s="14"/>
      <c r="I285" s="15">
        <f t="shared" si="23"/>
        <v>107.958</v>
      </c>
      <c r="J285" s="14"/>
      <c r="K285" s="16" t="s">
        <v>684</v>
      </c>
    </row>
    <row r="286" spans="1:11" ht="12.6" customHeight="1" x14ac:dyDescent="0.2">
      <c r="A286" s="13"/>
      <c r="B286" s="19" t="s">
        <v>52</v>
      </c>
      <c r="C286" s="15"/>
      <c r="D286" s="14"/>
      <c r="E286" s="15">
        <f t="shared" si="22"/>
        <v>133.01</v>
      </c>
      <c r="F286" s="14"/>
      <c r="G286" s="15">
        <f t="shared" si="21"/>
        <v>0</v>
      </c>
      <c r="H286" s="14">
        <v>2</v>
      </c>
      <c r="I286" s="15">
        <f t="shared" si="23"/>
        <v>105.958</v>
      </c>
      <c r="J286" s="14"/>
      <c r="K286" s="13" t="s">
        <v>685</v>
      </c>
    </row>
    <row r="287" spans="1:11" ht="12.6" customHeight="1" x14ac:dyDescent="0.2">
      <c r="A287" s="13">
        <v>41277</v>
      </c>
      <c r="B287" s="19"/>
      <c r="C287" s="15">
        <v>1.25</v>
      </c>
      <c r="D287" s="14"/>
      <c r="E287" s="15">
        <f t="shared" si="22"/>
        <v>134.26</v>
      </c>
      <c r="F287" s="14"/>
      <c r="G287" s="15">
        <f t="shared" si="21"/>
        <v>1.25</v>
      </c>
      <c r="H287" s="14"/>
      <c r="I287" s="15">
        <f t="shared" si="23"/>
        <v>107.208</v>
      </c>
      <c r="J287" s="14"/>
      <c r="K287" s="13"/>
    </row>
    <row r="288" spans="1:11" ht="12.6" customHeight="1" x14ac:dyDescent="0.2">
      <c r="A288" s="13"/>
      <c r="B288" s="19" t="s">
        <v>125</v>
      </c>
      <c r="C288" s="15"/>
      <c r="D288" s="14"/>
      <c r="E288" s="15">
        <f t="shared" si="22"/>
        <v>134.26</v>
      </c>
      <c r="F288" s="14"/>
      <c r="G288" s="15">
        <f t="shared" si="21"/>
        <v>0</v>
      </c>
      <c r="H288" s="14">
        <v>4</v>
      </c>
      <c r="I288" s="15">
        <f t="shared" si="23"/>
        <v>103.208</v>
      </c>
      <c r="J288" s="14"/>
      <c r="K288" s="13" t="s">
        <v>686</v>
      </c>
    </row>
    <row r="289" spans="1:11" ht="12.6" customHeight="1" x14ac:dyDescent="0.2">
      <c r="A289" s="13"/>
      <c r="B289" s="19" t="s">
        <v>248</v>
      </c>
      <c r="C289" s="15"/>
      <c r="D289" s="14"/>
      <c r="E289" s="15">
        <f t="shared" si="22"/>
        <v>134.26</v>
      </c>
      <c r="F289" s="14"/>
      <c r="G289" s="15">
        <f t="shared" si="21"/>
        <v>0</v>
      </c>
      <c r="H289" s="14">
        <v>2.5</v>
      </c>
      <c r="I289" s="15">
        <f t="shared" si="23"/>
        <v>100.708</v>
      </c>
      <c r="J289" s="14"/>
      <c r="K289" s="13" t="s">
        <v>687</v>
      </c>
    </row>
    <row r="290" spans="1:11" ht="12.6" customHeight="1" x14ac:dyDescent="0.2">
      <c r="A290" s="13">
        <v>41281</v>
      </c>
      <c r="B290" s="19"/>
      <c r="C290" s="15">
        <v>5</v>
      </c>
      <c r="D290" s="14"/>
      <c r="E290" s="15">
        <f t="shared" si="22"/>
        <v>139.26</v>
      </c>
      <c r="F290" s="14"/>
      <c r="G290" s="15">
        <f t="shared" si="21"/>
        <v>5</v>
      </c>
      <c r="H290" s="14"/>
      <c r="I290" s="15">
        <f t="shared" si="23"/>
        <v>105.708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26.25</v>
      </c>
      <c r="D291" s="36">
        <f>SUM(D265:D290)</f>
        <v>10</v>
      </c>
      <c r="E291" s="36"/>
      <c r="F291" s="37"/>
      <c r="G291" s="36">
        <f>SUM(G265:G290)</f>
        <v>26.25</v>
      </c>
      <c r="H291" s="36">
        <f>SUM(H265:H290)</f>
        <v>25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9" spans="1:11" ht="12.6" customHeight="1" x14ac:dyDescent="0.2">
      <c r="A299" s="102" t="str">
        <f>A1</f>
        <v>CATAPANG, CRISPIN JR. D.</v>
      </c>
      <c r="B299" s="102"/>
      <c r="C299" s="102"/>
      <c r="D299" s="102"/>
      <c r="E299" s="102"/>
      <c r="F299" s="102"/>
      <c r="G299" s="102"/>
      <c r="H299" s="1"/>
      <c r="I299" s="103" t="s">
        <v>0</v>
      </c>
      <c r="J299" s="103"/>
      <c r="K299" s="2" t="str">
        <f>K1</f>
        <v>AUGUST 02, 1995</v>
      </c>
    </row>
    <row r="301" spans="1:11" ht="12.6" customHeight="1" x14ac:dyDescent="0.2">
      <c r="A301" s="104" t="s">
        <v>1</v>
      </c>
      <c r="B301" s="104" t="s">
        <v>2</v>
      </c>
      <c r="C301" s="107" t="s">
        <v>3</v>
      </c>
      <c r="D301" s="108"/>
      <c r="E301" s="108"/>
      <c r="F301" s="109"/>
      <c r="G301" s="107" t="s">
        <v>4</v>
      </c>
      <c r="H301" s="108"/>
      <c r="I301" s="108"/>
      <c r="J301" s="109"/>
      <c r="K301" s="4"/>
    </row>
    <row r="302" spans="1:11" ht="12.6" customHeight="1" x14ac:dyDescent="0.2">
      <c r="A302" s="105"/>
      <c r="B302" s="105"/>
      <c r="C302" s="94" t="s">
        <v>6</v>
      </c>
      <c r="D302" s="5" t="s">
        <v>7</v>
      </c>
      <c r="E302" s="94" t="s">
        <v>8</v>
      </c>
      <c r="F302" s="6" t="s">
        <v>7</v>
      </c>
      <c r="G302" s="94" t="s">
        <v>6</v>
      </c>
      <c r="H302" s="5" t="s">
        <v>7</v>
      </c>
      <c r="I302" s="94" t="s">
        <v>8</v>
      </c>
      <c r="J302" s="1" t="s">
        <v>7</v>
      </c>
      <c r="K302" s="7"/>
    </row>
    <row r="303" spans="1:11" ht="12.6" customHeight="1" x14ac:dyDescent="0.2">
      <c r="A303" s="105"/>
      <c r="B303" s="105"/>
      <c r="C303" s="95"/>
      <c r="D303" s="8" t="s">
        <v>10</v>
      </c>
      <c r="E303" s="95"/>
      <c r="F303" s="6" t="s">
        <v>10</v>
      </c>
      <c r="G303" s="95"/>
      <c r="H303" s="8" t="s">
        <v>10</v>
      </c>
      <c r="I303" s="95"/>
      <c r="J303" s="1" t="s">
        <v>10</v>
      </c>
      <c r="K303" s="7"/>
    </row>
    <row r="304" spans="1:11" ht="12.6" customHeight="1" x14ac:dyDescent="0.2">
      <c r="A304" s="106"/>
      <c r="B304" s="106"/>
      <c r="C304" s="96"/>
      <c r="D304" s="9" t="s">
        <v>12</v>
      </c>
      <c r="E304" s="96"/>
      <c r="F304" s="10" t="s">
        <v>13</v>
      </c>
      <c r="G304" s="96"/>
      <c r="H304" s="9" t="s">
        <v>12</v>
      </c>
      <c r="I304" s="96"/>
      <c r="J304" s="11" t="s">
        <v>13</v>
      </c>
      <c r="K304" s="12"/>
    </row>
    <row r="305" spans="1:11" ht="12.6" customHeight="1" x14ac:dyDescent="0.2">
      <c r="A305" s="13"/>
      <c r="B305" s="19" t="s">
        <v>689</v>
      </c>
      <c r="C305" s="15"/>
      <c r="D305" s="14"/>
      <c r="E305" s="15">
        <f>E290+C305-D305</f>
        <v>139.26</v>
      </c>
      <c r="F305" s="14"/>
      <c r="G305" s="15">
        <f>C305</f>
        <v>0</v>
      </c>
      <c r="H305" s="14">
        <v>6</v>
      </c>
      <c r="I305" s="15">
        <f>I290+G305-H305</f>
        <v>99.707999999999998</v>
      </c>
      <c r="J305" s="14"/>
      <c r="K305" s="16" t="s">
        <v>688</v>
      </c>
    </row>
    <row r="306" spans="1:11" ht="12.6" customHeight="1" x14ac:dyDescent="0.2">
      <c r="A306" s="13">
        <v>41282</v>
      </c>
      <c r="B306" s="19"/>
      <c r="C306" s="15">
        <v>1.25</v>
      </c>
      <c r="D306" s="14"/>
      <c r="E306" s="15">
        <f>E305+C306-D306</f>
        <v>140.51</v>
      </c>
      <c r="F306" s="14"/>
      <c r="G306" s="15">
        <f t="shared" ref="G306:G330" si="24">C306</f>
        <v>1.25</v>
      </c>
      <c r="H306" s="14"/>
      <c r="I306" s="15">
        <f>I305+G306-H306</f>
        <v>100.958</v>
      </c>
      <c r="J306" s="14"/>
      <c r="K306" s="13"/>
    </row>
    <row r="307" spans="1:11" ht="12.6" customHeight="1" x14ac:dyDescent="0.2">
      <c r="A307" s="13"/>
      <c r="B307" s="19" t="s">
        <v>47</v>
      </c>
      <c r="C307" s="15"/>
      <c r="D307" s="14"/>
      <c r="E307" s="15">
        <f t="shared" ref="E307:E330" si="25">E306+C307-D307</f>
        <v>140.51</v>
      </c>
      <c r="F307" s="14"/>
      <c r="G307" s="15">
        <f t="shared" si="24"/>
        <v>0</v>
      </c>
      <c r="H307" s="14">
        <v>1</v>
      </c>
      <c r="I307" s="15">
        <f t="shared" ref="I307:I330" si="26">I306+G307-H307</f>
        <v>99.957999999999998</v>
      </c>
      <c r="J307" s="14"/>
      <c r="K307" s="13">
        <v>41616</v>
      </c>
    </row>
    <row r="308" spans="1:11" ht="12.6" customHeight="1" x14ac:dyDescent="0.2">
      <c r="A308" s="13"/>
      <c r="B308" s="19" t="s">
        <v>52</v>
      </c>
      <c r="C308" s="15"/>
      <c r="D308" s="14"/>
      <c r="E308" s="15">
        <f t="shared" si="25"/>
        <v>140.51</v>
      </c>
      <c r="F308" s="14"/>
      <c r="G308" s="15">
        <f t="shared" si="24"/>
        <v>0</v>
      </c>
      <c r="H308" s="14">
        <v>2</v>
      </c>
      <c r="I308" s="15">
        <f t="shared" si="26"/>
        <v>97.957999999999998</v>
      </c>
      <c r="J308" s="14"/>
      <c r="K308" s="16" t="s">
        <v>690</v>
      </c>
    </row>
    <row r="309" spans="1:11" ht="12.6" customHeight="1" x14ac:dyDescent="0.2">
      <c r="A309" s="13">
        <v>41283</v>
      </c>
      <c r="B309" s="19"/>
      <c r="C309" s="15">
        <v>1.25</v>
      </c>
      <c r="D309" s="14"/>
      <c r="E309" s="15">
        <f t="shared" si="25"/>
        <v>141.76</v>
      </c>
      <c r="F309" s="14"/>
      <c r="G309" s="15">
        <f t="shared" si="24"/>
        <v>1.25</v>
      </c>
      <c r="H309" s="14"/>
      <c r="I309" s="15">
        <f t="shared" si="26"/>
        <v>99.207999999999998</v>
      </c>
      <c r="J309" s="14"/>
      <c r="K309" s="13"/>
    </row>
    <row r="310" spans="1:11" ht="12.6" customHeight="1" x14ac:dyDescent="0.2">
      <c r="A310" s="13"/>
      <c r="B310" s="19" t="s">
        <v>47</v>
      </c>
      <c r="C310" s="15"/>
      <c r="D310" s="14"/>
      <c r="E310" s="15">
        <f t="shared" si="25"/>
        <v>141.76</v>
      </c>
      <c r="F310" s="14"/>
      <c r="G310" s="15">
        <f t="shared" si="24"/>
        <v>0</v>
      </c>
      <c r="H310" s="14">
        <v>1</v>
      </c>
      <c r="I310" s="15">
        <f t="shared" si="26"/>
        <v>98.207999999999998</v>
      </c>
      <c r="J310" s="14"/>
      <c r="K310" s="13" t="s">
        <v>691</v>
      </c>
    </row>
    <row r="311" spans="1:11" ht="12.6" customHeight="1" x14ac:dyDescent="0.2">
      <c r="A311" s="13">
        <v>41284</v>
      </c>
      <c r="B311" s="19"/>
      <c r="C311" s="15">
        <v>1.25</v>
      </c>
      <c r="D311" s="14"/>
      <c r="E311" s="15">
        <f t="shared" si="25"/>
        <v>143.01</v>
      </c>
      <c r="F311" s="14"/>
      <c r="G311" s="15">
        <f t="shared" si="24"/>
        <v>1.25</v>
      </c>
      <c r="H311" s="14"/>
      <c r="I311" s="15">
        <f t="shared" si="26"/>
        <v>99.457999999999998</v>
      </c>
      <c r="J311" s="14"/>
      <c r="K311" s="13"/>
    </row>
    <row r="312" spans="1:11" ht="12.6" customHeight="1" x14ac:dyDescent="0.2">
      <c r="A312" s="13"/>
      <c r="B312" s="19" t="s">
        <v>47</v>
      </c>
      <c r="C312" s="15"/>
      <c r="D312" s="14"/>
      <c r="E312" s="15">
        <f t="shared" si="25"/>
        <v>143.01</v>
      </c>
      <c r="F312" s="14"/>
      <c r="G312" s="15">
        <f t="shared" si="24"/>
        <v>0</v>
      </c>
      <c r="H312" s="14">
        <v>1</v>
      </c>
      <c r="I312" s="15">
        <f t="shared" si="26"/>
        <v>98.457999999999998</v>
      </c>
      <c r="J312" s="14"/>
      <c r="K312" s="13" t="s">
        <v>692</v>
      </c>
    </row>
    <row r="313" spans="1:11" ht="12.6" customHeight="1" x14ac:dyDescent="0.2">
      <c r="A313" s="13">
        <v>41286</v>
      </c>
      <c r="B313" s="19"/>
      <c r="C313" s="15">
        <v>2.5</v>
      </c>
      <c r="D313" s="14"/>
      <c r="E313" s="15">
        <f t="shared" si="25"/>
        <v>145.51</v>
      </c>
      <c r="F313" s="14"/>
      <c r="G313" s="15">
        <f t="shared" si="24"/>
        <v>2.5</v>
      </c>
      <c r="H313" s="14"/>
      <c r="I313" s="15">
        <f t="shared" si="26"/>
        <v>100.958</v>
      </c>
      <c r="J313" s="14"/>
      <c r="K313" s="16"/>
    </row>
    <row r="314" spans="1:11" ht="12.6" customHeight="1" x14ac:dyDescent="0.2">
      <c r="A314" s="13"/>
      <c r="B314" s="19" t="s">
        <v>52</v>
      </c>
      <c r="C314" s="15"/>
      <c r="D314" s="14"/>
      <c r="E314" s="15">
        <f t="shared" si="25"/>
        <v>145.51</v>
      </c>
      <c r="F314" s="14"/>
      <c r="G314" s="15">
        <f t="shared" si="24"/>
        <v>0</v>
      </c>
      <c r="H314" s="14">
        <v>2</v>
      </c>
      <c r="I314" s="15">
        <f t="shared" si="26"/>
        <v>98.957999999999998</v>
      </c>
      <c r="J314" s="14"/>
      <c r="K314" s="16" t="s">
        <v>693</v>
      </c>
    </row>
    <row r="315" spans="1:11" ht="12.6" customHeight="1" x14ac:dyDescent="0.2">
      <c r="A315" s="13">
        <v>41642</v>
      </c>
      <c r="B315" s="19"/>
      <c r="C315" s="15">
        <v>3.75</v>
      </c>
      <c r="D315" s="14"/>
      <c r="E315" s="15">
        <f t="shared" si="25"/>
        <v>149.26</v>
      </c>
      <c r="F315" s="14"/>
      <c r="G315" s="15">
        <f t="shared" si="24"/>
        <v>3.75</v>
      </c>
      <c r="H315" s="14"/>
      <c r="I315" s="15">
        <f t="shared" si="26"/>
        <v>102.708</v>
      </c>
      <c r="J315" s="14"/>
      <c r="K315" s="16"/>
    </row>
    <row r="316" spans="1:11" ht="12.6" customHeight="1" x14ac:dyDescent="0.2">
      <c r="A316" s="13"/>
      <c r="B316" s="19" t="s">
        <v>166</v>
      </c>
      <c r="C316" s="15"/>
      <c r="D316" s="14"/>
      <c r="E316" s="15">
        <f t="shared" si="25"/>
        <v>149.26</v>
      </c>
      <c r="F316" s="14"/>
      <c r="G316" s="15">
        <f t="shared" si="24"/>
        <v>0</v>
      </c>
      <c r="H316" s="14"/>
      <c r="I316" s="15">
        <f t="shared" si="26"/>
        <v>102.708</v>
      </c>
      <c r="J316" s="14"/>
      <c r="K316" s="13" t="s">
        <v>695</v>
      </c>
    </row>
    <row r="317" spans="1:11" ht="12.6" customHeight="1" x14ac:dyDescent="0.2">
      <c r="A317" s="13">
        <v>41645</v>
      </c>
      <c r="B317" s="19"/>
      <c r="C317" s="15">
        <v>3.75</v>
      </c>
      <c r="D317" s="14"/>
      <c r="E317" s="15">
        <f t="shared" si="25"/>
        <v>153.01</v>
      </c>
      <c r="F317" s="14"/>
      <c r="G317" s="15">
        <f t="shared" si="24"/>
        <v>3.75</v>
      </c>
      <c r="H317" s="14"/>
      <c r="I317" s="15">
        <f t="shared" si="26"/>
        <v>106.458</v>
      </c>
      <c r="J317" s="14"/>
      <c r="K317" s="13"/>
    </row>
    <row r="318" spans="1:11" ht="12.6" customHeight="1" x14ac:dyDescent="0.2">
      <c r="A318" s="13"/>
      <c r="B318" s="19" t="s">
        <v>47</v>
      </c>
      <c r="C318" s="15"/>
      <c r="D318" s="14"/>
      <c r="E318" s="15">
        <f t="shared" si="25"/>
        <v>153.01</v>
      </c>
      <c r="F318" s="14"/>
      <c r="G318" s="15">
        <f t="shared" si="24"/>
        <v>0</v>
      </c>
      <c r="H318" s="14">
        <v>1</v>
      </c>
      <c r="I318" s="15">
        <f t="shared" si="26"/>
        <v>105.458</v>
      </c>
      <c r="J318" s="14"/>
      <c r="K318" s="13" t="s">
        <v>694</v>
      </c>
    </row>
    <row r="319" spans="1:11" ht="12.6" customHeight="1" x14ac:dyDescent="0.2">
      <c r="A319" s="13">
        <v>42005</v>
      </c>
      <c r="B319" s="19"/>
      <c r="C319" s="15">
        <v>8.75</v>
      </c>
      <c r="D319" s="14"/>
      <c r="E319" s="15">
        <f t="shared" si="25"/>
        <v>161.76</v>
      </c>
      <c r="F319" s="14"/>
      <c r="G319" s="15">
        <f t="shared" si="24"/>
        <v>8.75</v>
      </c>
      <c r="H319" s="14"/>
      <c r="I319" s="15">
        <f t="shared" si="26"/>
        <v>114.208</v>
      </c>
      <c r="J319" s="14"/>
      <c r="K319" s="13"/>
    </row>
    <row r="320" spans="1:11" s="63" customFormat="1" ht="12.6" customHeight="1" x14ac:dyDescent="0.2">
      <c r="A320" s="58"/>
      <c r="B320" s="67" t="s">
        <v>65</v>
      </c>
      <c r="C320" s="60"/>
      <c r="D320" s="61">
        <v>5</v>
      </c>
      <c r="E320" s="60">
        <f t="shared" si="25"/>
        <v>156.76</v>
      </c>
      <c r="F320" s="61"/>
      <c r="G320" s="60">
        <f t="shared" si="24"/>
        <v>0</v>
      </c>
      <c r="H320" s="61"/>
      <c r="I320" s="60">
        <f t="shared" si="26"/>
        <v>114.208</v>
      </c>
      <c r="J320" s="61"/>
      <c r="K320" s="58" t="s">
        <v>171</v>
      </c>
    </row>
    <row r="321" spans="1:11" ht="12.6" customHeight="1" x14ac:dyDescent="0.2">
      <c r="A321" s="13">
        <v>42007</v>
      </c>
      <c r="B321" s="19"/>
      <c r="C321" s="15">
        <v>2.5</v>
      </c>
      <c r="D321" s="14"/>
      <c r="E321" s="15">
        <f t="shared" si="25"/>
        <v>159.26</v>
      </c>
      <c r="F321" s="14"/>
      <c r="G321" s="15">
        <f t="shared" si="24"/>
        <v>2.5</v>
      </c>
      <c r="H321" s="14"/>
      <c r="I321" s="15">
        <f t="shared" si="26"/>
        <v>116.708</v>
      </c>
      <c r="J321" s="14"/>
      <c r="K321" s="13"/>
    </row>
    <row r="322" spans="1:11" ht="12.6" customHeight="1" x14ac:dyDescent="0.2">
      <c r="A322" s="13"/>
      <c r="B322" s="19" t="s">
        <v>52</v>
      </c>
      <c r="C322" s="15"/>
      <c r="D322" s="15"/>
      <c r="E322" s="15">
        <f t="shared" si="25"/>
        <v>159.26</v>
      </c>
      <c r="F322" s="14"/>
      <c r="G322" s="15">
        <f t="shared" si="24"/>
        <v>0</v>
      </c>
      <c r="H322" s="14">
        <v>2</v>
      </c>
      <c r="I322" s="15">
        <f t="shared" si="26"/>
        <v>114.708</v>
      </c>
      <c r="J322" s="14"/>
      <c r="K322" s="13" t="s">
        <v>696</v>
      </c>
    </row>
    <row r="323" spans="1:11" ht="12.6" customHeight="1" x14ac:dyDescent="0.2">
      <c r="A323" s="13"/>
      <c r="B323" s="19" t="s">
        <v>45</v>
      </c>
      <c r="C323" s="15"/>
      <c r="D323" s="14"/>
      <c r="E323" s="15">
        <f t="shared" si="25"/>
        <v>159.26</v>
      </c>
      <c r="F323" s="14"/>
      <c r="G323" s="15">
        <f t="shared" si="24"/>
        <v>0</v>
      </c>
      <c r="H323" s="14"/>
      <c r="I323" s="15">
        <f t="shared" si="26"/>
        <v>114.708</v>
      </c>
      <c r="J323" s="14"/>
      <c r="K323" s="16" t="s">
        <v>697</v>
      </c>
    </row>
    <row r="324" spans="1:11" ht="12.6" customHeight="1" x14ac:dyDescent="0.2">
      <c r="A324" s="13">
        <v>42008</v>
      </c>
      <c r="B324" s="19"/>
      <c r="C324" s="15">
        <v>1.25</v>
      </c>
      <c r="D324" s="15"/>
      <c r="E324" s="15">
        <f t="shared" si="25"/>
        <v>160.51</v>
      </c>
      <c r="F324" s="14"/>
      <c r="G324" s="15">
        <f t="shared" si="24"/>
        <v>1.25</v>
      </c>
      <c r="H324" s="14"/>
      <c r="I324" s="15">
        <f t="shared" si="26"/>
        <v>115.958</v>
      </c>
      <c r="J324" s="14"/>
      <c r="K324" s="13"/>
    </row>
    <row r="325" spans="1:11" ht="12.6" customHeight="1" x14ac:dyDescent="0.2">
      <c r="A325" s="13"/>
      <c r="B325" s="19" t="s">
        <v>67</v>
      </c>
      <c r="C325" s="15"/>
      <c r="D325" s="14"/>
      <c r="E325" s="15">
        <f t="shared" si="25"/>
        <v>160.51</v>
      </c>
      <c r="F325" s="14"/>
      <c r="G325" s="15">
        <f t="shared" si="24"/>
        <v>0</v>
      </c>
      <c r="H325" s="14">
        <v>3</v>
      </c>
      <c r="I325" s="15">
        <f t="shared" si="26"/>
        <v>112.958</v>
      </c>
      <c r="J325" s="14"/>
      <c r="K325" s="16" t="s">
        <v>698</v>
      </c>
    </row>
    <row r="326" spans="1:11" ht="12.6" customHeight="1" x14ac:dyDescent="0.2">
      <c r="A326" s="13"/>
      <c r="B326" s="19" t="s">
        <v>52</v>
      </c>
      <c r="C326" s="15"/>
      <c r="D326" s="14"/>
      <c r="E326" s="15">
        <f t="shared" si="25"/>
        <v>160.51</v>
      </c>
      <c r="F326" s="14"/>
      <c r="G326" s="15">
        <f t="shared" si="24"/>
        <v>0</v>
      </c>
      <c r="H326" s="14">
        <v>2</v>
      </c>
      <c r="I326" s="15">
        <f t="shared" si="26"/>
        <v>110.958</v>
      </c>
      <c r="J326" s="14"/>
      <c r="K326" s="13" t="s">
        <v>699</v>
      </c>
    </row>
    <row r="327" spans="1:11" ht="12.6" customHeight="1" x14ac:dyDescent="0.2">
      <c r="A327" s="13">
        <v>42010</v>
      </c>
      <c r="B327" s="19"/>
      <c r="C327" s="15">
        <v>2.5</v>
      </c>
      <c r="D327" s="14"/>
      <c r="E327" s="15">
        <f t="shared" si="25"/>
        <v>163.01</v>
      </c>
      <c r="F327" s="14"/>
      <c r="G327" s="15">
        <f t="shared" si="24"/>
        <v>2.5</v>
      </c>
      <c r="H327" s="14"/>
      <c r="I327" s="15">
        <f t="shared" si="26"/>
        <v>113.458</v>
      </c>
      <c r="J327" s="14"/>
      <c r="K327" s="13"/>
    </row>
    <row r="328" spans="1:11" ht="12.6" customHeight="1" x14ac:dyDescent="0.2">
      <c r="A328" s="13"/>
      <c r="B328" s="19" t="s">
        <v>47</v>
      </c>
      <c r="C328" s="15"/>
      <c r="D328" s="14"/>
      <c r="E328" s="15">
        <f t="shared" si="25"/>
        <v>163.01</v>
      </c>
      <c r="F328" s="14"/>
      <c r="G328" s="15">
        <f t="shared" si="24"/>
        <v>0</v>
      </c>
      <c r="H328" s="14">
        <v>1</v>
      </c>
      <c r="I328" s="15">
        <f t="shared" si="26"/>
        <v>112.458</v>
      </c>
      <c r="J328" s="14"/>
      <c r="K328" s="13" t="s">
        <v>700</v>
      </c>
    </row>
    <row r="329" spans="1:11" ht="12.6" customHeight="1" x14ac:dyDescent="0.2">
      <c r="A329" s="13"/>
      <c r="B329" s="19" t="s">
        <v>125</v>
      </c>
      <c r="C329" s="15"/>
      <c r="D329" s="14"/>
      <c r="E329" s="15">
        <f t="shared" si="25"/>
        <v>163.01</v>
      </c>
      <c r="F329" s="14"/>
      <c r="G329" s="15">
        <f t="shared" si="24"/>
        <v>0</v>
      </c>
      <c r="H329" s="14">
        <v>4</v>
      </c>
      <c r="I329" s="15">
        <f t="shared" si="26"/>
        <v>108.458</v>
      </c>
      <c r="J329" s="14"/>
      <c r="K329" s="13" t="s">
        <v>701</v>
      </c>
    </row>
    <row r="330" spans="1:11" ht="12.6" customHeight="1" x14ac:dyDescent="0.2">
      <c r="A330" s="13"/>
      <c r="B330" s="19" t="s">
        <v>47</v>
      </c>
      <c r="C330" s="15"/>
      <c r="D330" s="14"/>
      <c r="E330" s="15">
        <f t="shared" si="25"/>
        <v>163.01</v>
      </c>
      <c r="F330" s="14"/>
      <c r="G330" s="15">
        <f t="shared" si="24"/>
        <v>0</v>
      </c>
      <c r="H330" s="14">
        <v>1</v>
      </c>
      <c r="I330" s="15">
        <f t="shared" si="26"/>
        <v>107.458</v>
      </c>
      <c r="J330" s="14"/>
      <c r="K330" s="16" t="s">
        <v>702</v>
      </c>
    </row>
    <row r="331" spans="1:11" ht="12.6" customHeight="1" x14ac:dyDescent="0.2">
      <c r="A331" s="19"/>
      <c r="B331" s="19"/>
      <c r="C331" s="36">
        <f>SUM(C305:C330)</f>
        <v>28.75</v>
      </c>
      <c r="D331" s="36">
        <f>SUM(D305:D330)</f>
        <v>5</v>
      </c>
      <c r="E331" s="36"/>
      <c r="F331" s="37"/>
      <c r="G331" s="36">
        <f>SUM(G305:G330)</f>
        <v>28.75</v>
      </c>
      <c r="H331" s="36">
        <f>SUM(H305:H330)</f>
        <v>27</v>
      </c>
      <c r="I331" s="15"/>
      <c r="J331" s="14"/>
      <c r="K331" s="16"/>
    </row>
    <row r="332" spans="1:11" ht="12.6" customHeight="1" x14ac:dyDescent="0.2">
      <c r="H332" s="27" t="s">
        <v>23</v>
      </c>
      <c r="J332" s="27" t="s">
        <v>26</v>
      </c>
    </row>
    <row r="334" spans="1:11" ht="12.6" customHeight="1" x14ac:dyDescent="0.2">
      <c r="A334" s="102" t="str">
        <f>A1</f>
        <v>CATAPANG, CRISPIN JR. D.</v>
      </c>
      <c r="B334" s="102"/>
      <c r="C334" s="102"/>
      <c r="D334" s="102"/>
      <c r="E334" s="102"/>
      <c r="F334" s="102"/>
      <c r="G334" s="102"/>
      <c r="H334" s="1"/>
      <c r="I334" s="103" t="s">
        <v>0</v>
      </c>
      <c r="J334" s="103"/>
      <c r="K334" s="2" t="str">
        <f>K1</f>
        <v>AUGUST 02, 1995</v>
      </c>
    </row>
    <row r="336" spans="1:11" ht="12.6" customHeight="1" x14ac:dyDescent="0.2">
      <c r="A336" s="104" t="s">
        <v>1</v>
      </c>
      <c r="B336" s="104" t="s">
        <v>2</v>
      </c>
      <c r="C336" s="107" t="s">
        <v>3</v>
      </c>
      <c r="D336" s="108"/>
      <c r="E336" s="108"/>
      <c r="F336" s="109"/>
      <c r="G336" s="107" t="s">
        <v>4</v>
      </c>
      <c r="H336" s="108"/>
      <c r="I336" s="108"/>
      <c r="J336" s="109"/>
      <c r="K336" s="4"/>
    </row>
    <row r="337" spans="1:11" ht="12.6" customHeight="1" x14ac:dyDescent="0.2">
      <c r="A337" s="105"/>
      <c r="B337" s="105"/>
      <c r="C337" s="94" t="s">
        <v>6</v>
      </c>
      <c r="D337" s="5" t="s">
        <v>7</v>
      </c>
      <c r="E337" s="94" t="s">
        <v>8</v>
      </c>
      <c r="F337" s="6" t="s">
        <v>7</v>
      </c>
      <c r="G337" s="94" t="s">
        <v>6</v>
      </c>
      <c r="H337" s="5" t="s">
        <v>7</v>
      </c>
      <c r="I337" s="94" t="s">
        <v>8</v>
      </c>
      <c r="J337" s="1" t="s">
        <v>7</v>
      </c>
      <c r="K337" s="7"/>
    </row>
    <row r="338" spans="1:11" ht="12.6" customHeight="1" x14ac:dyDescent="0.2">
      <c r="A338" s="105"/>
      <c r="B338" s="105"/>
      <c r="C338" s="95"/>
      <c r="D338" s="8" t="s">
        <v>10</v>
      </c>
      <c r="E338" s="95"/>
      <c r="F338" s="6" t="s">
        <v>10</v>
      </c>
      <c r="G338" s="95"/>
      <c r="H338" s="8" t="s">
        <v>10</v>
      </c>
      <c r="I338" s="95"/>
      <c r="J338" s="1" t="s">
        <v>10</v>
      </c>
      <c r="K338" s="7"/>
    </row>
    <row r="339" spans="1:11" ht="12.6" customHeight="1" x14ac:dyDescent="0.2">
      <c r="A339" s="106"/>
      <c r="B339" s="106"/>
      <c r="C339" s="96"/>
      <c r="D339" s="9" t="s">
        <v>12</v>
      </c>
      <c r="E339" s="96"/>
      <c r="F339" s="10" t="s">
        <v>13</v>
      </c>
      <c r="G339" s="96"/>
      <c r="H339" s="9" t="s">
        <v>12</v>
      </c>
      <c r="I339" s="96"/>
      <c r="J339" s="11" t="s">
        <v>13</v>
      </c>
      <c r="K339" s="12"/>
    </row>
    <row r="340" spans="1:11" ht="12.6" customHeight="1" x14ac:dyDescent="0.2">
      <c r="A340" s="13">
        <v>42011</v>
      </c>
      <c r="B340" s="19"/>
      <c r="C340" s="15">
        <v>1.25</v>
      </c>
      <c r="D340" s="14"/>
      <c r="E340" s="15">
        <f>E330+C340-D340</f>
        <v>164.26</v>
      </c>
      <c r="F340" s="14"/>
      <c r="G340" s="15">
        <f>C340</f>
        <v>1.25</v>
      </c>
      <c r="H340" s="14"/>
      <c r="I340" s="15">
        <f>I330+G340-H340</f>
        <v>108.708</v>
      </c>
      <c r="J340" s="14"/>
      <c r="K340" s="16"/>
    </row>
    <row r="341" spans="1:11" ht="12.6" customHeight="1" x14ac:dyDescent="0.2">
      <c r="A341" s="13"/>
      <c r="B341" s="19" t="s">
        <v>47</v>
      </c>
      <c r="C341" s="15"/>
      <c r="D341" s="14"/>
      <c r="E341" s="15">
        <f>E340+C341-D341</f>
        <v>164.26</v>
      </c>
      <c r="F341" s="14"/>
      <c r="G341" s="15">
        <f t="shared" ref="G341:G365" si="27">C341</f>
        <v>0</v>
      </c>
      <c r="H341" s="14">
        <v>1</v>
      </c>
      <c r="I341" s="15">
        <f>I340+G341-H341</f>
        <v>107.708</v>
      </c>
      <c r="J341" s="14"/>
      <c r="K341" s="13">
        <v>42284</v>
      </c>
    </row>
    <row r="342" spans="1:11" ht="12.6" customHeight="1" x14ac:dyDescent="0.2">
      <c r="A342" s="13">
        <v>42012</v>
      </c>
      <c r="B342" s="19"/>
      <c r="C342" s="15">
        <v>1.25</v>
      </c>
      <c r="D342" s="14"/>
      <c r="E342" s="15">
        <f t="shared" ref="E342:E365" si="28">E341+C342-D342</f>
        <v>165.51</v>
      </c>
      <c r="F342" s="14"/>
      <c r="G342" s="15">
        <f t="shared" si="27"/>
        <v>1.25</v>
      </c>
      <c r="H342" s="14"/>
      <c r="I342" s="15">
        <f t="shared" ref="I342:I365" si="29">I341+G342-H342</f>
        <v>108.958</v>
      </c>
      <c r="J342" s="14"/>
      <c r="K342" s="13"/>
    </row>
    <row r="343" spans="1:11" ht="12.6" customHeight="1" x14ac:dyDescent="0.2">
      <c r="A343" s="13"/>
      <c r="B343" s="19" t="s">
        <v>47</v>
      </c>
      <c r="C343" s="15"/>
      <c r="D343" s="14"/>
      <c r="E343" s="15">
        <f t="shared" si="28"/>
        <v>165.51</v>
      </c>
      <c r="F343" s="14"/>
      <c r="G343" s="15">
        <f t="shared" si="27"/>
        <v>0</v>
      </c>
      <c r="H343" s="14">
        <v>1</v>
      </c>
      <c r="I343" s="15">
        <f t="shared" si="29"/>
        <v>107.958</v>
      </c>
      <c r="J343" s="14"/>
      <c r="K343" s="13" t="s">
        <v>703</v>
      </c>
    </row>
    <row r="344" spans="1:11" ht="12.6" customHeight="1" x14ac:dyDescent="0.2">
      <c r="A344" s="13">
        <v>42014</v>
      </c>
      <c r="B344" s="19"/>
      <c r="C344" s="15">
        <v>2.5</v>
      </c>
      <c r="D344" s="14"/>
      <c r="E344" s="15">
        <f t="shared" si="28"/>
        <v>168.01</v>
      </c>
      <c r="F344" s="14"/>
      <c r="G344" s="15">
        <f t="shared" si="27"/>
        <v>2.5</v>
      </c>
      <c r="H344" s="14"/>
      <c r="I344" s="15">
        <f t="shared" si="29"/>
        <v>110.458</v>
      </c>
      <c r="J344" s="14"/>
      <c r="K344" s="13"/>
    </row>
    <row r="345" spans="1:11" ht="12.6" customHeight="1" x14ac:dyDescent="0.2">
      <c r="A345" s="13"/>
      <c r="B345" s="19" t="s">
        <v>52</v>
      </c>
      <c r="C345" s="15"/>
      <c r="D345" s="14"/>
      <c r="E345" s="15">
        <f t="shared" si="28"/>
        <v>168.01</v>
      </c>
      <c r="F345" s="14"/>
      <c r="G345" s="15">
        <f t="shared" si="27"/>
        <v>0</v>
      </c>
      <c r="H345" s="14">
        <v>2</v>
      </c>
      <c r="I345" s="15">
        <f t="shared" si="29"/>
        <v>108.458</v>
      </c>
      <c r="J345" s="14"/>
      <c r="K345" s="13" t="s">
        <v>704</v>
      </c>
    </row>
    <row r="346" spans="1:11" ht="12.6" customHeight="1" x14ac:dyDescent="0.2">
      <c r="A346" s="13"/>
      <c r="B346" s="19" t="s">
        <v>47</v>
      </c>
      <c r="C346" s="15"/>
      <c r="D346" s="14"/>
      <c r="E346" s="15">
        <f t="shared" si="28"/>
        <v>168.01</v>
      </c>
      <c r="F346" s="14"/>
      <c r="G346" s="15">
        <f t="shared" si="27"/>
        <v>0</v>
      </c>
      <c r="H346" s="14">
        <v>1</v>
      </c>
      <c r="I346" s="15">
        <f t="shared" si="29"/>
        <v>107.458</v>
      </c>
      <c r="J346" s="14"/>
      <c r="K346" s="13">
        <v>42348</v>
      </c>
    </row>
    <row r="347" spans="1:11" ht="12.6" customHeight="1" x14ac:dyDescent="0.2">
      <c r="A347" s="13"/>
      <c r="B347" s="19" t="s">
        <v>706</v>
      </c>
      <c r="C347" s="15"/>
      <c r="D347" s="14">
        <v>12</v>
      </c>
      <c r="E347" s="15">
        <f t="shared" si="28"/>
        <v>156.01</v>
      </c>
      <c r="F347" s="14"/>
      <c r="G347" s="15">
        <f t="shared" si="27"/>
        <v>0</v>
      </c>
      <c r="H347" s="14"/>
      <c r="I347" s="15">
        <f t="shared" si="29"/>
        <v>107.458</v>
      </c>
      <c r="J347" s="14"/>
      <c r="K347" s="13" t="s">
        <v>705</v>
      </c>
    </row>
    <row r="348" spans="1:11" ht="12.6" customHeight="1" x14ac:dyDescent="0.2">
      <c r="A348" s="13">
        <v>42015</v>
      </c>
      <c r="B348" s="19"/>
      <c r="C348" s="15">
        <v>1.25</v>
      </c>
      <c r="D348" s="14"/>
      <c r="E348" s="15">
        <f t="shared" si="28"/>
        <v>157.26</v>
      </c>
      <c r="F348" s="14"/>
      <c r="G348" s="15">
        <f t="shared" si="27"/>
        <v>1.25</v>
      </c>
      <c r="H348" s="14"/>
      <c r="I348" s="15">
        <f t="shared" si="29"/>
        <v>108.708</v>
      </c>
      <c r="J348" s="14"/>
      <c r="K348" s="13"/>
    </row>
    <row r="349" spans="1:11" ht="12.6" customHeight="1" x14ac:dyDescent="0.2">
      <c r="A349" s="13"/>
      <c r="B349" s="19" t="s">
        <v>144</v>
      </c>
      <c r="C349" s="15"/>
      <c r="D349" s="14"/>
      <c r="E349" s="15">
        <f t="shared" si="28"/>
        <v>157.26</v>
      </c>
      <c r="F349" s="14"/>
      <c r="G349" s="15">
        <f t="shared" si="27"/>
        <v>0</v>
      </c>
      <c r="H349" s="14">
        <v>1.5</v>
      </c>
      <c r="I349" s="15">
        <f t="shared" si="29"/>
        <v>107.208</v>
      </c>
      <c r="J349" s="14"/>
      <c r="K349" s="16" t="s">
        <v>707</v>
      </c>
    </row>
    <row r="350" spans="1:11" ht="12.6" customHeight="1" x14ac:dyDescent="0.2">
      <c r="A350" s="13">
        <v>42016</v>
      </c>
      <c r="B350" s="19"/>
      <c r="C350" s="15">
        <v>1.25</v>
      </c>
      <c r="D350" s="14"/>
      <c r="E350" s="15">
        <f t="shared" si="28"/>
        <v>158.51</v>
      </c>
      <c r="F350" s="14"/>
      <c r="G350" s="15">
        <f t="shared" si="27"/>
        <v>1.25</v>
      </c>
      <c r="H350" s="14"/>
      <c r="I350" s="15">
        <f t="shared" si="29"/>
        <v>108.458</v>
      </c>
      <c r="J350" s="14"/>
      <c r="K350" s="13"/>
    </row>
    <row r="351" spans="1:11" ht="12.6" customHeight="1" x14ac:dyDescent="0.2">
      <c r="A351" s="13"/>
      <c r="B351" s="19" t="s">
        <v>245</v>
      </c>
      <c r="C351" s="15"/>
      <c r="D351" s="14">
        <v>7</v>
      </c>
      <c r="E351" s="15">
        <f t="shared" si="28"/>
        <v>151.51</v>
      </c>
      <c r="F351" s="14"/>
      <c r="G351" s="15">
        <f t="shared" si="27"/>
        <v>0</v>
      </c>
      <c r="H351" s="14"/>
      <c r="I351" s="15">
        <f t="shared" si="29"/>
        <v>108.458</v>
      </c>
      <c r="J351" s="14"/>
      <c r="K351" s="13" t="s">
        <v>708</v>
      </c>
    </row>
    <row r="352" spans="1:11" ht="12.6" customHeight="1" x14ac:dyDescent="0.2">
      <c r="A352" s="13"/>
      <c r="B352" s="19" t="s">
        <v>60</v>
      </c>
      <c r="C352" s="15"/>
      <c r="D352" s="14">
        <v>5</v>
      </c>
      <c r="E352" s="15">
        <f t="shared" si="28"/>
        <v>146.51</v>
      </c>
      <c r="F352" s="14"/>
      <c r="G352" s="15">
        <f t="shared" si="27"/>
        <v>0</v>
      </c>
      <c r="H352" s="14"/>
      <c r="I352" s="15">
        <f t="shared" si="29"/>
        <v>108.458</v>
      </c>
      <c r="J352" s="14"/>
      <c r="K352" s="13" t="s">
        <v>709</v>
      </c>
    </row>
    <row r="353" spans="1:11" ht="12.6" customHeight="1" x14ac:dyDescent="0.2">
      <c r="A353" s="13">
        <v>42370</v>
      </c>
      <c r="B353" s="19"/>
      <c r="C353" s="15">
        <v>1.25</v>
      </c>
      <c r="D353" s="14"/>
      <c r="E353" s="15">
        <f t="shared" si="28"/>
        <v>147.76</v>
      </c>
      <c r="F353" s="14"/>
      <c r="G353" s="15">
        <f t="shared" si="27"/>
        <v>1.25</v>
      </c>
      <c r="H353" s="14"/>
      <c r="I353" s="15">
        <f t="shared" si="29"/>
        <v>109.708</v>
      </c>
      <c r="J353" s="14"/>
      <c r="K353" s="13"/>
    </row>
    <row r="354" spans="1:11" ht="12.6" customHeight="1" x14ac:dyDescent="0.2">
      <c r="A354" s="13"/>
      <c r="B354" s="19" t="s">
        <v>166</v>
      </c>
      <c r="C354" s="15"/>
      <c r="D354" s="14"/>
      <c r="E354" s="15">
        <f t="shared" si="28"/>
        <v>147.76</v>
      </c>
      <c r="F354" s="14"/>
      <c r="G354" s="15">
        <f t="shared" si="27"/>
        <v>0</v>
      </c>
      <c r="H354" s="14"/>
      <c r="I354" s="15">
        <f t="shared" si="29"/>
        <v>109.708</v>
      </c>
      <c r="J354" s="14"/>
      <c r="K354" s="13" t="s">
        <v>710</v>
      </c>
    </row>
    <row r="355" spans="1:11" ht="12.6" customHeight="1" x14ac:dyDescent="0.2">
      <c r="A355" s="13"/>
      <c r="B355" s="19" t="s">
        <v>52</v>
      </c>
      <c r="C355" s="15"/>
      <c r="D355" s="14"/>
      <c r="E355" s="15">
        <f t="shared" si="28"/>
        <v>147.76</v>
      </c>
      <c r="F355" s="14"/>
      <c r="G355" s="15">
        <f t="shared" si="27"/>
        <v>0</v>
      </c>
      <c r="H355" s="14">
        <v>2</v>
      </c>
      <c r="I355" s="15">
        <f t="shared" si="29"/>
        <v>107.708</v>
      </c>
      <c r="J355" s="14"/>
      <c r="K355" s="13" t="s">
        <v>711</v>
      </c>
    </row>
    <row r="356" spans="1:11" ht="12.6" customHeight="1" x14ac:dyDescent="0.2">
      <c r="A356" s="13"/>
      <c r="B356" s="19" t="s">
        <v>712</v>
      </c>
      <c r="C356" s="15"/>
      <c r="D356" s="14">
        <v>2.85</v>
      </c>
      <c r="E356" s="15">
        <f t="shared" si="28"/>
        <v>144.91</v>
      </c>
      <c r="F356" s="14"/>
      <c r="G356" s="15">
        <f t="shared" si="27"/>
        <v>0</v>
      </c>
      <c r="H356" s="14"/>
      <c r="I356" s="15">
        <f t="shared" si="29"/>
        <v>107.708</v>
      </c>
      <c r="J356" s="14"/>
      <c r="K356" s="13" t="s">
        <v>488</v>
      </c>
    </row>
    <row r="357" spans="1:11" ht="12.6" customHeight="1" x14ac:dyDescent="0.2">
      <c r="A357" s="13">
        <v>42371</v>
      </c>
      <c r="B357" s="19"/>
      <c r="C357" s="15">
        <v>1.25</v>
      </c>
      <c r="D357" s="15"/>
      <c r="E357" s="15">
        <f t="shared" si="28"/>
        <v>146.16</v>
      </c>
      <c r="F357" s="14"/>
      <c r="G357" s="15">
        <f t="shared" si="27"/>
        <v>1.25</v>
      </c>
      <c r="H357" s="14"/>
      <c r="I357" s="15">
        <f t="shared" si="29"/>
        <v>108.958</v>
      </c>
      <c r="J357" s="14"/>
      <c r="K357" s="13"/>
    </row>
    <row r="358" spans="1:11" ht="12.6" customHeight="1" x14ac:dyDescent="0.2">
      <c r="A358" s="13"/>
      <c r="B358" s="19" t="s">
        <v>67</v>
      </c>
      <c r="C358" s="15"/>
      <c r="D358" s="14"/>
      <c r="E358" s="15">
        <f t="shared" si="28"/>
        <v>146.16</v>
      </c>
      <c r="F358" s="14"/>
      <c r="G358" s="15">
        <f t="shared" si="27"/>
        <v>0</v>
      </c>
      <c r="H358" s="14">
        <v>3</v>
      </c>
      <c r="I358" s="15">
        <f t="shared" si="29"/>
        <v>105.958</v>
      </c>
      <c r="J358" s="14"/>
      <c r="K358" s="16" t="s">
        <v>713</v>
      </c>
    </row>
    <row r="359" spans="1:11" ht="12.6" customHeight="1" x14ac:dyDescent="0.2">
      <c r="A359" s="13">
        <v>42372</v>
      </c>
      <c r="B359" s="19"/>
      <c r="C359" s="15">
        <v>1.25</v>
      </c>
      <c r="D359" s="15"/>
      <c r="E359" s="15">
        <f t="shared" si="28"/>
        <v>147.41</v>
      </c>
      <c r="F359" s="14"/>
      <c r="G359" s="15">
        <f t="shared" si="27"/>
        <v>1.25</v>
      </c>
      <c r="H359" s="14"/>
      <c r="I359" s="15">
        <f t="shared" si="29"/>
        <v>107.208</v>
      </c>
      <c r="J359" s="14"/>
      <c r="K359" s="13"/>
    </row>
    <row r="360" spans="1:11" ht="12.6" customHeight="1" x14ac:dyDescent="0.2">
      <c r="A360" s="13"/>
      <c r="B360" s="19" t="s">
        <v>47</v>
      </c>
      <c r="C360" s="15"/>
      <c r="D360" s="14"/>
      <c r="E360" s="15">
        <f t="shared" si="28"/>
        <v>147.41</v>
      </c>
      <c r="F360" s="14"/>
      <c r="G360" s="15">
        <f t="shared" si="27"/>
        <v>0</v>
      </c>
      <c r="H360" s="14">
        <v>1</v>
      </c>
      <c r="I360" s="15">
        <f t="shared" si="29"/>
        <v>106.208</v>
      </c>
      <c r="J360" s="14"/>
      <c r="K360" s="13">
        <v>42403</v>
      </c>
    </row>
    <row r="361" spans="1:11" ht="12.6" customHeight="1" x14ac:dyDescent="0.2">
      <c r="A361" s="13"/>
      <c r="B361" s="19" t="s">
        <v>47</v>
      </c>
      <c r="C361" s="15"/>
      <c r="D361" s="14"/>
      <c r="E361" s="15">
        <f t="shared" si="28"/>
        <v>147.41</v>
      </c>
      <c r="F361" s="14"/>
      <c r="G361" s="15">
        <f t="shared" si="27"/>
        <v>0</v>
      </c>
      <c r="H361" s="14">
        <v>1</v>
      </c>
      <c r="I361" s="15">
        <f t="shared" si="29"/>
        <v>105.208</v>
      </c>
      <c r="J361" s="14"/>
      <c r="K361" s="13" t="s">
        <v>714</v>
      </c>
    </row>
    <row r="362" spans="1:11" ht="12.6" customHeight="1" x14ac:dyDescent="0.2">
      <c r="A362" s="13">
        <v>42373</v>
      </c>
      <c r="B362" s="19"/>
      <c r="C362" s="15">
        <v>1.25</v>
      </c>
      <c r="D362" s="14"/>
      <c r="E362" s="15">
        <f t="shared" si="28"/>
        <v>148.66</v>
      </c>
      <c r="F362" s="14"/>
      <c r="G362" s="15">
        <f t="shared" si="27"/>
        <v>1.25</v>
      </c>
      <c r="H362" s="14"/>
      <c r="I362" s="15">
        <f t="shared" si="29"/>
        <v>106.458</v>
      </c>
      <c r="J362" s="14"/>
      <c r="K362" s="13"/>
    </row>
    <row r="363" spans="1:11" ht="12.6" customHeight="1" x14ac:dyDescent="0.2">
      <c r="A363" s="13"/>
      <c r="B363" s="19" t="s">
        <v>52</v>
      </c>
      <c r="C363" s="15"/>
      <c r="D363" s="14"/>
      <c r="E363" s="15">
        <f t="shared" si="28"/>
        <v>148.66</v>
      </c>
      <c r="F363" s="14"/>
      <c r="G363" s="15">
        <f t="shared" si="27"/>
        <v>0</v>
      </c>
      <c r="H363" s="14">
        <v>2</v>
      </c>
      <c r="I363" s="15">
        <f t="shared" si="29"/>
        <v>104.458</v>
      </c>
      <c r="J363" s="14"/>
      <c r="K363" s="13" t="s">
        <v>715</v>
      </c>
    </row>
    <row r="364" spans="1:11" ht="12.6" customHeight="1" x14ac:dyDescent="0.2">
      <c r="A364" s="13"/>
      <c r="B364" s="19" t="s">
        <v>125</v>
      </c>
      <c r="C364" s="15"/>
      <c r="D364" s="14"/>
      <c r="E364" s="15">
        <f t="shared" si="28"/>
        <v>148.66</v>
      </c>
      <c r="F364" s="14"/>
      <c r="G364" s="15">
        <f t="shared" si="27"/>
        <v>0</v>
      </c>
      <c r="H364" s="14">
        <v>4</v>
      </c>
      <c r="I364" s="15">
        <f t="shared" si="29"/>
        <v>100.458</v>
      </c>
      <c r="J364" s="14"/>
      <c r="K364" s="13" t="s">
        <v>716</v>
      </c>
    </row>
    <row r="365" spans="1:11" ht="12.6" customHeight="1" x14ac:dyDescent="0.2">
      <c r="A365" s="13">
        <v>42374</v>
      </c>
      <c r="B365" s="19"/>
      <c r="C365" s="15">
        <v>1.25</v>
      </c>
      <c r="D365" s="14"/>
      <c r="E365" s="15">
        <f t="shared" si="28"/>
        <v>149.91</v>
      </c>
      <c r="F365" s="14"/>
      <c r="G365" s="15">
        <f t="shared" si="27"/>
        <v>1.25</v>
      </c>
      <c r="H365" s="14"/>
      <c r="I365" s="15">
        <f t="shared" si="29"/>
        <v>101.708</v>
      </c>
      <c r="J365" s="14"/>
      <c r="K365" s="16"/>
    </row>
    <row r="366" spans="1:11" ht="12.6" customHeight="1" x14ac:dyDescent="0.2">
      <c r="A366" s="19"/>
      <c r="B366" s="19"/>
      <c r="C366" s="36">
        <f>SUM(C340:C365)</f>
        <v>13.75</v>
      </c>
      <c r="D366" s="36">
        <f>SUM(D340:D365)</f>
        <v>26.85</v>
      </c>
      <c r="E366" s="36"/>
      <c r="F366" s="37"/>
      <c r="G366" s="36">
        <f>SUM(G340:G365)</f>
        <v>13.75</v>
      </c>
      <c r="H366" s="36">
        <f>SUM(H340:H365)</f>
        <v>19.5</v>
      </c>
      <c r="I366" s="15"/>
      <c r="J366" s="14"/>
      <c r="K366" s="16"/>
    </row>
    <row r="367" spans="1:11" ht="12.6" customHeight="1" x14ac:dyDescent="0.2">
      <c r="H367" s="27" t="s">
        <v>23</v>
      </c>
      <c r="J367" s="27" t="s">
        <v>27</v>
      </c>
    </row>
    <row r="374" spans="1:11" ht="12.6" customHeight="1" x14ac:dyDescent="0.2">
      <c r="A374" s="102" t="str">
        <f>A1</f>
        <v>CATAPANG, CRISPIN JR. D.</v>
      </c>
      <c r="B374" s="102"/>
      <c r="C374" s="102"/>
      <c r="D374" s="102"/>
      <c r="E374" s="102"/>
      <c r="F374" s="102"/>
      <c r="G374" s="102"/>
      <c r="H374" s="1"/>
      <c r="I374" s="103" t="s">
        <v>0</v>
      </c>
      <c r="J374" s="103"/>
      <c r="K374" s="2" t="str">
        <f>K1</f>
        <v>AUGUST 02, 1995</v>
      </c>
    </row>
    <row r="376" spans="1:11" ht="12.6" customHeight="1" x14ac:dyDescent="0.2">
      <c r="A376" s="104" t="s">
        <v>1</v>
      </c>
      <c r="B376" s="104" t="s">
        <v>2</v>
      </c>
      <c r="C376" s="107" t="s">
        <v>3</v>
      </c>
      <c r="D376" s="108"/>
      <c r="E376" s="108"/>
      <c r="F376" s="109"/>
      <c r="G376" s="107" t="s">
        <v>4</v>
      </c>
      <c r="H376" s="108"/>
      <c r="I376" s="108"/>
      <c r="J376" s="109"/>
      <c r="K376" s="4"/>
    </row>
    <row r="377" spans="1:11" ht="12.6" customHeight="1" x14ac:dyDescent="0.2">
      <c r="A377" s="105"/>
      <c r="B377" s="105"/>
      <c r="C377" s="94" t="s">
        <v>6</v>
      </c>
      <c r="D377" s="5" t="s">
        <v>7</v>
      </c>
      <c r="E377" s="94" t="s">
        <v>8</v>
      </c>
      <c r="F377" s="6" t="s">
        <v>7</v>
      </c>
      <c r="G377" s="94" t="s">
        <v>6</v>
      </c>
      <c r="H377" s="5" t="s">
        <v>7</v>
      </c>
      <c r="I377" s="94" t="s">
        <v>8</v>
      </c>
      <c r="J377" s="1" t="s">
        <v>7</v>
      </c>
      <c r="K377" s="7"/>
    </row>
    <row r="378" spans="1:11" ht="12.6" customHeight="1" x14ac:dyDescent="0.2">
      <c r="A378" s="105"/>
      <c r="B378" s="105"/>
      <c r="C378" s="95"/>
      <c r="D378" s="8" t="s">
        <v>10</v>
      </c>
      <c r="E378" s="95"/>
      <c r="F378" s="6" t="s">
        <v>10</v>
      </c>
      <c r="G378" s="95"/>
      <c r="H378" s="8" t="s">
        <v>10</v>
      </c>
      <c r="I378" s="95"/>
      <c r="J378" s="1" t="s">
        <v>10</v>
      </c>
      <c r="K378" s="7"/>
    </row>
    <row r="379" spans="1:11" ht="12.6" customHeight="1" x14ac:dyDescent="0.2">
      <c r="A379" s="106"/>
      <c r="B379" s="106"/>
      <c r="C379" s="96"/>
      <c r="D379" s="9" t="s">
        <v>12</v>
      </c>
      <c r="E379" s="96"/>
      <c r="F379" s="10" t="s">
        <v>13</v>
      </c>
      <c r="G379" s="96"/>
      <c r="H379" s="9" t="s">
        <v>12</v>
      </c>
      <c r="I379" s="96"/>
      <c r="J379" s="11" t="s">
        <v>13</v>
      </c>
      <c r="K379" s="12"/>
    </row>
    <row r="380" spans="1:11" ht="12.6" customHeight="1" x14ac:dyDescent="0.2">
      <c r="A380" s="13"/>
      <c r="B380" s="19" t="s">
        <v>47</v>
      </c>
      <c r="C380" s="15"/>
      <c r="D380" s="14"/>
      <c r="E380" s="15">
        <f>E365+C380-D380</f>
        <v>149.91</v>
      </c>
      <c r="F380" s="14"/>
      <c r="G380" s="15">
        <f>C380</f>
        <v>0</v>
      </c>
      <c r="H380" s="14">
        <v>1</v>
      </c>
      <c r="I380" s="15">
        <f>I365+G380-H380</f>
        <v>100.708</v>
      </c>
      <c r="J380" s="14"/>
      <c r="K380" s="13">
        <v>42405</v>
      </c>
    </row>
    <row r="381" spans="1:11" ht="12.6" customHeight="1" x14ac:dyDescent="0.2">
      <c r="A381" s="13"/>
      <c r="B381" s="19" t="s">
        <v>56</v>
      </c>
      <c r="C381" s="15"/>
      <c r="D381" s="14">
        <v>4</v>
      </c>
      <c r="E381" s="15">
        <f>E380+C381-D381</f>
        <v>145.91</v>
      </c>
      <c r="F381" s="14"/>
      <c r="G381" s="15">
        <f t="shared" ref="G381:G405" si="30">C381</f>
        <v>0</v>
      </c>
      <c r="H381" s="14"/>
      <c r="I381" s="15">
        <f>I380+G381-H381</f>
        <v>100.708</v>
      </c>
      <c r="J381" s="14"/>
      <c r="K381" s="13" t="s">
        <v>717</v>
      </c>
    </row>
    <row r="382" spans="1:11" ht="12.6" customHeight="1" x14ac:dyDescent="0.2">
      <c r="A382" s="13"/>
      <c r="B382" s="19" t="s">
        <v>67</v>
      </c>
      <c r="C382" s="15"/>
      <c r="D382" s="14"/>
      <c r="E382" s="15">
        <f t="shared" ref="E382:E405" si="31">E381+C382-D382</f>
        <v>145.91</v>
      </c>
      <c r="F382" s="14"/>
      <c r="G382" s="15">
        <f t="shared" si="30"/>
        <v>0</v>
      </c>
      <c r="H382" s="14">
        <v>3</v>
      </c>
      <c r="I382" s="15">
        <f t="shared" ref="I382:I405" si="32">I381+G382-H382</f>
        <v>97.707999999999998</v>
      </c>
      <c r="J382" s="14"/>
      <c r="K382" s="13" t="s">
        <v>718</v>
      </c>
    </row>
    <row r="383" spans="1:11" ht="12.6" customHeight="1" x14ac:dyDescent="0.2">
      <c r="A383" s="13">
        <v>42376</v>
      </c>
      <c r="B383" s="19"/>
      <c r="C383" s="15">
        <v>2.5</v>
      </c>
      <c r="D383" s="14"/>
      <c r="E383" s="15">
        <f t="shared" si="31"/>
        <v>148.41</v>
      </c>
      <c r="F383" s="14"/>
      <c r="G383" s="15">
        <f t="shared" si="30"/>
        <v>2.5</v>
      </c>
      <c r="H383" s="14"/>
      <c r="I383" s="15">
        <f t="shared" si="32"/>
        <v>100.208</v>
      </c>
      <c r="J383" s="14"/>
      <c r="K383" s="16"/>
    </row>
    <row r="384" spans="1:11" ht="12.6" customHeight="1" x14ac:dyDescent="0.2">
      <c r="A384" s="13"/>
      <c r="B384" s="19" t="s">
        <v>47</v>
      </c>
      <c r="C384" s="15"/>
      <c r="D384" s="14"/>
      <c r="E384" s="15">
        <f t="shared" si="31"/>
        <v>148.41</v>
      </c>
      <c r="F384" s="14"/>
      <c r="G384" s="15">
        <f t="shared" si="30"/>
        <v>0</v>
      </c>
      <c r="H384" s="14">
        <v>1</v>
      </c>
      <c r="I384" s="15">
        <f t="shared" si="32"/>
        <v>99.207999999999998</v>
      </c>
      <c r="J384" s="14"/>
      <c r="K384" s="13" t="s">
        <v>719</v>
      </c>
    </row>
    <row r="385" spans="1:11" ht="12.6" customHeight="1" x14ac:dyDescent="0.2">
      <c r="A385" s="13"/>
      <c r="B385" s="19" t="s">
        <v>52</v>
      </c>
      <c r="C385" s="15"/>
      <c r="D385" s="14"/>
      <c r="E385" s="15">
        <f t="shared" si="31"/>
        <v>148.41</v>
      </c>
      <c r="F385" s="14"/>
      <c r="G385" s="15">
        <f t="shared" si="30"/>
        <v>0</v>
      </c>
      <c r="H385" s="14">
        <v>2</v>
      </c>
      <c r="I385" s="15">
        <f t="shared" si="32"/>
        <v>97.207999999999998</v>
      </c>
      <c r="J385" s="14"/>
      <c r="K385" s="16" t="s">
        <v>720</v>
      </c>
    </row>
    <row r="386" spans="1:11" ht="12.6" customHeight="1" x14ac:dyDescent="0.2">
      <c r="A386" s="13">
        <v>42377</v>
      </c>
      <c r="B386" s="19"/>
      <c r="C386" s="15">
        <v>1.25</v>
      </c>
      <c r="D386" s="14"/>
      <c r="E386" s="15">
        <f t="shared" si="31"/>
        <v>149.66</v>
      </c>
      <c r="F386" s="14"/>
      <c r="G386" s="15">
        <f t="shared" si="30"/>
        <v>1.25</v>
      </c>
      <c r="H386" s="14"/>
      <c r="I386" s="15">
        <f t="shared" si="32"/>
        <v>98.457999999999998</v>
      </c>
      <c r="J386" s="14"/>
      <c r="K386" s="13"/>
    </row>
    <row r="387" spans="1:11" ht="12.6" customHeight="1" x14ac:dyDescent="0.2">
      <c r="A387" s="13"/>
      <c r="B387" s="19" t="s">
        <v>52</v>
      </c>
      <c r="C387" s="15"/>
      <c r="D387" s="14"/>
      <c r="E387" s="15">
        <f t="shared" si="31"/>
        <v>149.66</v>
      </c>
      <c r="F387" s="14"/>
      <c r="G387" s="15">
        <f t="shared" si="30"/>
        <v>0</v>
      </c>
      <c r="H387" s="14">
        <v>2</v>
      </c>
      <c r="I387" s="15">
        <f t="shared" si="32"/>
        <v>96.457999999999998</v>
      </c>
      <c r="J387" s="14"/>
      <c r="K387" s="13" t="s">
        <v>721</v>
      </c>
    </row>
    <row r="388" spans="1:11" ht="12.6" customHeight="1" x14ac:dyDescent="0.2">
      <c r="A388" s="13">
        <v>42378</v>
      </c>
      <c r="B388" s="19"/>
      <c r="C388" s="15">
        <v>1.25</v>
      </c>
      <c r="D388" s="14"/>
      <c r="E388" s="15">
        <f t="shared" si="31"/>
        <v>150.91</v>
      </c>
      <c r="F388" s="14"/>
      <c r="G388" s="15">
        <f t="shared" si="30"/>
        <v>1.25</v>
      </c>
      <c r="H388" s="14"/>
      <c r="I388" s="15">
        <f t="shared" si="32"/>
        <v>97.707999999999998</v>
      </c>
      <c r="J388" s="14"/>
      <c r="K388" s="16"/>
    </row>
    <row r="389" spans="1:11" ht="12.6" customHeight="1" x14ac:dyDescent="0.2">
      <c r="A389" s="13"/>
      <c r="B389" s="19" t="s">
        <v>47</v>
      </c>
      <c r="C389" s="15"/>
      <c r="D389" s="14"/>
      <c r="E389" s="15">
        <f t="shared" si="31"/>
        <v>150.91</v>
      </c>
      <c r="F389" s="14"/>
      <c r="G389" s="15">
        <f t="shared" si="30"/>
        <v>0</v>
      </c>
      <c r="H389" s="14">
        <v>1</v>
      </c>
      <c r="I389" s="15">
        <f t="shared" si="32"/>
        <v>96.707999999999998</v>
      </c>
      <c r="J389" s="14"/>
      <c r="K389" s="13">
        <v>42560</v>
      </c>
    </row>
    <row r="390" spans="1:11" ht="12.6" customHeight="1" x14ac:dyDescent="0.2">
      <c r="A390" s="13"/>
      <c r="B390" s="19" t="s">
        <v>125</v>
      </c>
      <c r="C390" s="15"/>
      <c r="D390" s="14"/>
      <c r="E390" s="15">
        <f t="shared" si="31"/>
        <v>150.91</v>
      </c>
      <c r="F390" s="14"/>
      <c r="G390" s="15">
        <f t="shared" si="30"/>
        <v>0</v>
      </c>
      <c r="H390" s="14">
        <v>4</v>
      </c>
      <c r="I390" s="15">
        <f t="shared" si="32"/>
        <v>92.707999999999998</v>
      </c>
      <c r="J390" s="14"/>
      <c r="K390" s="16" t="s">
        <v>722</v>
      </c>
    </row>
    <row r="391" spans="1:11" ht="12.6" customHeight="1" x14ac:dyDescent="0.2">
      <c r="A391" s="13">
        <v>42379</v>
      </c>
      <c r="B391" s="19"/>
      <c r="C391" s="15">
        <v>1.25</v>
      </c>
      <c r="D391" s="14"/>
      <c r="E391" s="15">
        <f t="shared" si="31"/>
        <v>152.16</v>
      </c>
      <c r="F391" s="14"/>
      <c r="G391" s="15">
        <f t="shared" si="30"/>
        <v>1.25</v>
      </c>
      <c r="H391" s="14"/>
      <c r="I391" s="15">
        <f t="shared" si="32"/>
        <v>93.957999999999998</v>
      </c>
      <c r="J391" s="14"/>
      <c r="K391" s="13"/>
    </row>
    <row r="392" spans="1:11" ht="12.6" customHeight="1" x14ac:dyDescent="0.2">
      <c r="A392" s="13"/>
      <c r="B392" s="19" t="s">
        <v>47</v>
      </c>
      <c r="C392" s="15"/>
      <c r="D392" s="14"/>
      <c r="E392" s="15">
        <f t="shared" si="31"/>
        <v>152.16</v>
      </c>
      <c r="F392" s="14"/>
      <c r="G392" s="15">
        <f t="shared" si="30"/>
        <v>0</v>
      </c>
      <c r="H392" s="14">
        <v>1</v>
      </c>
      <c r="I392" s="15">
        <f t="shared" si="32"/>
        <v>92.957999999999998</v>
      </c>
      <c r="J392" s="14"/>
      <c r="K392" s="13">
        <v>42439</v>
      </c>
    </row>
    <row r="393" spans="1:11" ht="12.6" customHeight="1" x14ac:dyDescent="0.2">
      <c r="A393" s="13"/>
      <c r="B393" s="19" t="s">
        <v>271</v>
      </c>
      <c r="C393" s="15"/>
      <c r="D393" s="14"/>
      <c r="E393" s="15">
        <f t="shared" si="31"/>
        <v>152.16</v>
      </c>
      <c r="F393" s="14"/>
      <c r="G393" s="15">
        <f t="shared" si="30"/>
        <v>0</v>
      </c>
      <c r="H393" s="14">
        <v>5</v>
      </c>
      <c r="I393" s="15">
        <f t="shared" si="32"/>
        <v>87.957999999999998</v>
      </c>
      <c r="J393" s="14"/>
      <c r="K393" s="13" t="s">
        <v>723</v>
      </c>
    </row>
    <row r="394" spans="1:11" ht="12.6" customHeight="1" x14ac:dyDescent="0.2">
      <c r="A394" s="13"/>
      <c r="B394" s="19"/>
      <c r="C394" s="15"/>
      <c r="D394" s="14"/>
      <c r="E394" s="15">
        <f t="shared" si="31"/>
        <v>152.16</v>
      </c>
      <c r="F394" s="14"/>
      <c r="G394" s="15">
        <f t="shared" si="30"/>
        <v>0</v>
      </c>
      <c r="H394" s="14"/>
      <c r="I394" s="15">
        <f t="shared" si="32"/>
        <v>87.957999999999998</v>
      </c>
      <c r="J394" s="14"/>
      <c r="K394" s="13"/>
    </row>
    <row r="395" spans="1:11" ht="12.6" customHeight="1" x14ac:dyDescent="0.2">
      <c r="A395" s="13">
        <v>42380</v>
      </c>
      <c r="B395" s="19"/>
      <c r="C395" s="15">
        <v>1.25</v>
      </c>
      <c r="D395" s="14"/>
      <c r="E395" s="15">
        <f t="shared" si="31"/>
        <v>153.41</v>
      </c>
      <c r="F395" s="14"/>
      <c r="G395" s="15">
        <f t="shared" si="30"/>
        <v>1.25</v>
      </c>
      <c r="H395" s="14"/>
      <c r="I395" s="15">
        <f t="shared" si="32"/>
        <v>89.207999999999998</v>
      </c>
      <c r="J395" s="14"/>
      <c r="K395" s="13"/>
    </row>
    <row r="396" spans="1:11" ht="12.6" customHeight="1" x14ac:dyDescent="0.2">
      <c r="A396" s="13"/>
      <c r="B396" s="19" t="s">
        <v>47</v>
      </c>
      <c r="C396" s="15"/>
      <c r="D396" s="14"/>
      <c r="E396" s="15">
        <f t="shared" si="31"/>
        <v>153.41</v>
      </c>
      <c r="F396" s="14"/>
      <c r="G396" s="15">
        <f t="shared" si="30"/>
        <v>0</v>
      </c>
      <c r="H396" s="14">
        <v>1</v>
      </c>
      <c r="I396" s="15">
        <f t="shared" si="32"/>
        <v>88.207999999999998</v>
      </c>
      <c r="J396" s="14"/>
      <c r="K396" s="13" t="s">
        <v>724</v>
      </c>
    </row>
    <row r="397" spans="1:11" ht="12.6" customHeight="1" x14ac:dyDescent="0.2">
      <c r="A397" s="13">
        <v>42381</v>
      </c>
      <c r="B397" s="19"/>
      <c r="C397" s="15">
        <v>1.25</v>
      </c>
      <c r="D397" s="15"/>
      <c r="E397" s="15">
        <f t="shared" si="31"/>
        <v>154.66</v>
      </c>
      <c r="F397" s="14"/>
      <c r="G397" s="15">
        <f t="shared" si="30"/>
        <v>1.25</v>
      </c>
      <c r="H397" s="14"/>
      <c r="I397" s="15">
        <f t="shared" si="32"/>
        <v>89.457999999999998</v>
      </c>
      <c r="J397" s="14"/>
      <c r="K397" s="13"/>
    </row>
    <row r="398" spans="1:11" ht="12.6" customHeight="1" x14ac:dyDescent="0.2">
      <c r="A398" s="13"/>
      <c r="B398" s="19" t="s">
        <v>47</v>
      </c>
      <c r="C398" s="15"/>
      <c r="D398" s="14"/>
      <c r="E398" s="15">
        <f t="shared" si="31"/>
        <v>154.66</v>
      </c>
      <c r="F398" s="14"/>
      <c r="G398" s="15">
        <f t="shared" si="30"/>
        <v>0</v>
      </c>
      <c r="H398" s="14">
        <v>1</v>
      </c>
      <c r="I398" s="15">
        <f t="shared" si="32"/>
        <v>88.457999999999998</v>
      </c>
      <c r="J398" s="14"/>
      <c r="K398" s="13">
        <v>42502</v>
      </c>
    </row>
    <row r="399" spans="1:11" ht="12.6" customHeight="1" x14ac:dyDescent="0.2">
      <c r="A399" s="13">
        <v>42736</v>
      </c>
      <c r="B399" s="19"/>
      <c r="C399" s="15">
        <v>1.25</v>
      </c>
      <c r="D399" s="15"/>
      <c r="E399" s="15">
        <f t="shared" si="31"/>
        <v>155.91</v>
      </c>
      <c r="F399" s="14"/>
      <c r="G399" s="15">
        <f t="shared" si="30"/>
        <v>1.25</v>
      </c>
      <c r="H399" s="14"/>
      <c r="I399" s="15">
        <f t="shared" si="32"/>
        <v>89.707999999999998</v>
      </c>
      <c r="J399" s="14"/>
      <c r="K399" s="13"/>
    </row>
    <row r="400" spans="1:11" s="63" customFormat="1" ht="12.6" customHeight="1" x14ac:dyDescent="0.2">
      <c r="A400" s="58"/>
      <c r="B400" s="67" t="s">
        <v>57</v>
      </c>
      <c r="C400" s="60"/>
      <c r="D400" s="61">
        <v>1</v>
      </c>
      <c r="E400" s="60">
        <f t="shared" si="31"/>
        <v>154.91</v>
      </c>
      <c r="F400" s="61"/>
      <c r="G400" s="60">
        <f t="shared" si="30"/>
        <v>0</v>
      </c>
      <c r="H400" s="61"/>
      <c r="I400" s="60">
        <f t="shared" si="32"/>
        <v>89.707999999999998</v>
      </c>
      <c r="J400" s="61"/>
      <c r="K400" s="64" t="s">
        <v>725</v>
      </c>
    </row>
    <row r="401" spans="1:11" ht="12.6" customHeight="1" x14ac:dyDescent="0.2">
      <c r="A401" s="13"/>
      <c r="B401" s="19" t="s">
        <v>726</v>
      </c>
      <c r="C401" s="15"/>
      <c r="D401" s="14">
        <v>2.7130000000000001</v>
      </c>
      <c r="E401" s="15">
        <f t="shared" si="31"/>
        <v>152.197</v>
      </c>
      <c r="F401" s="14"/>
      <c r="G401" s="15">
        <f t="shared" si="30"/>
        <v>0</v>
      </c>
      <c r="H401" s="14"/>
      <c r="I401" s="15">
        <f t="shared" si="32"/>
        <v>89.707999999999998</v>
      </c>
      <c r="J401" s="14"/>
      <c r="K401" s="13" t="s">
        <v>498</v>
      </c>
    </row>
    <row r="402" spans="1:11" ht="12.6" customHeight="1" x14ac:dyDescent="0.2">
      <c r="A402" s="13">
        <v>42738</v>
      </c>
      <c r="B402" s="19"/>
      <c r="C402" s="15">
        <v>2.5</v>
      </c>
      <c r="D402" s="14"/>
      <c r="E402" s="15">
        <f t="shared" si="31"/>
        <v>154.697</v>
      </c>
      <c r="F402" s="14"/>
      <c r="G402" s="15">
        <f t="shared" si="30"/>
        <v>2.5</v>
      </c>
      <c r="H402" s="14"/>
      <c r="I402" s="15">
        <f t="shared" si="32"/>
        <v>92.207999999999998</v>
      </c>
      <c r="J402" s="14"/>
      <c r="K402" s="13"/>
    </row>
    <row r="403" spans="1:11" ht="12.6" customHeight="1" x14ac:dyDescent="0.2">
      <c r="A403" s="13"/>
      <c r="B403" s="19" t="s">
        <v>47</v>
      </c>
      <c r="C403" s="15"/>
      <c r="D403" s="14"/>
      <c r="E403" s="15">
        <f t="shared" si="31"/>
        <v>154.697</v>
      </c>
      <c r="F403" s="14"/>
      <c r="G403" s="15">
        <f t="shared" si="30"/>
        <v>0</v>
      </c>
      <c r="H403" s="14">
        <v>1</v>
      </c>
      <c r="I403" s="15">
        <f t="shared" si="32"/>
        <v>91.207999999999998</v>
      </c>
      <c r="J403" s="14"/>
      <c r="K403" s="13" t="s">
        <v>727</v>
      </c>
    </row>
    <row r="404" spans="1:11" ht="12.6" customHeight="1" x14ac:dyDescent="0.2">
      <c r="A404" s="13">
        <v>42742</v>
      </c>
      <c r="B404" s="19"/>
      <c r="C404" s="15">
        <v>5</v>
      </c>
      <c r="D404" s="14"/>
      <c r="E404" s="15">
        <f t="shared" si="31"/>
        <v>159.697</v>
      </c>
      <c r="F404" s="14"/>
      <c r="G404" s="15">
        <f t="shared" si="30"/>
        <v>5</v>
      </c>
      <c r="H404" s="14"/>
      <c r="I404" s="15">
        <f t="shared" si="32"/>
        <v>96.207999999999998</v>
      </c>
      <c r="J404" s="14"/>
      <c r="K404" s="16"/>
    </row>
    <row r="405" spans="1:11" ht="12.6" customHeight="1" x14ac:dyDescent="0.2">
      <c r="A405" s="13"/>
      <c r="B405" s="19" t="s">
        <v>52</v>
      </c>
      <c r="C405" s="15"/>
      <c r="D405" s="14"/>
      <c r="E405" s="15">
        <f t="shared" si="31"/>
        <v>159.697</v>
      </c>
      <c r="F405" s="14"/>
      <c r="G405" s="15">
        <f t="shared" si="30"/>
        <v>0</v>
      </c>
      <c r="H405" s="14">
        <v>2</v>
      </c>
      <c r="I405" s="15">
        <f t="shared" si="32"/>
        <v>94.207999999999998</v>
      </c>
      <c r="J405" s="14"/>
      <c r="K405" s="16" t="s">
        <v>728</v>
      </c>
    </row>
    <row r="406" spans="1:11" ht="12.6" customHeight="1" x14ac:dyDescent="0.2">
      <c r="A406" s="19"/>
      <c r="B406" s="19"/>
      <c r="C406" s="36">
        <f>SUM(C380:C405)</f>
        <v>17.5</v>
      </c>
      <c r="D406" s="36">
        <f>SUM(D380:D405)</f>
        <v>7.7130000000000001</v>
      </c>
      <c r="E406" s="36"/>
      <c r="F406" s="37"/>
      <c r="G406" s="36">
        <f>SUM(G380:G405)</f>
        <v>17.5</v>
      </c>
      <c r="H406" s="36">
        <f>SUM(H380:H405)</f>
        <v>25</v>
      </c>
      <c r="I406" s="15"/>
      <c r="J406" s="14"/>
      <c r="K406" s="16"/>
    </row>
    <row r="407" spans="1:11" ht="12.6" customHeight="1" x14ac:dyDescent="0.2">
      <c r="H407" s="27" t="s">
        <v>23</v>
      </c>
      <c r="J407" s="27" t="s">
        <v>28</v>
      </c>
    </row>
    <row r="409" spans="1:11" ht="12.6" customHeight="1" x14ac:dyDescent="0.2">
      <c r="A409" s="102" t="str">
        <f>A1</f>
        <v>CATAPANG, CRISPIN JR. D.</v>
      </c>
      <c r="B409" s="102"/>
      <c r="C409" s="102"/>
      <c r="D409" s="102"/>
      <c r="E409" s="102"/>
      <c r="F409" s="102"/>
      <c r="G409" s="102"/>
      <c r="H409" s="1"/>
      <c r="I409" s="103" t="s">
        <v>0</v>
      </c>
      <c r="J409" s="103"/>
      <c r="K409" s="2" t="str">
        <f>K1</f>
        <v>AUGUST 02, 1995</v>
      </c>
    </row>
    <row r="411" spans="1:11" ht="12.6" customHeight="1" x14ac:dyDescent="0.2">
      <c r="A411" s="104" t="s">
        <v>1</v>
      </c>
      <c r="B411" s="104" t="s">
        <v>2</v>
      </c>
      <c r="C411" s="107" t="s">
        <v>3</v>
      </c>
      <c r="D411" s="108"/>
      <c r="E411" s="108"/>
      <c r="F411" s="109"/>
      <c r="G411" s="107" t="s">
        <v>4</v>
      </c>
      <c r="H411" s="108"/>
      <c r="I411" s="108"/>
      <c r="J411" s="109"/>
      <c r="K411" s="4"/>
    </row>
    <row r="412" spans="1:11" ht="12.6" customHeight="1" x14ac:dyDescent="0.2">
      <c r="A412" s="105"/>
      <c r="B412" s="105"/>
      <c r="C412" s="94" t="s">
        <v>6</v>
      </c>
      <c r="D412" s="5" t="s">
        <v>7</v>
      </c>
      <c r="E412" s="94" t="s">
        <v>8</v>
      </c>
      <c r="F412" s="6" t="s">
        <v>7</v>
      </c>
      <c r="G412" s="94" t="s">
        <v>6</v>
      </c>
      <c r="H412" s="5" t="s">
        <v>7</v>
      </c>
      <c r="I412" s="94" t="s">
        <v>8</v>
      </c>
      <c r="J412" s="1" t="s">
        <v>7</v>
      </c>
      <c r="K412" s="7"/>
    </row>
    <row r="413" spans="1:11" ht="12.6" customHeight="1" x14ac:dyDescent="0.2">
      <c r="A413" s="105"/>
      <c r="B413" s="105"/>
      <c r="C413" s="95"/>
      <c r="D413" s="8" t="s">
        <v>10</v>
      </c>
      <c r="E413" s="95"/>
      <c r="F413" s="6" t="s">
        <v>10</v>
      </c>
      <c r="G413" s="95"/>
      <c r="H413" s="8" t="s">
        <v>10</v>
      </c>
      <c r="I413" s="95"/>
      <c r="J413" s="1" t="s">
        <v>10</v>
      </c>
      <c r="K413" s="7"/>
    </row>
    <row r="414" spans="1:11" ht="12.6" customHeight="1" x14ac:dyDescent="0.2">
      <c r="A414" s="106"/>
      <c r="B414" s="106"/>
      <c r="C414" s="96"/>
      <c r="D414" s="9" t="s">
        <v>12</v>
      </c>
      <c r="E414" s="96"/>
      <c r="F414" s="10" t="s">
        <v>13</v>
      </c>
      <c r="G414" s="96"/>
      <c r="H414" s="9" t="s">
        <v>12</v>
      </c>
      <c r="I414" s="96"/>
      <c r="J414" s="11" t="s">
        <v>13</v>
      </c>
      <c r="K414" s="12"/>
    </row>
    <row r="415" spans="1:11" ht="12.6" customHeight="1" x14ac:dyDescent="0.2">
      <c r="A415" s="13">
        <v>42743</v>
      </c>
      <c r="B415" s="19"/>
      <c r="C415" s="15">
        <v>1.25</v>
      </c>
      <c r="D415" s="14"/>
      <c r="E415" s="15">
        <f>E405+C415-D415</f>
        <v>160.947</v>
      </c>
      <c r="F415" s="14"/>
      <c r="G415" s="15">
        <f>C415</f>
        <v>1.25</v>
      </c>
      <c r="H415" s="14"/>
      <c r="I415" s="15">
        <f>I405+G415-H415</f>
        <v>95.457999999999998</v>
      </c>
      <c r="J415" s="14"/>
      <c r="K415" s="16"/>
    </row>
    <row r="416" spans="1:11" ht="12.6" customHeight="1" x14ac:dyDescent="0.2">
      <c r="A416" s="13"/>
      <c r="B416" s="19" t="s">
        <v>67</v>
      </c>
      <c r="C416" s="15"/>
      <c r="D416" s="14"/>
      <c r="E416" s="15">
        <f>E415+C416-D416</f>
        <v>160.947</v>
      </c>
      <c r="F416" s="14"/>
      <c r="G416" s="15">
        <f t="shared" ref="G416:G440" si="33">C416</f>
        <v>0</v>
      </c>
      <c r="H416" s="14">
        <v>3</v>
      </c>
      <c r="I416" s="15">
        <f>I415+G416-H416</f>
        <v>92.457999999999998</v>
      </c>
      <c r="J416" s="14"/>
      <c r="K416" s="13" t="s">
        <v>729</v>
      </c>
    </row>
    <row r="417" spans="1:11" ht="12.6" customHeight="1" x14ac:dyDescent="0.2">
      <c r="A417" s="13"/>
      <c r="B417" s="19" t="s">
        <v>90</v>
      </c>
      <c r="C417" s="15"/>
      <c r="D417" s="14"/>
      <c r="E417" s="15">
        <f t="shared" ref="E417:E440" si="34">E416+C417-D417</f>
        <v>160.947</v>
      </c>
      <c r="F417" s="14"/>
      <c r="G417" s="15">
        <f t="shared" si="33"/>
        <v>0</v>
      </c>
      <c r="H417" s="14"/>
      <c r="I417" s="15">
        <f t="shared" ref="I417:I440" si="35">I416+G417-H417</f>
        <v>92.457999999999998</v>
      </c>
      <c r="J417" s="14"/>
      <c r="K417" s="13" t="s">
        <v>730</v>
      </c>
    </row>
    <row r="418" spans="1:11" ht="12.6" customHeight="1" x14ac:dyDescent="0.2">
      <c r="A418" s="13">
        <v>42744</v>
      </c>
      <c r="B418" s="19"/>
      <c r="C418" s="15">
        <v>1.25</v>
      </c>
      <c r="D418" s="14"/>
      <c r="E418" s="15">
        <f t="shared" si="34"/>
        <v>162.197</v>
      </c>
      <c r="F418" s="14"/>
      <c r="G418" s="15">
        <f t="shared" si="33"/>
        <v>1.25</v>
      </c>
      <c r="H418" s="14"/>
      <c r="I418" s="15">
        <f t="shared" si="35"/>
        <v>93.707999999999998</v>
      </c>
      <c r="J418" s="14"/>
      <c r="K418" s="16"/>
    </row>
    <row r="419" spans="1:11" ht="12.6" customHeight="1" x14ac:dyDescent="0.2">
      <c r="A419" s="13"/>
      <c r="B419" s="19" t="s">
        <v>47</v>
      </c>
      <c r="C419" s="15"/>
      <c r="D419" s="14"/>
      <c r="E419" s="15">
        <f t="shared" si="34"/>
        <v>162.197</v>
      </c>
      <c r="F419" s="14"/>
      <c r="G419" s="15">
        <f t="shared" si="33"/>
        <v>0</v>
      </c>
      <c r="H419" s="14">
        <v>1</v>
      </c>
      <c r="I419" s="15">
        <f t="shared" si="35"/>
        <v>92.707999999999998</v>
      </c>
      <c r="J419" s="14"/>
      <c r="K419" s="13">
        <v>42834</v>
      </c>
    </row>
    <row r="420" spans="1:11" ht="12.6" customHeight="1" x14ac:dyDescent="0.2">
      <c r="A420" s="13"/>
      <c r="B420" s="19" t="s">
        <v>47</v>
      </c>
      <c r="C420" s="15"/>
      <c r="D420" s="14"/>
      <c r="E420" s="15">
        <f t="shared" si="34"/>
        <v>162.197</v>
      </c>
      <c r="F420" s="14"/>
      <c r="G420" s="15">
        <f t="shared" si="33"/>
        <v>0</v>
      </c>
      <c r="H420" s="14">
        <v>1</v>
      </c>
      <c r="I420" s="15">
        <f t="shared" si="35"/>
        <v>91.707999999999998</v>
      </c>
      <c r="J420" s="14"/>
      <c r="K420" s="16" t="s">
        <v>731</v>
      </c>
    </row>
    <row r="421" spans="1:11" ht="12.6" customHeight="1" x14ac:dyDescent="0.2">
      <c r="A421" s="13">
        <v>42746</v>
      </c>
      <c r="B421" s="19"/>
      <c r="C421" s="15">
        <v>2.5</v>
      </c>
      <c r="D421" s="14"/>
      <c r="E421" s="15">
        <f t="shared" si="34"/>
        <v>164.697</v>
      </c>
      <c r="F421" s="14"/>
      <c r="G421" s="15">
        <f t="shared" si="33"/>
        <v>2.5</v>
      </c>
      <c r="H421" s="14"/>
      <c r="I421" s="15">
        <f t="shared" si="35"/>
        <v>94.207999999999998</v>
      </c>
      <c r="J421" s="14"/>
      <c r="K421" s="13"/>
    </row>
    <row r="422" spans="1:11" ht="12.6" customHeight="1" x14ac:dyDescent="0.2">
      <c r="A422" s="13"/>
      <c r="B422" s="19" t="s">
        <v>56</v>
      </c>
      <c r="C422" s="15"/>
      <c r="D422" s="14">
        <v>4</v>
      </c>
      <c r="E422" s="15">
        <f t="shared" si="34"/>
        <v>160.697</v>
      </c>
      <c r="F422" s="14"/>
      <c r="G422" s="15">
        <f t="shared" si="33"/>
        <v>0</v>
      </c>
      <c r="H422" s="14"/>
      <c r="I422" s="15">
        <f t="shared" si="35"/>
        <v>94.207999999999998</v>
      </c>
      <c r="J422" s="14"/>
      <c r="K422" s="13" t="s">
        <v>732</v>
      </c>
    </row>
    <row r="423" spans="1:11" ht="12.6" customHeight="1" x14ac:dyDescent="0.2">
      <c r="A423" s="13"/>
      <c r="B423" s="19" t="s">
        <v>52</v>
      </c>
      <c r="C423" s="15"/>
      <c r="D423" s="14"/>
      <c r="E423" s="15">
        <f t="shared" si="34"/>
        <v>160.697</v>
      </c>
      <c r="F423" s="14"/>
      <c r="G423" s="15">
        <f t="shared" si="33"/>
        <v>0</v>
      </c>
      <c r="H423" s="14">
        <v>2</v>
      </c>
      <c r="I423" s="15">
        <f t="shared" si="35"/>
        <v>92.207999999999998</v>
      </c>
      <c r="J423" s="14"/>
      <c r="K423" s="16" t="s">
        <v>733</v>
      </c>
    </row>
    <row r="424" spans="1:11" ht="12.6" customHeight="1" x14ac:dyDescent="0.2">
      <c r="A424" s="13">
        <v>43101</v>
      </c>
      <c r="B424" s="19"/>
      <c r="C424" s="15">
        <v>2.5</v>
      </c>
      <c r="D424" s="14"/>
      <c r="E424" s="15">
        <f t="shared" si="34"/>
        <v>163.197</v>
      </c>
      <c r="F424" s="14"/>
      <c r="G424" s="15">
        <f t="shared" si="33"/>
        <v>2.5</v>
      </c>
      <c r="H424" s="14"/>
      <c r="I424" s="15">
        <f t="shared" si="35"/>
        <v>94.707999999999998</v>
      </c>
      <c r="J424" s="14"/>
      <c r="K424" s="16"/>
    </row>
    <row r="425" spans="1:11" s="63" customFormat="1" ht="12.6" customHeight="1" x14ac:dyDescent="0.2">
      <c r="A425" s="58"/>
      <c r="B425" s="67" t="s">
        <v>57</v>
      </c>
      <c r="C425" s="60"/>
      <c r="D425" s="61">
        <v>1</v>
      </c>
      <c r="E425" s="60">
        <f t="shared" si="34"/>
        <v>162.197</v>
      </c>
      <c r="F425" s="61"/>
      <c r="G425" s="60">
        <f t="shared" si="33"/>
        <v>0</v>
      </c>
      <c r="H425" s="61"/>
      <c r="I425" s="60">
        <f t="shared" si="35"/>
        <v>94.707999999999998</v>
      </c>
      <c r="J425" s="61"/>
      <c r="K425" s="64" t="s">
        <v>734</v>
      </c>
    </row>
    <row r="426" spans="1:11" ht="12.6" customHeight="1" x14ac:dyDescent="0.2">
      <c r="A426" s="13"/>
      <c r="B426" s="19" t="s">
        <v>735</v>
      </c>
      <c r="C426" s="15"/>
      <c r="D426" s="14">
        <v>0.54200000000000004</v>
      </c>
      <c r="E426" s="15">
        <f t="shared" si="34"/>
        <v>161.655</v>
      </c>
      <c r="F426" s="14"/>
      <c r="G426" s="15">
        <f t="shared" si="33"/>
        <v>0</v>
      </c>
      <c r="H426" s="14"/>
      <c r="I426" s="15">
        <f t="shared" si="35"/>
        <v>94.707999999999998</v>
      </c>
      <c r="J426" s="14"/>
      <c r="K426" s="13" t="s">
        <v>513</v>
      </c>
    </row>
    <row r="427" spans="1:11" ht="12.6" customHeight="1" x14ac:dyDescent="0.2">
      <c r="A427" s="13">
        <v>43102</v>
      </c>
      <c r="B427" s="19"/>
      <c r="C427" s="15">
        <v>1.25</v>
      </c>
      <c r="D427" s="14"/>
      <c r="E427" s="15">
        <f t="shared" si="34"/>
        <v>162.905</v>
      </c>
      <c r="F427" s="14"/>
      <c r="G427" s="15">
        <f t="shared" si="33"/>
        <v>1.25</v>
      </c>
      <c r="H427" s="14"/>
      <c r="I427" s="15">
        <f t="shared" si="35"/>
        <v>95.957999999999998</v>
      </c>
      <c r="J427" s="14"/>
      <c r="K427" s="13"/>
    </row>
    <row r="428" spans="1:11" ht="12.6" customHeight="1" x14ac:dyDescent="0.2">
      <c r="A428" s="13"/>
      <c r="B428" s="19" t="s">
        <v>47</v>
      </c>
      <c r="C428" s="15"/>
      <c r="D428" s="14"/>
      <c r="E428" s="15">
        <f t="shared" si="34"/>
        <v>162.905</v>
      </c>
      <c r="F428" s="14"/>
      <c r="G428" s="15">
        <f t="shared" si="33"/>
        <v>0</v>
      </c>
      <c r="H428" s="14">
        <v>1</v>
      </c>
      <c r="I428" s="15">
        <f t="shared" si="35"/>
        <v>94.957999999999998</v>
      </c>
      <c r="J428" s="14"/>
      <c r="K428" s="13">
        <v>43314</v>
      </c>
    </row>
    <row r="429" spans="1:11" ht="12.6" customHeight="1" x14ac:dyDescent="0.2">
      <c r="A429" s="13">
        <v>43103</v>
      </c>
      <c r="B429" s="19"/>
      <c r="C429" s="15">
        <v>1.25</v>
      </c>
      <c r="D429" s="14"/>
      <c r="E429" s="15">
        <f t="shared" si="34"/>
        <v>164.155</v>
      </c>
      <c r="F429" s="14"/>
      <c r="G429" s="15">
        <f t="shared" si="33"/>
        <v>1.25</v>
      </c>
      <c r="H429" s="14"/>
      <c r="I429" s="15">
        <f t="shared" si="35"/>
        <v>96.207999999999998</v>
      </c>
      <c r="J429" s="14"/>
      <c r="K429" s="13"/>
    </row>
    <row r="430" spans="1:11" ht="12.6" customHeight="1" x14ac:dyDescent="0.2">
      <c r="A430" s="13"/>
      <c r="B430" s="19" t="s">
        <v>52</v>
      </c>
      <c r="C430" s="15"/>
      <c r="D430" s="14"/>
      <c r="E430" s="15">
        <f t="shared" si="34"/>
        <v>164.155</v>
      </c>
      <c r="F430" s="14"/>
      <c r="G430" s="15">
        <f t="shared" si="33"/>
        <v>0</v>
      </c>
      <c r="H430" s="14">
        <v>2</v>
      </c>
      <c r="I430" s="15">
        <f t="shared" si="35"/>
        <v>94.207999999999998</v>
      </c>
      <c r="J430" s="14"/>
      <c r="K430" s="13" t="s">
        <v>736</v>
      </c>
    </row>
    <row r="431" spans="1:11" ht="12.6" customHeight="1" x14ac:dyDescent="0.2">
      <c r="A431" s="13">
        <v>43104</v>
      </c>
      <c r="B431" s="19"/>
      <c r="C431" s="15">
        <v>1.25</v>
      </c>
      <c r="D431" s="14"/>
      <c r="E431" s="15">
        <f t="shared" si="34"/>
        <v>165.405</v>
      </c>
      <c r="F431" s="14"/>
      <c r="G431" s="15">
        <f t="shared" si="33"/>
        <v>1.25</v>
      </c>
      <c r="H431" s="14"/>
      <c r="I431" s="15">
        <f t="shared" si="35"/>
        <v>95.457999999999998</v>
      </c>
      <c r="J431" s="14"/>
      <c r="K431" s="13"/>
    </row>
    <row r="432" spans="1:11" ht="12.6" customHeight="1" x14ac:dyDescent="0.2">
      <c r="A432" s="13"/>
      <c r="B432" s="19" t="s">
        <v>47</v>
      </c>
      <c r="C432" s="15"/>
      <c r="D432" s="15"/>
      <c r="E432" s="15">
        <f t="shared" si="34"/>
        <v>165.405</v>
      </c>
      <c r="F432" s="14"/>
      <c r="G432" s="15">
        <f t="shared" si="33"/>
        <v>0</v>
      </c>
      <c r="H432" s="14">
        <v>1</v>
      </c>
      <c r="I432" s="15">
        <f t="shared" si="35"/>
        <v>94.457999999999998</v>
      </c>
      <c r="J432" s="14"/>
      <c r="K432" s="13" t="s">
        <v>737</v>
      </c>
    </row>
    <row r="433" spans="1:11" ht="12.6" customHeight="1" x14ac:dyDescent="0.2">
      <c r="A433" s="13">
        <v>43105</v>
      </c>
      <c r="B433" s="19"/>
      <c r="C433" s="15">
        <v>1.25</v>
      </c>
      <c r="D433" s="14"/>
      <c r="E433" s="15">
        <f t="shared" si="34"/>
        <v>166.655</v>
      </c>
      <c r="F433" s="14"/>
      <c r="G433" s="15">
        <f t="shared" si="33"/>
        <v>1.25</v>
      </c>
      <c r="H433" s="14"/>
      <c r="I433" s="15">
        <f t="shared" si="35"/>
        <v>95.707999999999998</v>
      </c>
      <c r="J433" s="14"/>
      <c r="K433" s="16"/>
    </row>
    <row r="434" spans="1:11" ht="12.6" customHeight="1" x14ac:dyDescent="0.2">
      <c r="A434" s="13"/>
      <c r="B434" s="19" t="s">
        <v>47</v>
      </c>
      <c r="C434" s="15"/>
      <c r="D434" s="15"/>
      <c r="E434" s="15">
        <f t="shared" si="34"/>
        <v>166.655</v>
      </c>
      <c r="F434" s="14"/>
      <c r="G434" s="15">
        <f t="shared" si="33"/>
        <v>0</v>
      </c>
      <c r="H434" s="14">
        <v>1</v>
      </c>
      <c r="I434" s="15">
        <f t="shared" si="35"/>
        <v>94.707999999999998</v>
      </c>
      <c r="J434" s="14"/>
      <c r="K434" s="13" t="s">
        <v>738</v>
      </c>
    </row>
    <row r="435" spans="1:11" ht="12.6" customHeight="1" x14ac:dyDescent="0.2">
      <c r="A435" s="13">
        <v>43106</v>
      </c>
      <c r="B435" s="19"/>
      <c r="C435" s="15">
        <v>1.25</v>
      </c>
      <c r="D435" s="14"/>
      <c r="E435" s="15">
        <f t="shared" si="34"/>
        <v>167.905</v>
      </c>
      <c r="F435" s="14"/>
      <c r="G435" s="15">
        <f t="shared" si="33"/>
        <v>1.25</v>
      </c>
      <c r="H435" s="14"/>
      <c r="I435" s="15">
        <f t="shared" si="35"/>
        <v>95.957999999999998</v>
      </c>
      <c r="J435" s="14"/>
      <c r="K435" s="13"/>
    </row>
    <row r="436" spans="1:11" ht="12.6" customHeight="1" x14ac:dyDescent="0.2">
      <c r="A436" s="13"/>
      <c r="B436" s="19" t="s">
        <v>47</v>
      </c>
      <c r="C436" s="15"/>
      <c r="D436" s="14"/>
      <c r="E436" s="15">
        <f t="shared" si="34"/>
        <v>167.905</v>
      </c>
      <c r="F436" s="14"/>
      <c r="G436" s="15">
        <f t="shared" si="33"/>
        <v>0</v>
      </c>
      <c r="H436" s="14">
        <v>1</v>
      </c>
      <c r="I436" s="15">
        <f t="shared" si="35"/>
        <v>94.957999999999998</v>
      </c>
      <c r="J436" s="14"/>
      <c r="K436" s="13" t="s">
        <v>739</v>
      </c>
    </row>
    <row r="437" spans="1:11" ht="12.6" customHeight="1" x14ac:dyDescent="0.2">
      <c r="A437" s="13">
        <v>43107</v>
      </c>
      <c r="B437" s="19"/>
      <c r="C437" s="15">
        <v>1.25</v>
      </c>
      <c r="D437" s="14"/>
      <c r="E437" s="15">
        <f t="shared" si="34"/>
        <v>169.155</v>
      </c>
      <c r="F437" s="14"/>
      <c r="G437" s="15">
        <f t="shared" si="33"/>
        <v>1.25</v>
      </c>
      <c r="H437" s="14"/>
      <c r="I437" s="15">
        <f t="shared" si="35"/>
        <v>96.207999999999998</v>
      </c>
      <c r="J437" s="14"/>
      <c r="K437" s="13"/>
    </row>
    <row r="438" spans="1:11" ht="12.6" customHeight="1" x14ac:dyDescent="0.2">
      <c r="A438" s="13"/>
      <c r="B438" s="19" t="s">
        <v>47</v>
      </c>
      <c r="C438" s="15"/>
      <c r="D438" s="14"/>
      <c r="E438" s="15">
        <f t="shared" si="34"/>
        <v>169.155</v>
      </c>
      <c r="F438" s="14"/>
      <c r="G438" s="15">
        <f t="shared" si="33"/>
        <v>0</v>
      </c>
      <c r="H438" s="14">
        <v>1</v>
      </c>
      <c r="I438" s="15">
        <f t="shared" si="35"/>
        <v>95.207999999999998</v>
      </c>
      <c r="J438" s="14"/>
      <c r="K438" s="13">
        <v>43350</v>
      </c>
    </row>
    <row r="439" spans="1:11" ht="12.6" customHeight="1" x14ac:dyDescent="0.2">
      <c r="A439" s="13"/>
      <c r="B439" s="19" t="s">
        <v>271</v>
      </c>
      <c r="C439" s="15"/>
      <c r="D439" s="14"/>
      <c r="E439" s="15">
        <f t="shared" si="34"/>
        <v>169.155</v>
      </c>
      <c r="F439" s="14"/>
      <c r="G439" s="15">
        <f t="shared" si="33"/>
        <v>0</v>
      </c>
      <c r="H439" s="14">
        <v>5</v>
      </c>
      <c r="I439" s="15">
        <f t="shared" si="35"/>
        <v>90.207999999999998</v>
      </c>
      <c r="J439" s="14"/>
      <c r="K439" s="16" t="s">
        <v>740</v>
      </c>
    </row>
    <row r="440" spans="1:11" ht="12.6" customHeight="1" x14ac:dyDescent="0.2">
      <c r="A440" s="13">
        <v>43108</v>
      </c>
      <c r="B440" s="19"/>
      <c r="C440" s="15">
        <v>1.25</v>
      </c>
      <c r="D440" s="14"/>
      <c r="E440" s="15">
        <f t="shared" si="34"/>
        <v>170.405</v>
      </c>
      <c r="F440" s="14"/>
      <c r="G440" s="15">
        <f t="shared" si="33"/>
        <v>1.25</v>
      </c>
      <c r="H440" s="14"/>
      <c r="I440" s="15">
        <f t="shared" si="35"/>
        <v>91.457999999999998</v>
      </c>
      <c r="J440" s="14"/>
      <c r="K440" s="16"/>
    </row>
    <row r="441" spans="1:11" ht="12.6" customHeight="1" x14ac:dyDescent="0.2">
      <c r="A441" s="19"/>
      <c r="B441" s="19"/>
      <c r="C441" s="36">
        <f>SUM(C415:C440)</f>
        <v>16.25</v>
      </c>
      <c r="D441" s="36">
        <f>SUM(D415:D440)</f>
        <v>5.5419999999999998</v>
      </c>
      <c r="E441" s="36"/>
      <c r="F441" s="37"/>
      <c r="G441" s="36">
        <f>SUM(G415:G440)</f>
        <v>16.25</v>
      </c>
      <c r="H441" s="36">
        <f>SUM(H415:H440)</f>
        <v>19</v>
      </c>
      <c r="I441" s="15"/>
      <c r="J441" s="14"/>
      <c r="K441" s="16"/>
    </row>
    <row r="442" spans="1:11" ht="12.6" customHeight="1" x14ac:dyDescent="0.2">
      <c r="H442" s="27" t="s">
        <v>23</v>
      </c>
      <c r="J442" s="27" t="s">
        <v>29</v>
      </c>
    </row>
    <row r="443" spans="1:11" ht="12.6" customHeight="1" x14ac:dyDescent="0.2">
      <c r="A443" s="102"/>
      <c r="B443" s="102"/>
      <c r="C443" s="102"/>
      <c r="D443" s="40"/>
      <c r="E443" s="41"/>
      <c r="F443" s="40"/>
      <c r="G443" s="41"/>
      <c r="H443" s="1"/>
      <c r="I443" s="3"/>
      <c r="J443" s="3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3">
      <c r="A446" s="43"/>
      <c r="B446" s="43"/>
      <c r="C446" s="43"/>
      <c r="D446" s="40"/>
      <c r="E446" s="41"/>
      <c r="F446" s="40"/>
      <c r="G446" s="41"/>
      <c r="H446" s="1"/>
      <c r="I446" s="44"/>
      <c r="J446" s="45"/>
      <c r="K446" s="42"/>
    </row>
    <row r="447" spans="1:11" ht="12.6" customHeight="1" x14ac:dyDescent="0.3">
      <c r="A447" s="43"/>
      <c r="B447" s="43"/>
      <c r="C447" s="43"/>
      <c r="D447" s="40"/>
      <c r="E447" s="41"/>
      <c r="F447" s="40"/>
      <c r="G447" s="41"/>
      <c r="H447" s="1"/>
      <c r="I447" s="44"/>
      <c r="J447" s="45"/>
      <c r="K447" s="42"/>
    </row>
    <row r="448" spans="1:11" ht="12.6" customHeight="1" x14ac:dyDescent="0.2">
      <c r="A448" s="102" t="str">
        <f>A1</f>
        <v>CATAPANG, CRISPIN JR. D.</v>
      </c>
      <c r="B448" s="102"/>
      <c r="C448" s="102"/>
      <c r="D448" s="102"/>
      <c r="E448" s="102"/>
      <c r="F448" s="102"/>
      <c r="G448" s="102"/>
      <c r="H448" s="1"/>
      <c r="I448" s="103" t="s">
        <v>0</v>
      </c>
      <c r="J448" s="103"/>
      <c r="K448" s="2" t="str">
        <f>K1</f>
        <v>AUGUST 02, 1995</v>
      </c>
    </row>
    <row r="450" spans="1:11" ht="12.6" customHeight="1" x14ac:dyDescent="0.2">
      <c r="A450" s="104" t="s">
        <v>1</v>
      </c>
      <c r="B450" s="104" t="s">
        <v>2</v>
      </c>
      <c r="C450" s="107" t="s">
        <v>3</v>
      </c>
      <c r="D450" s="108"/>
      <c r="E450" s="108"/>
      <c r="F450" s="109"/>
      <c r="G450" s="107" t="s">
        <v>4</v>
      </c>
      <c r="H450" s="108"/>
      <c r="I450" s="108"/>
      <c r="J450" s="109"/>
      <c r="K450" s="4"/>
    </row>
    <row r="451" spans="1:11" ht="12.6" customHeight="1" x14ac:dyDescent="0.2">
      <c r="A451" s="105"/>
      <c r="B451" s="105"/>
      <c r="C451" s="94" t="s">
        <v>6</v>
      </c>
      <c r="D451" s="5" t="s">
        <v>7</v>
      </c>
      <c r="E451" s="94" t="s">
        <v>8</v>
      </c>
      <c r="F451" s="6" t="s">
        <v>7</v>
      </c>
      <c r="G451" s="94" t="s">
        <v>6</v>
      </c>
      <c r="H451" s="5" t="s">
        <v>7</v>
      </c>
      <c r="I451" s="94" t="s">
        <v>8</v>
      </c>
      <c r="J451" s="1" t="s">
        <v>7</v>
      </c>
      <c r="K451" s="7"/>
    </row>
    <row r="452" spans="1:11" ht="12.6" customHeight="1" x14ac:dyDescent="0.2">
      <c r="A452" s="105"/>
      <c r="B452" s="105"/>
      <c r="C452" s="95"/>
      <c r="D452" s="8" t="s">
        <v>10</v>
      </c>
      <c r="E452" s="95"/>
      <c r="F452" s="6" t="s">
        <v>10</v>
      </c>
      <c r="G452" s="95"/>
      <c r="H452" s="8" t="s">
        <v>10</v>
      </c>
      <c r="I452" s="95"/>
      <c r="J452" s="1" t="s">
        <v>10</v>
      </c>
      <c r="K452" s="7"/>
    </row>
    <row r="453" spans="1:11" ht="12.6" customHeight="1" x14ac:dyDescent="0.2">
      <c r="A453" s="106"/>
      <c r="B453" s="106"/>
      <c r="C453" s="96"/>
      <c r="D453" s="9" t="s">
        <v>12</v>
      </c>
      <c r="E453" s="96"/>
      <c r="F453" s="10" t="s">
        <v>13</v>
      </c>
      <c r="G453" s="96"/>
      <c r="H453" s="9" t="s">
        <v>12</v>
      </c>
      <c r="I453" s="96"/>
      <c r="J453" s="11" t="s">
        <v>13</v>
      </c>
      <c r="K453" s="12"/>
    </row>
    <row r="454" spans="1:11" ht="12.6" customHeight="1" x14ac:dyDescent="0.2">
      <c r="A454" s="13"/>
      <c r="B454" s="19" t="s">
        <v>184</v>
      </c>
      <c r="C454" s="15"/>
      <c r="D454" s="14">
        <v>10</v>
      </c>
      <c r="E454" s="15">
        <f>E440+C454-D454</f>
        <v>160.405</v>
      </c>
      <c r="F454" s="14"/>
      <c r="G454" s="15">
        <f>C454</f>
        <v>0</v>
      </c>
      <c r="H454" s="14"/>
      <c r="I454" s="15">
        <f>I440+G454-H454</f>
        <v>91.457999999999998</v>
      </c>
      <c r="J454" s="14"/>
      <c r="K454" s="75" t="s">
        <v>741</v>
      </c>
    </row>
    <row r="455" spans="1:11" ht="12.6" customHeight="1" x14ac:dyDescent="0.2">
      <c r="A455" s="13"/>
      <c r="B455" s="19" t="s">
        <v>47</v>
      </c>
      <c r="C455" s="15"/>
      <c r="D455" s="14"/>
      <c r="E455" s="15">
        <f>E454+C455-D455</f>
        <v>160.405</v>
      </c>
      <c r="F455" s="14"/>
      <c r="G455" s="15">
        <f t="shared" ref="G455:G479" si="36">C455</f>
        <v>0</v>
      </c>
      <c r="H455" s="14">
        <v>1</v>
      </c>
      <c r="I455" s="15">
        <f>I454+G455-H455</f>
        <v>90.457999999999998</v>
      </c>
      <c r="J455" s="14"/>
      <c r="K455" s="13" t="s">
        <v>742</v>
      </c>
    </row>
    <row r="456" spans="1:11" ht="12.6" customHeight="1" x14ac:dyDescent="0.2">
      <c r="A456" s="13">
        <v>43110</v>
      </c>
      <c r="B456" s="19"/>
      <c r="C456" s="15">
        <v>2.5</v>
      </c>
      <c r="D456" s="14"/>
      <c r="E456" s="15">
        <f t="shared" ref="E456:E479" si="37">E455+C456-D456</f>
        <v>162.905</v>
      </c>
      <c r="F456" s="14"/>
      <c r="G456" s="15">
        <f t="shared" si="36"/>
        <v>2.5</v>
      </c>
      <c r="H456" s="14"/>
      <c r="I456" s="15">
        <f t="shared" ref="I456:I479" si="38">I455+G456-H456</f>
        <v>92.957999999999998</v>
      </c>
      <c r="J456" s="14"/>
      <c r="K456" s="13"/>
    </row>
    <row r="457" spans="1:11" ht="12.6" customHeight="1" x14ac:dyDescent="0.2">
      <c r="A457" s="13"/>
      <c r="B457" s="19" t="s">
        <v>52</v>
      </c>
      <c r="C457" s="15"/>
      <c r="D457" s="14"/>
      <c r="E457" s="15">
        <f t="shared" si="37"/>
        <v>162.905</v>
      </c>
      <c r="F457" s="14"/>
      <c r="G457" s="15">
        <f t="shared" si="36"/>
        <v>0</v>
      </c>
      <c r="H457" s="14">
        <v>2</v>
      </c>
      <c r="I457" s="15">
        <f t="shared" si="38"/>
        <v>90.957999999999998</v>
      </c>
      <c r="J457" s="14"/>
      <c r="K457" s="13" t="s">
        <v>743</v>
      </c>
    </row>
    <row r="458" spans="1:11" ht="12.6" customHeight="1" x14ac:dyDescent="0.2">
      <c r="A458" s="13">
        <v>43112</v>
      </c>
      <c r="B458" s="19"/>
      <c r="C458" s="15">
        <v>2.5</v>
      </c>
      <c r="D458" s="14"/>
      <c r="E458" s="15">
        <f t="shared" si="37"/>
        <v>165.405</v>
      </c>
      <c r="F458" s="14"/>
      <c r="G458" s="15">
        <f t="shared" si="36"/>
        <v>2.5</v>
      </c>
      <c r="H458" s="14"/>
      <c r="I458" s="15">
        <f t="shared" si="38"/>
        <v>93.457999999999998</v>
      </c>
      <c r="J458" s="14"/>
      <c r="K458" s="13"/>
    </row>
    <row r="459" spans="1:11" ht="12.6" customHeight="1" x14ac:dyDescent="0.2">
      <c r="A459" s="13"/>
      <c r="B459" s="19" t="s">
        <v>195</v>
      </c>
      <c r="C459" s="15"/>
      <c r="D459" s="14"/>
      <c r="E459" s="15">
        <f t="shared" si="37"/>
        <v>165.405</v>
      </c>
      <c r="F459" s="14"/>
      <c r="G459" s="15">
        <f t="shared" si="36"/>
        <v>0</v>
      </c>
      <c r="H459" s="14"/>
      <c r="I459" s="15">
        <f t="shared" si="38"/>
        <v>93.457999999999998</v>
      </c>
      <c r="J459" s="14"/>
      <c r="K459" s="16" t="s">
        <v>744</v>
      </c>
    </row>
    <row r="460" spans="1:11" ht="12.6" customHeight="1" x14ac:dyDescent="0.2">
      <c r="A460" s="13">
        <v>43466</v>
      </c>
      <c r="B460" s="19"/>
      <c r="C460" s="15">
        <v>1.25</v>
      </c>
      <c r="D460" s="14"/>
      <c r="E460" s="15">
        <f t="shared" si="37"/>
        <v>166.655</v>
      </c>
      <c r="F460" s="14"/>
      <c r="G460" s="15">
        <f t="shared" si="36"/>
        <v>1.25</v>
      </c>
      <c r="H460" s="14"/>
      <c r="I460" s="15">
        <f t="shared" si="38"/>
        <v>94.707999999999998</v>
      </c>
      <c r="J460" s="14"/>
      <c r="K460" s="13"/>
    </row>
    <row r="461" spans="1:11" ht="12.6" customHeight="1" x14ac:dyDescent="0.2">
      <c r="A461" s="13"/>
      <c r="B461" s="19" t="s">
        <v>47</v>
      </c>
      <c r="C461" s="15"/>
      <c r="D461" s="14"/>
      <c r="E461" s="15">
        <f t="shared" si="37"/>
        <v>166.655</v>
      </c>
      <c r="F461" s="14"/>
      <c r="G461" s="15">
        <f t="shared" si="36"/>
        <v>0</v>
      </c>
      <c r="H461" s="14">
        <v>1</v>
      </c>
      <c r="I461" s="15">
        <f t="shared" si="38"/>
        <v>93.707999999999998</v>
      </c>
      <c r="J461" s="14"/>
      <c r="K461" s="13" t="s">
        <v>745</v>
      </c>
    </row>
    <row r="462" spans="1:11" ht="12.6" customHeight="1" x14ac:dyDescent="0.2">
      <c r="A462" s="13"/>
      <c r="B462" s="19" t="s">
        <v>747</v>
      </c>
      <c r="C462" s="15"/>
      <c r="D462" s="14">
        <v>0.72899999999999998</v>
      </c>
      <c r="E462" s="15">
        <f t="shared" si="37"/>
        <v>165.92599999999999</v>
      </c>
      <c r="F462" s="14"/>
      <c r="G462" s="15">
        <f t="shared" si="36"/>
        <v>0</v>
      </c>
      <c r="H462" s="14"/>
      <c r="I462" s="15">
        <f t="shared" si="38"/>
        <v>93.707999999999998</v>
      </c>
      <c r="J462" s="14"/>
      <c r="K462" s="16" t="s">
        <v>746</v>
      </c>
    </row>
    <row r="463" spans="1:11" ht="12.6" customHeight="1" x14ac:dyDescent="0.2">
      <c r="A463" s="13">
        <v>43468</v>
      </c>
      <c r="B463" s="19"/>
      <c r="C463" s="15">
        <v>2.5</v>
      </c>
      <c r="D463" s="14"/>
      <c r="E463" s="15">
        <f t="shared" si="37"/>
        <v>168.42599999999999</v>
      </c>
      <c r="F463" s="14"/>
      <c r="G463" s="15">
        <f t="shared" si="36"/>
        <v>2.5</v>
      </c>
      <c r="H463" s="14"/>
      <c r="I463" s="15">
        <f t="shared" si="38"/>
        <v>96.207999999999998</v>
      </c>
      <c r="J463" s="14"/>
      <c r="K463" s="13"/>
    </row>
    <row r="464" spans="1:11" ht="12.6" customHeight="1" x14ac:dyDescent="0.2">
      <c r="A464" s="13"/>
      <c r="B464" s="19" t="s">
        <v>47</v>
      </c>
      <c r="C464" s="15"/>
      <c r="D464" s="14"/>
      <c r="E464" s="15">
        <f t="shared" si="37"/>
        <v>168.42599999999999</v>
      </c>
      <c r="F464" s="14"/>
      <c r="G464" s="15">
        <f t="shared" si="36"/>
        <v>0</v>
      </c>
      <c r="H464" s="14">
        <v>1</v>
      </c>
      <c r="I464" s="15">
        <f t="shared" si="38"/>
        <v>95.207999999999998</v>
      </c>
      <c r="J464" s="14"/>
      <c r="K464" s="13">
        <v>43772</v>
      </c>
    </row>
    <row r="465" spans="1:11" ht="12.6" customHeight="1" x14ac:dyDescent="0.2">
      <c r="A465" s="13">
        <v>43469</v>
      </c>
      <c r="B465" s="19"/>
      <c r="C465" s="15">
        <v>1.25</v>
      </c>
      <c r="D465" s="14"/>
      <c r="E465" s="15">
        <f t="shared" si="37"/>
        <v>169.67599999999999</v>
      </c>
      <c r="F465" s="14"/>
      <c r="G465" s="15">
        <f t="shared" si="36"/>
        <v>1.25</v>
      </c>
      <c r="H465" s="14"/>
      <c r="I465" s="15">
        <f t="shared" si="38"/>
        <v>96.457999999999998</v>
      </c>
      <c r="J465" s="14"/>
      <c r="K465" s="16"/>
    </row>
    <row r="466" spans="1:11" ht="12.6" customHeight="1" x14ac:dyDescent="0.2">
      <c r="A466" s="13"/>
      <c r="B466" s="19" t="s">
        <v>76</v>
      </c>
      <c r="C466" s="15"/>
      <c r="D466" s="14">
        <v>2</v>
      </c>
      <c r="E466" s="15">
        <f t="shared" si="37"/>
        <v>167.67599999999999</v>
      </c>
      <c r="F466" s="14"/>
      <c r="G466" s="15">
        <f t="shared" si="36"/>
        <v>0</v>
      </c>
      <c r="H466" s="14"/>
      <c r="I466" s="15">
        <f t="shared" si="38"/>
        <v>96.457999999999998</v>
      </c>
      <c r="J466" s="14"/>
      <c r="K466" s="16" t="s">
        <v>748</v>
      </c>
    </row>
    <row r="467" spans="1:11" ht="12.6" customHeight="1" x14ac:dyDescent="0.2">
      <c r="A467" s="13"/>
      <c r="B467" s="19" t="s">
        <v>47</v>
      </c>
      <c r="C467" s="15"/>
      <c r="D467" s="14"/>
      <c r="E467" s="15">
        <f t="shared" si="37"/>
        <v>167.67599999999999</v>
      </c>
      <c r="F467" s="14"/>
      <c r="G467" s="15">
        <f t="shared" si="36"/>
        <v>0</v>
      </c>
      <c r="H467" s="14">
        <v>1</v>
      </c>
      <c r="I467" s="15">
        <f t="shared" si="38"/>
        <v>95.457999999999998</v>
      </c>
      <c r="J467" s="14"/>
      <c r="K467" s="13" t="s">
        <v>749</v>
      </c>
    </row>
    <row r="468" spans="1:11" ht="12.6" customHeight="1" x14ac:dyDescent="0.2">
      <c r="A468" s="13">
        <v>43470</v>
      </c>
      <c r="B468" s="19"/>
      <c r="C468" s="15">
        <v>1.25</v>
      </c>
      <c r="D468" s="14"/>
      <c r="E468" s="15">
        <f t="shared" si="37"/>
        <v>168.92599999999999</v>
      </c>
      <c r="F468" s="14"/>
      <c r="G468" s="15">
        <f t="shared" si="36"/>
        <v>1.25</v>
      </c>
      <c r="H468" s="14"/>
      <c r="I468" s="15">
        <f t="shared" si="38"/>
        <v>96.707999999999998</v>
      </c>
      <c r="J468" s="14"/>
      <c r="K468" s="13"/>
    </row>
    <row r="469" spans="1:11" ht="12.6" customHeight="1" x14ac:dyDescent="0.2">
      <c r="A469" s="13"/>
      <c r="B469" s="19" t="s">
        <v>47</v>
      </c>
      <c r="C469" s="15"/>
      <c r="D469" s="14"/>
      <c r="E469" s="15">
        <f t="shared" si="37"/>
        <v>168.92599999999999</v>
      </c>
      <c r="F469" s="14"/>
      <c r="G469" s="15">
        <f t="shared" si="36"/>
        <v>0</v>
      </c>
      <c r="H469" s="14">
        <v>1</v>
      </c>
      <c r="I469" s="15">
        <f t="shared" si="38"/>
        <v>95.707999999999998</v>
      </c>
      <c r="J469" s="14"/>
      <c r="K469" s="13" t="s">
        <v>750</v>
      </c>
    </row>
    <row r="470" spans="1:11" ht="12.6" customHeight="1" x14ac:dyDescent="0.2">
      <c r="A470" s="13">
        <v>43471</v>
      </c>
      <c r="B470" s="19"/>
      <c r="C470" s="15">
        <v>1.25</v>
      </c>
      <c r="D470" s="14"/>
      <c r="E470" s="15">
        <f t="shared" si="37"/>
        <v>170.17599999999999</v>
      </c>
      <c r="F470" s="14"/>
      <c r="G470" s="15">
        <f t="shared" si="36"/>
        <v>1.25</v>
      </c>
      <c r="H470" s="14"/>
      <c r="I470" s="15">
        <f t="shared" si="38"/>
        <v>96.957999999999998</v>
      </c>
      <c r="J470" s="14"/>
      <c r="K470" s="13"/>
    </row>
    <row r="471" spans="1:11" ht="12.6" customHeight="1" x14ac:dyDescent="0.2">
      <c r="A471" s="13"/>
      <c r="B471" s="19" t="s">
        <v>47</v>
      </c>
      <c r="C471" s="15"/>
      <c r="D471" s="15"/>
      <c r="E471" s="15">
        <f t="shared" si="37"/>
        <v>170.17599999999999</v>
      </c>
      <c r="F471" s="14"/>
      <c r="G471" s="15">
        <f t="shared" si="36"/>
        <v>0</v>
      </c>
      <c r="H471" s="14">
        <v>1</v>
      </c>
      <c r="I471" s="15">
        <f t="shared" si="38"/>
        <v>95.957999999999998</v>
      </c>
      <c r="J471" s="14"/>
      <c r="K471" s="13">
        <v>43530</v>
      </c>
    </row>
    <row r="472" spans="1:11" ht="12.6" customHeight="1" x14ac:dyDescent="0.2">
      <c r="A472" s="13"/>
      <c r="B472" s="19" t="s">
        <v>52</v>
      </c>
      <c r="C472" s="15"/>
      <c r="D472" s="14"/>
      <c r="E472" s="15">
        <f t="shared" si="37"/>
        <v>170.17599999999999</v>
      </c>
      <c r="F472" s="14"/>
      <c r="G472" s="15">
        <f t="shared" si="36"/>
        <v>0</v>
      </c>
      <c r="H472" s="14">
        <v>2</v>
      </c>
      <c r="I472" s="15">
        <f t="shared" si="38"/>
        <v>93.957999999999998</v>
      </c>
      <c r="J472" s="14"/>
      <c r="K472" s="16" t="s">
        <v>751</v>
      </c>
    </row>
    <row r="473" spans="1:11" ht="12.6" customHeight="1" x14ac:dyDescent="0.2">
      <c r="A473" s="13">
        <v>43474</v>
      </c>
      <c r="B473" s="19"/>
      <c r="C473" s="15">
        <v>3.75</v>
      </c>
      <c r="D473" s="15"/>
      <c r="E473" s="15">
        <f t="shared" si="37"/>
        <v>173.92599999999999</v>
      </c>
      <c r="F473" s="14"/>
      <c r="G473" s="15">
        <f t="shared" si="36"/>
        <v>3.75</v>
      </c>
      <c r="H473" s="14"/>
      <c r="I473" s="15">
        <f t="shared" si="38"/>
        <v>97.707999999999998</v>
      </c>
      <c r="J473" s="14"/>
      <c r="K473" s="13"/>
    </row>
    <row r="474" spans="1:11" ht="12.6" customHeight="1" x14ac:dyDescent="0.2">
      <c r="A474" s="13"/>
      <c r="B474" s="19" t="s">
        <v>47</v>
      </c>
      <c r="C474" s="15"/>
      <c r="D474" s="14"/>
      <c r="E474" s="15">
        <f t="shared" si="37"/>
        <v>173.92599999999999</v>
      </c>
      <c r="F474" s="14"/>
      <c r="G474" s="15">
        <f t="shared" si="36"/>
        <v>0</v>
      </c>
      <c r="H474" s="14">
        <v>1</v>
      </c>
      <c r="I474" s="15">
        <f t="shared" si="38"/>
        <v>96.707999999999998</v>
      </c>
      <c r="J474" s="14"/>
      <c r="K474" s="13" t="s">
        <v>752</v>
      </c>
    </row>
    <row r="475" spans="1:11" ht="12.6" customHeight="1" x14ac:dyDescent="0.2">
      <c r="A475" s="13">
        <v>43475</v>
      </c>
      <c r="B475" s="19"/>
      <c r="C475" s="15">
        <v>1.25</v>
      </c>
      <c r="D475" s="14"/>
      <c r="E475" s="15">
        <f t="shared" si="37"/>
        <v>175.17599999999999</v>
      </c>
      <c r="F475" s="14"/>
      <c r="G475" s="15">
        <f t="shared" si="36"/>
        <v>1.25</v>
      </c>
      <c r="H475" s="14"/>
      <c r="I475" s="15">
        <f t="shared" si="38"/>
        <v>97.957999999999998</v>
      </c>
      <c r="J475" s="14"/>
      <c r="K475" s="13"/>
    </row>
    <row r="476" spans="1:11" ht="12.6" customHeight="1" x14ac:dyDescent="0.2">
      <c r="A476" s="13"/>
      <c r="B476" s="19" t="s">
        <v>52</v>
      </c>
      <c r="C476" s="15"/>
      <c r="D476" s="14"/>
      <c r="E476" s="15">
        <f t="shared" si="37"/>
        <v>175.17599999999999</v>
      </c>
      <c r="F476" s="14"/>
      <c r="G476" s="15">
        <f t="shared" si="36"/>
        <v>0</v>
      </c>
      <c r="H476" s="14">
        <v>2</v>
      </c>
      <c r="I476" s="15">
        <f t="shared" si="38"/>
        <v>95.957999999999998</v>
      </c>
      <c r="J476" s="14"/>
      <c r="K476" s="13" t="s">
        <v>753</v>
      </c>
    </row>
    <row r="477" spans="1:11" ht="12.6" customHeight="1" x14ac:dyDescent="0.2">
      <c r="A477" s="13">
        <v>43477</v>
      </c>
      <c r="B477" s="19"/>
      <c r="C477" s="15">
        <v>2.5</v>
      </c>
      <c r="D477" s="14"/>
      <c r="E477" s="15">
        <f t="shared" si="37"/>
        <v>177.67599999999999</v>
      </c>
      <c r="F477" s="14"/>
      <c r="G477" s="15">
        <f t="shared" si="36"/>
        <v>2.5</v>
      </c>
      <c r="H477" s="14"/>
      <c r="I477" s="15">
        <f t="shared" si="38"/>
        <v>98.457999999999998</v>
      </c>
      <c r="J477" s="14"/>
      <c r="K477" s="13"/>
    </row>
    <row r="478" spans="1:11" ht="12.6" customHeight="1" x14ac:dyDescent="0.2">
      <c r="A478" s="13"/>
      <c r="B478" s="19" t="s">
        <v>52</v>
      </c>
      <c r="C478" s="15"/>
      <c r="D478" s="14"/>
      <c r="E478" s="15">
        <f t="shared" si="37"/>
        <v>177.67599999999999</v>
      </c>
      <c r="F478" s="14"/>
      <c r="G478" s="15">
        <f t="shared" si="36"/>
        <v>0</v>
      </c>
      <c r="H478" s="14">
        <v>2</v>
      </c>
      <c r="I478" s="15">
        <f t="shared" si="38"/>
        <v>96.457999999999998</v>
      </c>
      <c r="J478" s="14"/>
      <c r="K478" s="16" t="s">
        <v>754</v>
      </c>
    </row>
    <row r="479" spans="1:11" ht="12.6" customHeight="1" x14ac:dyDescent="0.2">
      <c r="A479" s="13">
        <v>43831</v>
      </c>
      <c r="B479" s="19"/>
      <c r="C479" s="15">
        <v>1.25</v>
      </c>
      <c r="D479" s="14"/>
      <c r="E479" s="15">
        <f t="shared" si="37"/>
        <v>178.92599999999999</v>
      </c>
      <c r="F479" s="14"/>
      <c r="G479" s="15">
        <f t="shared" si="36"/>
        <v>1.25</v>
      </c>
      <c r="H479" s="14"/>
      <c r="I479" s="15">
        <f t="shared" si="38"/>
        <v>97.707999999999998</v>
      </c>
      <c r="J479" s="14"/>
      <c r="K479" s="16"/>
    </row>
    <row r="480" spans="1:11" ht="12.6" customHeight="1" x14ac:dyDescent="0.2">
      <c r="A480" s="19"/>
      <c r="B480" s="19"/>
      <c r="C480" s="36">
        <f>SUM(C454:C479)</f>
        <v>21.25</v>
      </c>
      <c r="D480" s="36">
        <f>SUM(D454:D479)</f>
        <v>12.728999999999999</v>
      </c>
      <c r="E480" s="36"/>
      <c r="F480" s="37"/>
      <c r="G480" s="36">
        <f>SUM(G454:G479)</f>
        <v>21.25</v>
      </c>
      <c r="H480" s="36">
        <f>SUM(H454:H479)</f>
        <v>15</v>
      </c>
      <c r="I480" s="15"/>
      <c r="J480" s="14"/>
      <c r="K480" s="16"/>
    </row>
    <row r="481" spans="1:11" ht="12.6" customHeight="1" x14ac:dyDescent="0.2">
      <c r="H481" s="27" t="s">
        <v>23</v>
      </c>
      <c r="J481" s="27" t="s">
        <v>30</v>
      </c>
    </row>
    <row r="483" spans="1:11" ht="12.6" customHeight="1" x14ac:dyDescent="0.2">
      <c r="A483" s="102" t="str">
        <f>A1</f>
        <v>CATAPANG, CRISPIN JR. D.</v>
      </c>
      <c r="B483" s="102"/>
      <c r="C483" s="102"/>
      <c r="D483" s="102"/>
      <c r="E483" s="102"/>
      <c r="F483" s="102"/>
      <c r="G483" s="102"/>
      <c r="H483" s="1"/>
      <c r="I483" s="103" t="s">
        <v>0</v>
      </c>
      <c r="J483" s="103"/>
      <c r="K483" s="2" t="str">
        <f>K1</f>
        <v>AUGUST 02, 1995</v>
      </c>
    </row>
    <row r="485" spans="1:11" ht="12.6" customHeight="1" x14ac:dyDescent="0.2">
      <c r="A485" s="104" t="s">
        <v>1</v>
      </c>
      <c r="B485" s="104" t="s">
        <v>2</v>
      </c>
      <c r="C485" s="107" t="s">
        <v>3</v>
      </c>
      <c r="D485" s="108"/>
      <c r="E485" s="108"/>
      <c r="F485" s="109"/>
      <c r="G485" s="107" t="s">
        <v>4</v>
      </c>
      <c r="H485" s="108"/>
      <c r="I485" s="108"/>
      <c r="J485" s="109"/>
      <c r="K485" s="4"/>
    </row>
    <row r="486" spans="1:11" ht="12.6" customHeight="1" x14ac:dyDescent="0.2">
      <c r="A486" s="105"/>
      <c r="B486" s="105"/>
      <c r="C486" s="94" t="s">
        <v>6</v>
      </c>
      <c r="D486" s="5" t="s">
        <v>7</v>
      </c>
      <c r="E486" s="94" t="s">
        <v>8</v>
      </c>
      <c r="F486" s="6" t="s">
        <v>7</v>
      </c>
      <c r="G486" s="94" t="s">
        <v>6</v>
      </c>
      <c r="H486" s="5" t="s">
        <v>7</v>
      </c>
      <c r="I486" s="94" t="s">
        <v>8</v>
      </c>
      <c r="J486" s="1" t="s">
        <v>7</v>
      </c>
      <c r="K486" s="7"/>
    </row>
    <row r="487" spans="1:11" ht="12.6" customHeight="1" x14ac:dyDescent="0.2">
      <c r="A487" s="105"/>
      <c r="B487" s="105"/>
      <c r="C487" s="95"/>
      <c r="D487" s="8" t="s">
        <v>10</v>
      </c>
      <c r="E487" s="95"/>
      <c r="F487" s="6" t="s">
        <v>10</v>
      </c>
      <c r="G487" s="95"/>
      <c r="H487" s="8" t="s">
        <v>10</v>
      </c>
      <c r="I487" s="95"/>
      <c r="J487" s="1" t="s">
        <v>10</v>
      </c>
      <c r="K487" s="7"/>
    </row>
    <row r="488" spans="1:11" ht="12.6" customHeight="1" x14ac:dyDescent="0.2">
      <c r="A488" s="106"/>
      <c r="B488" s="106"/>
      <c r="C488" s="96"/>
      <c r="D488" s="9" t="s">
        <v>12</v>
      </c>
      <c r="E488" s="96"/>
      <c r="F488" s="10" t="s">
        <v>13</v>
      </c>
      <c r="G488" s="96"/>
      <c r="H488" s="9" t="s">
        <v>12</v>
      </c>
      <c r="I488" s="96"/>
      <c r="J488" s="11" t="s">
        <v>13</v>
      </c>
      <c r="K488" s="12"/>
    </row>
    <row r="489" spans="1:11" ht="12.6" customHeight="1" x14ac:dyDescent="0.2">
      <c r="A489" s="13"/>
      <c r="B489" s="19" t="s">
        <v>756</v>
      </c>
      <c r="C489" s="15"/>
      <c r="D489" s="14">
        <v>0.7</v>
      </c>
      <c r="E489" s="15">
        <f>E479+C489-D489</f>
        <v>178.226</v>
      </c>
      <c r="F489" s="14"/>
      <c r="G489" s="15">
        <f t="shared" ref="G489:G514" si="39">C489</f>
        <v>0</v>
      </c>
      <c r="H489" s="14"/>
      <c r="I489" s="15">
        <f>I479+G489-H489</f>
        <v>97.707999999999998</v>
      </c>
      <c r="J489" s="14"/>
      <c r="K489" s="16" t="s">
        <v>755</v>
      </c>
    </row>
    <row r="490" spans="1:11" ht="12.6" customHeight="1" x14ac:dyDescent="0.2">
      <c r="A490" s="13"/>
      <c r="B490" s="19" t="s">
        <v>87</v>
      </c>
      <c r="C490" s="15"/>
      <c r="D490" s="14">
        <v>3</v>
      </c>
      <c r="E490" s="15">
        <f>E489+C490-D490</f>
        <v>175.226</v>
      </c>
      <c r="F490" s="14"/>
      <c r="G490" s="15">
        <f t="shared" si="39"/>
        <v>0</v>
      </c>
      <c r="H490" s="14"/>
      <c r="I490" s="15">
        <f>I489+G490-H490</f>
        <v>97.707999999999998</v>
      </c>
      <c r="J490" s="14"/>
      <c r="K490" s="13" t="s">
        <v>537</v>
      </c>
    </row>
    <row r="491" spans="1:11" ht="12.6" customHeight="1" x14ac:dyDescent="0.2">
      <c r="A491" s="13"/>
      <c r="B491" s="19" t="s">
        <v>166</v>
      </c>
      <c r="C491" s="15"/>
      <c r="D491" s="14"/>
      <c r="E491" s="15">
        <f t="shared" ref="E491:E514" si="40">E490+C491-D491</f>
        <v>175.226</v>
      </c>
      <c r="F491" s="14"/>
      <c r="G491" s="15">
        <f t="shared" si="39"/>
        <v>0</v>
      </c>
      <c r="H491" s="14"/>
      <c r="I491" s="15">
        <f t="shared" ref="I491:I514" si="41">I490+G491-H491</f>
        <v>97.707999999999998</v>
      </c>
      <c r="J491" s="14"/>
      <c r="K491" s="13" t="s">
        <v>757</v>
      </c>
    </row>
    <row r="492" spans="1:11" ht="12.6" customHeight="1" x14ac:dyDescent="0.2">
      <c r="A492" s="13"/>
      <c r="B492" s="19" t="s">
        <v>52</v>
      </c>
      <c r="C492" s="15"/>
      <c r="D492" s="14"/>
      <c r="E492" s="15">
        <f t="shared" si="40"/>
        <v>175.226</v>
      </c>
      <c r="F492" s="14"/>
      <c r="G492" s="15">
        <f t="shared" si="39"/>
        <v>0</v>
      </c>
      <c r="H492" s="14">
        <v>2</v>
      </c>
      <c r="I492" s="15">
        <f t="shared" si="41"/>
        <v>95.707999999999998</v>
      </c>
      <c r="J492" s="14"/>
      <c r="K492" s="16" t="s">
        <v>758</v>
      </c>
    </row>
    <row r="493" spans="1:11" ht="12.6" customHeight="1" x14ac:dyDescent="0.2">
      <c r="A493" s="13">
        <v>43833</v>
      </c>
      <c r="B493" s="19"/>
      <c r="C493" s="15">
        <v>2.5</v>
      </c>
      <c r="D493" s="14"/>
      <c r="E493" s="15">
        <f t="shared" si="40"/>
        <v>177.726</v>
      </c>
      <c r="F493" s="14"/>
      <c r="G493" s="15">
        <f t="shared" si="39"/>
        <v>2.5</v>
      </c>
      <c r="H493" s="14"/>
      <c r="I493" s="15">
        <f t="shared" si="41"/>
        <v>98.207999999999998</v>
      </c>
      <c r="J493" s="14"/>
      <c r="K493" s="13"/>
    </row>
    <row r="494" spans="1:11" ht="12.6" customHeight="1" x14ac:dyDescent="0.2">
      <c r="A494" s="13"/>
      <c r="B494" s="19" t="s">
        <v>67</v>
      </c>
      <c r="C494" s="15"/>
      <c r="D494" s="14"/>
      <c r="E494" s="15">
        <f t="shared" si="40"/>
        <v>177.726</v>
      </c>
      <c r="F494" s="14"/>
      <c r="G494" s="15">
        <f t="shared" si="39"/>
        <v>0</v>
      </c>
      <c r="H494" s="14">
        <v>3</v>
      </c>
      <c r="I494" s="15">
        <f t="shared" si="41"/>
        <v>95.207999999999998</v>
      </c>
      <c r="J494" s="14"/>
      <c r="K494" s="16" t="s">
        <v>759</v>
      </c>
    </row>
    <row r="495" spans="1:11" ht="12.6" customHeight="1" x14ac:dyDescent="0.2">
      <c r="A495" s="13">
        <v>43836</v>
      </c>
      <c r="B495" s="19"/>
      <c r="C495" s="15">
        <v>3.75</v>
      </c>
      <c r="D495" s="14"/>
      <c r="E495" s="15">
        <f t="shared" si="40"/>
        <v>181.476</v>
      </c>
      <c r="F495" s="14"/>
      <c r="G495" s="15">
        <f t="shared" si="39"/>
        <v>3.75</v>
      </c>
      <c r="H495" s="14"/>
      <c r="I495" s="15">
        <f t="shared" si="41"/>
        <v>98.957999999999998</v>
      </c>
      <c r="J495" s="14"/>
      <c r="K495" s="13"/>
    </row>
    <row r="496" spans="1:11" ht="12.6" customHeight="1" x14ac:dyDescent="0.2">
      <c r="A496" s="13"/>
      <c r="B496" s="19" t="s">
        <v>248</v>
      </c>
      <c r="C496" s="15"/>
      <c r="D496" s="14"/>
      <c r="E496" s="15">
        <f t="shared" si="40"/>
        <v>181.476</v>
      </c>
      <c r="F496" s="14"/>
      <c r="G496" s="15">
        <f t="shared" si="39"/>
        <v>0</v>
      </c>
      <c r="H496" s="14">
        <v>2.5</v>
      </c>
      <c r="I496" s="15">
        <f t="shared" si="41"/>
        <v>96.457999999999998</v>
      </c>
      <c r="J496" s="14"/>
      <c r="K496" s="13" t="s">
        <v>760</v>
      </c>
    </row>
    <row r="497" spans="1:11" ht="12.6" customHeight="1" x14ac:dyDescent="0.2">
      <c r="A497" s="13">
        <v>43842</v>
      </c>
      <c r="B497" s="19"/>
      <c r="C497" s="15">
        <v>7.5</v>
      </c>
      <c r="D497" s="14"/>
      <c r="E497" s="15">
        <f t="shared" si="40"/>
        <v>188.976</v>
      </c>
      <c r="F497" s="14"/>
      <c r="G497" s="15">
        <f t="shared" si="39"/>
        <v>7.5</v>
      </c>
      <c r="H497" s="14"/>
      <c r="I497" s="15">
        <f t="shared" si="41"/>
        <v>103.958</v>
      </c>
      <c r="J497" s="14"/>
      <c r="K497" s="16"/>
    </row>
    <row r="498" spans="1:11" ht="12.6" customHeight="1" x14ac:dyDescent="0.2">
      <c r="A498" s="13"/>
      <c r="B498" s="19" t="s">
        <v>195</v>
      </c>
      <c r="C498" s="15"/>
      <c r="D498" s="14"/>
      <c r="E498" s="15">
        <f t="shared" si="40"/>
        <v>188.976</v>
      </c>
      <c r="F498" s="14"/>
      <c r="G498" s="15">
        <f t="shared" si="39"/>
        <v>0</v>
      </c>
      <c r="H498" s="14"/>
      <c r="I498" s="15">
        <f t="shared" si="41"/>
        <v>103.958</v>
      </c>
      <c r="J498" s="14"/>
      <c r="K498" s="16" t="s">
        <v>761</v>
      </c>
    </row>
    <row r="499" spans="1:11" ht="12.6" customHeight="1" x14ac:dyDescent="0.2">
      <c r="A499" s="13">
        <v>44197</v>
      </c>
      <c r="B499" s="19"/>
      <c r="C499" s="15">
        <v>1.25</v>
      </c>
      <c r="D499" s="14"/>
      <c r="E499" s="15">
        <f t="shared" si="40"/>
        <v>190.226</v>
      </c>
      <c r="F499" s="14"/>
      <c r="G499" s="15">
        <f t="shared" si="39"/>
        <v>1.25</v>
      </c>
      <c r="H499" s="14"/>
      <c r="I499" s="15">
        <f t="shared" si="41"/>
        <v>105.208</v>
      </c>
      <c r="J499" s="14"/>
      <c r="K499" s="16"/>
    </row>
    <row r="500" spans="1:11" ht="12.6" customHeight="1" x14ac:dyDescent="0.2">
      <c r="A500" s="13"/>
      <c r="B500" s="19" t="s">
        <v>763</v>
      </c>
      <c r="C500" s="15"/>
      <c r="D500" s="14">
        <v>0.23400000000000001</v>
      </c>
      <c r="E500" s="15">
        <f t="shared" si="40"/>
        <v>189.99199999999999</v>
      </c>
      <c r="F500" s="14"/>
      <c r="G500" s="15">
        <f t="shared" si="39"/>
        <v>0</v>
      </c>
      <c r="H500" s="14"/>
      <c r="I500" s="15">
        <f t="shared" si="41"/>
        <v>105.208</v>
      </c>
      <c r="J500" s="14"/>
      <c r="K500" s="13" t="s">
        <v>762</v>
      </c>
    </row>
    <row r="501" spans="1:11" ht="12.6" customHeight="1" x14ac:dyDescent="0.2">
      <c r="A501" s="13">
        <v>44199</v>
      </c>
      <c r="B501" s="19"/>
      <c r="C501" s="15">
        <v>2.5</v>
      </c>
      <c r="D501" s="14"/>
      <c r="E501" s="15">
        <f t="shared" si="40"/>
        <v>192.49199999999999</v>
      </c>
      <c r="F501" s="14"/>
      <c r="G501" s="15">
        <f t="shared" si="39"/>
        <v>2.5</v>
      </c>
      <c r="H501" s="14"/>
      <c r="I501" s="15">
        <f t="shared" si="41"/>
        <v>107.708</v>
      </c>
      <c r="J501" s="14"/>
      <c r="K501" s="13"/>
    </row>
    <row r="502" spans="1:11" ht="12.6" customHeight="1" x14ac:dyDescent="0.2">
      <c r="A502" s="13"/>
      <c r="B502" s="19" t="s">
        <v>166</v>
      </c>
      <c r="C502" s="15"/>
      <c r="D502" s="14"/>
      <c r="E502" s="15">
        <f t="shared" si="40"/>
        <v>192.49199999999999</v>
      </c>
      <c r="F502" s="14"/>
      <c r="G502" s="15">
        <f t="shared" si="39"/>
        <v>0</v>
      </c>
      <c r="H502" s="14"/>
      <c r="I502" s="15">
        <f t="shared" si="41"/>
        <v>107.708</v>
      </c>
      <c r="J502" s="14"/>
      <c r="K502" s="13" t="s">
        <v>764</v>
      </c>
    </row>
    <row r="503" spans="1:11" ht="12.6" customHeight="1" x14ac:dyDescent="0.2">
      <c r="A503" s="13"/>
      <c r="B503" s="19" t="s">
        <v>45</v>
      </c>
      <c r="C503" s="15"/>
      <c r="D503" s="14"/>
      <c r="E503" s="15">
        <f t="shared" si="40"/>
        <v>192.49199999999999</v>
      </c>
      <c r="F503" s="14"/>
      <c r="G503" s="15">
        <f t="shared" si="39"/>
        <v>0</v>
      </c>
      <c r="H503" s="14"/>
      <c r="I503" s="15">
        <f t="shared" si="41"/>
        <v>107.708</v>
      </c>
      <c r="J503" s="14"/>
      <c r="K503" s="13" t="s">
        <v>765</v>
      </c>
    </row>
    <row r="504" spans="1:11" ht="12.6" customHeight="1" x14ac:dyDescent="0.2">
      <c r="A504" s="13"/>
      <c r="B504" s="19" t="s">
        <v>74</v>
      </c>
      <c r="C504" s="15"/>
      <c r="D504" s="14">
        <v>1</v>
      </c>
      <c r="E504" s="15">
        <f t="shared" si="40"/>
        <v>191.49199999999999</v>
      </c>
      <c r="F504" s="14"/>
      <c r="G504" s="15">
        <f t="shared" si="39"/>
        <v>0</v>
      </c>
      <c r="H504" s="14"/>
      <c r="I504" s="15">
        <f t="shared" si="41"/>
        <v>107.708</v>
      </c>
      <c r="J504" s="14"/>
      <c r="K504" s="13" t="s">
        <v>766</v>
      </c>
    </row>
    <row r="505" spans="1:11" ht="12.6" customHeight="1" x14ac:dyDescent="0.2">
      <c r="A505" s="13">
        <v>44201</v>
      </c>
      <c r="B505" s="19"/>
      <c r="C505" s="15">
        <v>2.5</v>
      </c>
      <c r="D505" s="14"/>
      <c r="E505" s="15">
        <f t="shared" si="40"/>
        <v>193.99199999999999</v>
      </c>
      <c r="F505" s="14"/>
      <c r="G505" s="15">
        <f t="shared" si="39"/>
        <v>2.5</v>
      </c>
      <c r="H505" s="14"/>
      <c r="I505" s="15">
        <f t="shared" si="41"/>
        <v>110.208</v>
      </c>
      <c r="J505" s="14"/>
      <c r="K505" s="13"/>
    </row>
    <row r="506" spans="1:11" ht="12.6" customHeight="1" x14ac:dyDescent="0.2">
      <c r="A506" s="13"/>
      <c r="B506" s="19" t="s">
        <v>768</v>
      </c>
      <c r="C506" s="15"/>
      <c r="D506" s="15">
        <v>10</v>
      </c>
      <c r="E506" s="15">
        <f t="shared" si="40"/>
        <v>183.99199999999999</v>
      </c>
      <c r="F506" s="14"/>
      <c r="G506" s="15">
        <f t="shared" si="39"/>
        <v>0</v>
      </c>
      <c r="H506" s="14"/>
      <c r="I506" s="15">
        <f t="shared" si="41"/>
        <v>110.208</v>
      </c>
      <c r="J506" s="14"/>
      <c r="K506" s="13" t="s">
        <v>767</v>
      </c>
    </row>
    <row r="507" spans="1:11" ht="12.6" customHeight="1" x14ac:dyDescent="0.2">
      <c r="A507" s="13">
        <v>44562</v>
      </c>
      <c r="B507" s="19"/>
      <c r="C507" s="15">
        <v>10</v>
      </c>
      <c r="D507" s="14"/>
      <c r="E507" s="15">
        <f t="shared" si="40"/>
        <v>193.99199999999999</v>
      </c>
      <c r="F507" s="14"/>
      <c r="G507" s="15">
        <f t="shared" si="39"/>
        <v>10</v>
      </c>
      <c r="H507" s="14"/>
      <c r="I507" s="15">
        <f t="shared" si="41"/>
        <v>120.208</v>
      </c>
      <c r="J507" s="14"/>
      <c r="K507" s="16"/>
    </row>
    <row r="508" spans="1:11" ht="12.6" customHeight="1" x14ac:dyDescent="0.2">
      <c r="A508" s="16"/>
      <c r="B508" s="19" t="s">
        <v>770</v>
      </c>
      <c r="C508" s="15"/>
      <c r="D508" s="15">
        <v>7.2999999999999995E-2</v>
      </c>
      <c r="E508" s="15">
        <f t="shared" si="40"/>
        <v>193.91899999999998</v>
      </c>
      <c r="F508" s="14"/>
      <c r="G508" s="15">
        <f t="shared" si="39"/>
        <v>0</v>
      </c>
      <c r="H508" s="14"/>
      <c r="I508" s="15">
        <f t="shared" si="41"/>
        <v>120.208</v>
      </c>
      <c r="J508" s="14"/>
      <c r="K508" s="13" t="s">
        <v>769</v>
      </c>
    </row>
    <row r="509" spans="1:11" ht="12.6" customHeight="1" x14ac:dyDescent="0.2">
      <c r="A509" s="13">
        <v>44564</v>
      </c>
      <c r="B509" s="19"/>
      <c r="C509" s="15">
        <v>2.5</v>
      </c>
      <c r="D509" s="14"/>
      <c r="E509" s="15">
        <f t="shared" si="40"/>
        <v>196.41899999999998</v>
      </c>
      <c r="F509" s="14"/>
      <c r="G509" s="15">
        <f t="shared" si="39"/>
        <v>2.5</v>
      </c>
      <c r="H509" s="14"/>
      <c r="I509" s="15">
        <f t="shared" si="41"/>
        <v>122.708</v>
      </c>
      <c r="J509" s="14"/>
      <c r="K509" s="16"/>
    </row>
    <row r="510" spans="1:11" ht="12.6" customHeight="1" x14ac:dyDescent="0.2">
      <c r="A510" s="13"/>
      <c r="B510" s="19" t="s">
        <v>52</v>
      </c>
      <c r="C510" s="15"/>
      <c r="D510" s="14"/>
      <c r="E510" s="15">
        <f t="shared" si="40"/>
        <v>196.41899999999998</v>
      </c>
      <c r="F510" s="14"/>
      <c r="G510" s="15">
        <f t="shared" si="39"/>
        <v>0</v>
      </c>
      <c r="H510" s="14">
        <v>2</v>
      </c>
      <c r="I510" s="15">
        <f t="shared" si="41"/>
        <v>120.708</v>
      </c>
      <c r="J510" s="14"/>
      <c r="K510" s="13" t="s">
        <v>771</v>
      </c>
    </row>
    <row r="511" spans="1:11" ht="12.6" customHeight="1" x14ac:dyDescent="0.2">
      <c r="A511" s="13"/>
      <c r="B511" s="19" t="s">
        <v>47</v>
      </c>
      <c r="C511" s="15"/>
      <c r="D511" s="14"/>
      <c r="E511" s="15">
        <f t="shared" si="40"/>
        <v>196.41899999999998</v>
      </c>
      <c r="F511" s="14"/>
      <c r="G511" s="15">
        <f t="shared" si="39"/>
        <v>0</v>
      </c>
      <c r="H511" s="14">
        <v>1</v>
      </c>
      <c r="I511" s="15">
        <f t="shared" si="41"/>
        <v>119.708</v>
      </c>
      <c r="J511" s="14"/>
      <c r="K511" s="13" t="s">
        <v>772</v>
      </c>
    </row>
    <row r="512" spans="1:11" ht="12.6" customHeight="1" x14ac:dyDescent="0.2">
      <c r="A512" s="13">
        <v>44565</v>
      </c>
      <c r="B512" s="19"/>
      <c r="C512" s="15">
        <v>1.25</v>
      </c>
      <c r="D512" s="14"/>
      <c r="E512" s="15">
        <f t="shared" si="40"/>
        <v>197.66899999999998</v>
      </c>
      <c r="F512" s="14"/>
      <c r="G512" s="15">
        <f t="shared" si="39"/>
        <v>1.25</v>
      </c>
      <c r="H512" s="14"/>
      <c r="I512" s="15">
        <f t="shared" si="41"/>
        <v>120.958</v>
      </c>
      <c r="J512" s="14"/>
      <c r="K512" s="16"/>
    </row>
    <row r="513" spans="1:11" ht="12.6" customHeight="1" x14ac:dyDescent="0.2">
      <c r="A513" s="13"/>
      <c r="B513" s="19" t="s">
        <v>74</v>
      </c>
      <c r="C513" s="15"/>
      <c r="D513" s="14">
        <v>1</v>
      </c>
      <c r="E513" s="15">
        <f t="shared" si="40"/>
        <v>196.66899999999998</v>
      </c>
      <c r="F513" s="14"/>
      <c r="G513" s="15">
        <f t="shared" si="39"/>
        <v>0</v>
      </c>
      <c r="H513" s="14"/>
      <c r="I513" s="15">
        <f t="shared" si="41"/>
        <v>120.958</v>
      </c>
      <c r="J513" s="14"/>
      <c r="K513" s="16" t="s">
        <v>773</v>
      </c>
    </row>
    <row r="514" spans="1:11" ht="12.6" customHeight="1" x14ac:dyDescent="0.2">
      <c r="A514" s="13"/>
      <c r="B514" s="19" t="s">
        <v>47</v>
      </c>
      <c r="C514" s="15"/>
      <c r="D514" s="14"/>
      <c r="E514" s="15">
        <f t="shared" si="40"/>
        <v>196.66899999999998</v>
      </c>
      <c r="F514" s="14"/>
      <c r="G514" s="15">
        <f t="shared" si="39"/>
        <v>0</v>
      </c>
      <c r="H514" s="14">
        <v>1</v>
      </c>
      <c r="I514" s="15">
        <f t="shared" si="41"/>
        <v>119.958</v>
      </c>
      <c r="J514" s="14"/>
      <c r="K514" s="16" t="s">
        <v>774</v>
      </c>
    </row>
    <row r="515" spans="1:11" ht="12.6" customHeight="1" x14ac:dyDescent="0.2">
      <c r="A515" s="19"/>
      <c r="B515" s="19"/>
      <c r="C515" s="36">
        <f>SUM(C489:C514)</f>
        <v>33.75</v>
      </c>
      <c r="D515" s="36">
        <f>SUM(D489:D514)</f>
        <v>16.007000000000001</v>
      </c>
      <c r="E515" s="36"/>
      <c r="F515" s="37"/>
      <c r="G515" s="36">
        <f>SUM(G489:G514)</f>
        <v>33.75</v>
      </c>
      <c r="H515" s="36">
        <f>SUM(H489:H514)</f>
        <v>11.5</v>
      </c>
      <c r="I515" s="15"/>
      <c r="J515" s="14"/>
      <c r="K515" s="16"/>
    </row>
    <row r="516" spans="1:11" ht="12.6" customHeight="1" x14ac:dyDescent="0.2">
      <c r="H516" s="27" t="s">
        <v>23</v>
      </c>
      <c r="J516" s="27" t="s">
        <v>31</v>
      </c>
    </row>
    <row r="523" spans="1:11" ht="12.6" customHeight="1" x14ac:dyDescent="0.2">
      <c r="A523" s="102" t="str">
        <f>A1</f>
        <v>CATAPANG, CRISPIN JR. D.</v>
      </c>
      <c r="B523" s="102"/>
      <c r="C523" s="102"/>
      <c r="D523" s="102"/>
      <c r="E523" s="102"/>
      <c r="F523" s="102"/>
      <c r="G523" s="102"/>
      <c r="H523" s="1"/>
      <c r="I523" s="103" t="s">
        <v>0</v>
      </c>
      <c r="J523" s="103"/>
      <c r="K523" s="2" t="str">
        <f>K1</f>
        <v>AUGUST 02, 1995</v>
      </c>
    </row>
    <row r="525" spans="1:11" ht="12.6" customHeight="1" x14ac:dyDescent="0.2">
      <c r="A525" s="104" t="s">
        <v>1</v>
      </c>
      <c r="B525" s="104" t="s">
        <v>2</v>
      </c>
      <c r="C525" s="107" t="s">
        <v>3</v>
      </c>
      <c r="D525" s="108"/>
      <c r="E525" s="108"/>
      <c r="F525" s="109"/>
      <c r="G525" s="107" t="s">
        <v>4</v>
      </c>
      <c r="H525" s="108"/>
      <c r="I525" s="108"/>
      <c r="J525" s="109"/>
      <c r="K525" s="4"/>
    </row>
    <row r="526" spans="1:11" ht="12.6" customHeight="1" x14ac:dyDescent="0.2">
      <c r="A526" s="105"/>
      <c r="B526" s="105"/>
      <c r="C526" s="94" t="s">
        <v>6</v>
      </c>
      <c r="D526" s="5" t="s">
        <v>7</v>
      </c>
      <c r="E526" s="94" t="s">
        <v>8</v>
      </c>
      <c r="F526" s="6" t="s">
        <v>7</v>
      </c>
      <c r="G526" s="94" t="s">
        <v>6</v>
      </c>
      <c r="H526" s="5" t="s">
        <v>7</v>
      </c>
      <c r="I526" s="94" t="s">
        <v>8</v>
      </c>
      <c r="J526" s="1" t="s">
        <v>7</v>
      </c>
      <c r="K526" s="7"/>
    </row>
    <row r="527" spans="1:11" ht="12.6" customHeight="1" x14ac:dyDescent="0.2">
      <c r="A527" s="105"/>
      <c r="B527" s="105"/>
      <c r="C527" s="95"/>
      <c r="D527" s="8" t="s">
        <v>10</v>
      </c>
      <c r="E527" s="95"/>
      <c r="F527" s="6" t="s">
        <v>10</v>
      </c>
      <c r="G527" s="95"/>
      <c r="H527" s="8" t="s">
        <v>10</v>
      </c>
      <c r="I527" s="95"/>
      <c r="J527" s="1" t="s">
        <v>10</v>
      </c>
      <c r="K527" s="7"/>
    </row>
    <row r="528" spans="1:11" ht="12.6" customHeight="1" x14ac:dyDescent="0.2">
      <c r="A528" s="106"/>
      <c r="B528" s="106"/>
      <c r="C528" s="96"/>
      <c r="D528" s="9" t="s">
        <v>12</v>
      </c>
      <c r="E528" s="96"/>
      <c r="F528" s="10" t="s">
        <v>13</v>
      </c>
      <c r="G528" s="96"/>
      <c r="H528" s="9" t="s">
        <v>12</v>
      </c>
      <c r="I528" s="96"/>
      <c r="J528" s="11" t="s">
        <v>13</v>
      </c>
      <c r="K528" s="12"/>
    </row>
    <row r="529" spans="1:11" ht="12.6" customHeight="1" x14ac:dyDescent="0.2">
      <c r="A529" s="13">
        <v>44566</v>
      </c>
      <c r="B529" s="19"/>
      <c r="C529" s="15">
        <v>1.25</v>
      </c>
      <c r="D529" s="14"/>
      <c r="E529" s="15">
        <f>E514+C529-D529</f>
        <v>197.91899999999998</v>
      </c>
      <c r="F529" s="14"/>
      <c r="G529" s="15">
        <f t="shared" ref="G529:G554" si="42">C529</f>
        <v>1.25</v>
      </c>
      <c r="H529" s="14"/>
      <c r="I529" s="15">
        <f>I514+G529-H529</f>
        <v>121.208</v>
      </c>
      <c r="J529" s="14"/>
      <c r="K529" s="16"/>
    </row>
    <row r="530" spans="1:11" ht="12.6" customHeight="1" x14ac:dyDescent="0.2">
      <c r="A530" s="13"/>
      <c r="B530" s="19" t="s">
        <v>95</v>
      </c>
      <c r="C530" s="15"/>
      <c r="D530" s="14">
        <v>3</v>
      </c>
      <c r="E530" s="15">
        <f>E529+C530-D530</f>
        <v>194.91899999999998</v>
      </c>
      <c r="F530" s="14"/>
      <c r="G530" s="15">
        <f t="shared" si="42"/>
        <v>0</v>
      </c>
      <c r="H530" s="14"/>
      <c r="I530" s="15">
        <f>I529+G530-H530</f>
        <v>121.208</v>
      </c>
      <c r="J530" s="14"/>
      <c r="K530" s="13" t="s">
        <v>775</v>
      </c>
    </row>
    <row r="531" spans="1:11" ht="12.6" customHeight="1" x14ac:dyDescent="0.2">
      <c r="A531" s="13">
        <v>44568</v>
      </c>
      <c r="B531" s="19"/>
      <c r="C531" s="15">
        <v>2.5</v>
      </c>
      <c r="D531" s="14"/>
      <c r="E531" s="15">
        <f t="shared" ref="E531:E554" si="43">E530+C531-D531</f>
        <v>197.41899999999998</v>
      </c>
      <c r="F531" s="14"/>
      <c r="G531" s="15">
        <f t="shared" si="42"/>
        <v>2.5</v>
      </c>
      <c r="H531" s="14"/>
      <c r="I531" s="15">
        <f t="shared" ref="I531:I554" si="44">I530+G531-H531</f>
        <v>123.708</v>
      </c>
      <c r="J531" s="14"/>
      <c r="K531" s="13"/>
    </row>
    <row r="532" spans="1:11" ht="12.6" customHeight="1" x14ac:dyDescent="0.2">
      <c r="A532" s="13"/>
      <c r="B532" s="19" t="s">
        <v>52</v>
      </c>
      <c r="C532" s="15"/>
      <c r="D532" s="14"/>
      <c r="E532" s="15">
        <f t="shared" si="43"/>
        <v>197.41899999999998</v>
      </c>
      <c r="F532" s="14"/>
      <c r="G532" s="15">
        <f t="shared" si="42"/>
        <v>0</v>
      </c>
      <c r="H532" s="14">
        <v>2</v>
      </c>
      <c r="I532" s="15">
        <f t="shared" si="44"/>
        <v>121.708</v>
      </c>
      <c r="J532" s="14"/>
      <c r="K532" s="16" t="s">
        <v>776</v>
      </c>
    </row>
    <row r="533" spans="1:11" ht="12.6" customHeight="1" x14ac:dyDescent="0.2">
      <c r="A533" s="13">
        <v>44569</v>
      </c>
      <c r="B533" s="19"/>
      <c r="C533" s="15">
        <v>1.25</v>
      </c>
      <c r="D533" s="14"/>
      <c r="E533" s="15">
        <f t="shared" si="43"/>
        <v>198.66899999999998</v>
      </c>
      <c r="F533" s="14"/>
      <c r="G533" s="15">
        <f t="shared" si="42"/>
        <v>1.25</v>
      </c>
      <c r="H533" s="14"/>
      <c r="I533" s="15">
        <f t="shared" si="44"/>
        <v>122.958</v>
      </c>
      <c r="J533" s="14"/>
      <c r="K533" s="13"/>
    </row>
    <row r="534" spans="1:11" ht="12.6" customHeight="1" x14ac:dyDescent="0.2">
      <c r="A534" s="13"/>
      <c r="B534" s="19" t="s">
        <v>67</v>
      </c>
      <c r="C534" s="15"/>
      <c r="D534" s="14"/>
      <c r="E534" s="15">
        <f t="shared" si="43"/>
        <v>198.66899999999998</v>
      </c>
      <c r="F534" s="14"/>
      <c r="G534" s="15">
        <f t="shared" si="42"/>
        <v>0</v>
      </c>
      <c r="H534" s="14">
        <v>3</v>
      </c>
      <c r="I534" s="15">
        <f t="shared" si="44"/>
        <v>119.958</v>
      </c>
      <c r="J534" s="14"/>
      <c r="K534" s="16" t="s">
        <v>777</v>
      </c>
    </row>
    <row r="535" spans="1:11" ht="12.6" customHeight="1" x14ac:dyDescent="0.2">
      <c r="A535" s="13">
        <v>44573</v>
      </c>
      <c r="B535" s="19"/>
      <c r="C535" s="15">
        <v>5</v>
      </c>
      <c r="D535" s="14"/>
      <c r="E535" s="15">
        <f t="shared" si="43"/>
        <v>203.66899999999998</v>
      </c>
      <c r="F535" s="14"/>
      <c r="G535" s="15">
        <f t="shared" si="42"/>
        <v>5</v>
      </c>
      <c r="H535" s="14"/>
      <c r="I535" s="15">
        <f t="shared" si="44"/>
        <v>124.958</v>
      </c>
      <c r="J535" s="14"/>
      <c r="K535" s="13"/>
    </row>
    <row r="536" spans="1:11" ht="12.6" customHeight="1" x14ac:dyDescent="0.2">
      <c r="A536" s="13"/>
      <c r="B536" s="19" t="s">
        <v>511</v>
      </c>
      <c r="C536" s="15"/>
      <c r="D536" s="14"/>
      <c r="E536" s="15">
        <f t="shared" si="43"/>
        <v>203.66899999999998</v>
      </c>
      <c r="F536" s="14"/>
      <c r="G536" s="15">
        <f t="shared" si="42"/>
        <v>0</v>
      </c>
      <c r="H536" s="14">
        <v>9</v>
      </c>
      <c r="I536" s="15">
        <f t="shared" si="44"/>
        <v>115.958</v>
      </c>
      <c r="J536" s="14"/>
      <c r="K536" s="13" t="s">
        <v>778</v>
      </c>
    </row>
    <row r="537" spans="1:11" ht="12.6" customHeight="1" x14ac:dyDescent="0.2">
      <c r="A537" s="13">
        <v>44927</v>
      </c>
      <c r="B537" s="19"/>
      <c r="C537" s="15">
        <v>1.25</v>
      </c>
      <c r="D537" s="14"/>
      <c r="E537" s="15">
        <f t="shared" si="43"/>
        <v>204.91899999999998</v>
      </c>
      <c r="F537" s="14"/>
      <c r="G537" s="15">
        <f t="shared" si="42"/>
        <v>1.25</v>
      </c>
      <c r="H537" s="14"/>
      <c r="I537" s="15">
        <f t="shared" si="44"/>
        <v>117.208</v>
      </c>
      <c r="J537" s="14"/>
      <c r="K537" s="16"/>
    </row>
    <row r="538" spans="1:11" ht="12.6" customHeight="1" x14ac:dyDescent="0.2">
      <c r="A538" s="13"/>
      <c r="B538" s="19" t="s">
        <v>57</v>
      </c>
      <c r="C538" s="15"/>
      <c r="D538" s="14">
        <v>1</v>
      </c>
      <c r="E538" s="15">
        <f t="shared" si="43"/>
        <v>203.91899999999998</v>
      </c>
      <c r="F538" s="14"/>
      <c r="G538" s="15">
        <f t="shared" si="42"/>
        <v>0</v>
      </c>
      <c r="H538" s="14"/>
      <c r="I538" s="15">
        <f t="shared" si="44"/>
        <v>117.208</v>
      </c>
      <c r="J538" s="14"/>
      <c r="K538" s="16" t="s">
        <v>779</v>
      </c>
    </row>
    <row r="539" spans="1:11" ht="12.6" customHeight="1" x14ac:dyDescent="0.2">
      <c r="A539" s="13"/>
      <c r="B539" s="19" t="s">
        <v>47</v>
      </c>
      <c r="C539" s="15"/>
      <c r="D539" s="14"/>
      <c r="E539" s="15">
        <f t="shared" si="43"/>
        <v>203.91899999999998</v>
      </c>
      <c r="F539" s="14"/>
      <c r="G539" s="15">
        <f t="shared" si="42"/>
        <v>0</v>
      </c>
      <c r="H539" s="14">
        <v>1</v>
      </c>
      <c r="I539" s="15">
        <f t="shared" si="44"/>
        <v>116.208</v>
      </c>
      <c r="J539" s="14"/>
      <c r="K539" s="16" t="s">
        <v>780</v>
      </c>
    </row>
    <row r="540" spans="1:11" ht="12.6" customHeight="1" x14ac:dyDescent="0.2">
      <c r="A540" s="13">
        <v>44929</v>
      </c>
      <c r="B540" s="19"/>
      <c r="C540" s="15">
        <v>2.5</v>
      </c>
      <c r="D540" s="14"/>
      <c r="E540" s="15">
        <f t="shared" si="43"/>
        <v>206.41899999999998</v>
      </c>
      <c r="F540" s="14"/>
      <c r="G540" s="15">
        <f t="shared" si="42"/>
        <v>2.5</v>
      </c>
      <c r="H540" s="14"/>
      <c r="I540" s="15">
        <f t="shared" si="44"/>
        <v>118.708</v>
      </c>
      <c r="J540" s="14"/>
      <c r="K540" s="13"/>
    </row>
    <row r="541" spans="1:11" ht="12.6" customHeight="1" x14ac:dyDescent="0.2">
      <c r="A541" s="13"/>
      <c r="B541" s="19" t="s">
        <v>67</v>
      </c>
      <c r="C541" s="15"/>
      <c r="D541" s="14"/>
      <c r="E541" s="15">
        <f t="shared" si="43"/>
        <v>206.41899999999998</v>
      </c>
      <c r="F541" s="14"/>
      <c r="G541" s="15">
        <f t="shared" si="42"/>
        <v>0</v>
      </c>
      <c r="H541" s="14">
        <v>3</v>
      </c>
      <c r="I541" s="15">
        <f t="shared" si="44"/>
        <v>115.708</v>
      </c>
      <c r="J541" s="14"/>
      <c r="K541" s="13" t="s">
        <v>781</v>
      </c>
    </row>
    <row r="542" spans="1:11" ht="12.6" customHeight="1" x14ac:dyDescent="0.2">
      <c r="A542" s="13"/>
      <c r="B542" s="19" t="s">
        <v>52</v>
      </c>
      <c r="C542" s="15"/>
      <c r="D542" s="14"/>
      <c r="E542" s="15">
        <f t="shared" si="43"/>
        <v>206.41899999999998</v>
      </c>
      <c r="F542" s="14"/>
      <c r="G542" s="15">
        <f t="shared" si="42"/>
        <v>0</v>
      </c>
      <c r="H542" s="14">
        <v>2</v>
      </c>
      <c r="I542" s="15">
        <f t="shared" si="44"/>
        <v>113.708</v>
      </c>
      <c r="J542" s="14"/>
      <c r="K542" s="13" t="s">
        <v>782</v>
      </c>
    </row>
    <row r="543" spans="1:11" ht="12.6" customHeight="1" x14ac:dyDescent="0.2">
      <c r="A543" s="13"/>
      <c r="B543" s="19" t="s">
        <v>67</v>
      </c>
      <c r="C543" s="15"/>
      <c r="D543" s="14"/>
      <c r="E543" s="15">
        <f t="shared" si="43"/>
        <v>206.41899999999998</v>
      </c>
      <c r="F543" s="14"/>
      <c r="G543" s="15">
        <f t="shared" si="42"/>
        <v>0</v>
      </c>
      <c r="H543" s="14">
        <v>3</v>
      </c>
      <c r="I543" s="15">
        <f t="shared" si="44"/>
        <v>110.708</v>
      </c>
      <c r="J543" s="14"/>
      <c r="K543" s="13" t="s">
        <v>783</v>
      </c>
    </row>
    <row r="544" spans="1:11" ht="12.6" customHeight="1" x14ac:dyDescent="0.2">
      <c r="A544" s="13">
        <v>44931</v>
      </c>
      <c r="B544" s="19"/>
      <c r="C544" s="15">
        <v>2.5</v>
      </c>
      <c r="D544" s="14"/>
      <c r="E544" s="15">
        <f t="shared" si="43"/>
        <v>208.91899999999998</v>
      </c>
      <c r="F544" s="14"/>
      <c r="G544" s="15">
        <f t="shared" si="42"/>
        <v>2.5</v>
      </c>
      <c r="H544" s="14"/>
      <c r="I544" s="15">
        <f t="shared" si="44"/>
        <v>113.208</v>
      </c>
      <c r="J544" s="14"/>
      <c r="K544" s="13"/>
    </row>
    <row r="545" spans="1:11" ht="12.6" customHeight="1" x14ac:dyDescent="0.2">
      <c r="A545" s="16"/>
      <c r="B545" s="19" t="s">
        <v>47</v>
      </c>
      <c r="C545" s="15"/>
      <c r="D545" s="14"/>
      <c r="E545" s="15">
        <f t="shared" si="43"/>
        <v>208.91899999999998</v>
      </c>
      <c r="F545" s="14"/>
      <c r="G545" s="15">
        <f t="shared" si="42"/>
        <v>0</v>
      </c>
      <c r="H545" s="14">
        <v>1</v>
      </c>
      <c r="I545" s="15">
        <f t="shared" si="44"/>
        <v>112.208</v>
      </c>
      <c r="J545" s="14"/>
      <c r="K545" s="13" t="s">
        <v>784</v>
      </c>
    </row>
    <row r="546" spans="1:11" ht="12.6" customHeight="1" x14ac:dyDescent="0.2">
      <c r="A546" s="13">
        <v>44932</v>
      </c>
      <c r="B546" s="19"/>
      <c r="C546" s="15">
        <v>1.25</v>
      </c>
      <c r="D546" s="15"/>
      <c r="E546" s="15">
        <f t="shared" si="43"/>
        <v>210.16899999999998</v>
      </c>
      <c r="F546" s="14"/>
      <c r="G546" s="15">
        <f t="shared" si="42"/>
        <v>1.25</v>
      </c>
      <c r="H546" s="14"/>
      <c r="I546" s="15">
        <f t="shared" si="44"/>
        <v>113.458</v>
      </c>
      <c r="J546" s="14"/>
      <c r="K546" s="13"/>
    </row>
    <row r="547" spans="1:11" ht="12.6" customHeight="1" x14ac:dyDescent="0.2">
      <c r="A547" s="13"/>
      <c r="B547" s="19" t="s">
        <v>47</v>
      </c>
      <c r="C547" s="15"/>
      <c r="D547" s="14"/>
      <c r="E547" s="15">
        <f t="shared" si="43"/>
        <v>210.16899999999998</v>
      </c>
      <c r="F547" s="14"/>
      <c r="G547" s="15">
        <f t="shared" si="42"/>
        <v>0</v>
      </c>
      <c r="H547" s="14">
        <v>1</v>
      </c>
      <c r="I547" s="15">
        <f t="shared" si="44"/>
        <v>112.458</v>
      </c>
      <c r="J547" s="14"/>
      <c r="K547" s="13">
        <v>45052</v>
      </c>
    </row>
    <row r="548" spans="1:11" ht="12.6" customHeight="1" x14ac:dyDescent="0.2">
      <c r="A548" s="13">
        <v>44934</v>
      </c>
      <c r="B548" s="19"/>
      <c r="C548" s="15">
        <v>2.5</v>
      </c>
      <c r="D548" s="15"/>
      <c r="E548" s="15">
        <f t="shared" si="43"/>
        <v>212.66899999999998</v>
      </c>
      <c r="F548" s="14"/>
      <c r="G548" s="15">
        <f t="shared" si="42"/>
        <v>2.5</v>
      </c>
      <c r="H548" s="14"/>
      <c r="I548" s="15">
        <f t="shared" si="44"/>
        <v>114.958</v>
      </c>
      <c r="J548" s="14"/>
      <c r="K548" s="13"/>
    </row>
    <row r="549" spans="1:11" ht="12.6" customHeight="1" x14ac:dyDescent="0.2">
      <c r="A549" s="13"/>
      <c r="B549" s="19" t="s">
        <v>47</v>
      </c>
      <c r="C549" s="15"/>
      <c r="D549" s="14"/>
      <c r="E549" s="15">
        <f t="shared" si="43"/>
        <v>212.66899999999998</v>
      </c>
      <c r="F549" s="14"/>
      <c r="G549" s="15">
        <f t="shared" si="42"/>
        <v>0</v>
      </c>
      <c r="H549" s="14">
        <v>1</v>
      </c>
      <c r="I549" s="15">
        <f t="shared" si="44"/>
        <v>113.958</v>
      </c>
      <c r="J549" s="14"/>
      <c r="K549" s="13">
        <v>44965</v>
      </c>
    </row>
    <row r="550" spans="1:11" ht="12.6" customHeight="1" x14ac:dyDescent="0.2">
      <c r="A550" s="13"/>
      <c r="B550" s="19" t="s">
        <v>47</v>
      </c>
      <c r="C550" s="15"/>
      <c r="D550" s="14"/>
      <c r="E550" s="15">
        <f t="shared" si="43"/>
        <v>212.66899999999998</v>
      </c>
      <c r="F550" s="14"/>
      <c r="G550" s="15">
        <f t="shared" si="42"/>
        <v>0</v>
      </c>
      <c r="H550" s="14">
        <v>1</v>
      </c>
      <c r="I550" s="15">
        <f t="shared" si="44"/>
        <v>112.958</v>
      </c>
      <c r="J550" s="14"/>
      <c r="K550" s="13" t="s">
        <v>785</v>
      </c>
    </row>
    <row r="551" spans="1:11" ht="12.6" customHeight="1" x14ac:dyDescent="0.2">
      <c r="A551" s="13">
        <v>44935</v>
      </c>
      <c r="B551" s="19"/>
      <c r="C551" s="15">
        <v>1.25</v>
      </c>
      <c r="D551" s="14"/>
      <c r="E551" s="15">
        <f t="shared" si="43"/>
        <v>213.91899999999998</v>
      </c>
      <c r="F551" s="14"/>
      <c r="G551" s="15">
        <f t="shared" si="42"/>
        <v>1.25</v>
      </c>
      <c r="H551" s="14"/>
      <c r="I551" s="15">
        <f t="shared" si="44"/>
        <v>114.208</v>
      </c>
      <c r="J551" s="14"/>
      <c r="K551" s="13"/>
    </row>
    <row r="552" spans="1:11" ht="12.6" customHeight="1" x14ac:dyDescent="0.2">
      <c r="A552" s="13"/>
      <c r="B552" s="19" t="s">
        <v>47</v>
      </c>
      <c r="C552" s="15"/>
      <c r="D552" s="14"/>
      <c r="E552" s="15">
        <f t="shared" si="43"/>
        <v>213.91899999999998</v>
      </c>
      <c r="F552" s="14"/>
      <c r="G552" s="15">
        <f t="shared" si="42"/>
        <v>0</v>
      </c>
      <c r="H552" s="14">
        <v>1</v>
      </c>
      <c r="I552" s="15">
        <f t="shared" si="44"/>
        <v>113.208</v>
      </c>
      <c r="J552" s="14"/>
      <c r="K552" s="13">
        <v>45239</v>
      </c>
    </row>
    <row r="553" spans="1:11" ht="12.6" customHeight="1" x14ac:dyDescent="0.2">
      <c r="A553" s="13">
        <v>44936</v>
      </c>
      <c r="B553" s="19"/>
      <c r="C553" s="15">
        <v>1.25</v>
      </c>
      <c r="D553" s="14"/>
      <c r="E553" s="15">
        <f t="shared" si="43"/>
        <v>215.16899999999998</v>
      </c>
      <c r="F553" s="14"/>
      <c r="G553" s="15">
        <f t="shared" si="42"/>
        <v>1.25</v>
      </c>
      <c r="H553" s="14"/>
      <c r="I553" s="15">
        <f t="shared" si="44"/>
        <v>114.458</v>
      </c>
      <c r="J553" s="14"/>
      <c r="K553" s="16"/>
    </row>
    <row r="554" spans="1:11" ht="12.6" customHeight="1" x14ac:dyDescent="0.2">
      <c r="A554" s="13"/>
      <c r="B554" s="19" t="s">
        <v>95</v>
      </c>
      <c r="C554" s="15"/>
      <c r="D554" s="14">
        <v>3</v>
      </c>
      <c r="E554" s="15">
        <f t="shared" si="43"/>
        <v>212.16899999999998</v>
      </c>
      <c r="F554" s="14"/>
      <c r="G554" s="15">
        <f t="shared" si="42"/>
        <v>0</v>
      </c>
      <c r="H554" s="14"/>
      <c r="I554" s="15">
        <f t="shared" si="44"/>
        <v>114.458</v>
      </c>
      <c r="J554" s="14"/>
      <c r="K554" s="16" t="s">
        <v>786</v>
      </c>
    </row>
    <row r="555" spans="1:11" ht="12.6" customHeight="1" x14ac:dyDescent="0.2">
      <c r="A555" s="19"/>
      <c r="B555" s="19"/>
      <c r="C555" s="36">
        <f>SUM(C529:C554)</f>
        <v>22.5</v>
      </c>
      <c r="D555" s="36">
        <f>SUM(D529:D554)</f>
        <v>7</v>
      </c>
      <c r="E555" s="36"/>
      <c r="F555" s="37"/>
      <c r="G555" s="36">
        <f>SUM(G529:G554)</f>
        <v>22.5</v>
      </c>
      <c r="H555" s="36">
        <f>SUM(H529:H554)</f>
        <v>28</v>
      </c>
      <c r="I555" s="15"/>
      <c r="J555" s="14"/>
      <c r="K555" s="16"/>
    </row>
    <row r="556" spans="1:11" ht="12.6" customHeight="1" x14ac:dyDescent="0.2">
      <c r="H556" s="27" t="s">
        <v>23</v>
      </c>
      <c r="J556" s="27" t="s">
        <v>32</v>
      </c>
    </row>
    <row r="557" spans="1:11" ht="12.6" customHeight="1" x14ac:dyDescent="0.2"/>
    <row r="558" spans="1:11" ht="12.6" customHeight="1" x14ac:dyDescent="0.2">
      <c r="A558" s="102" t="str">
        <f>A37</f>
        <v>CATAPANG, CRISPIN JR. D.</v>
      </c>
      <c r="B558" s="102"/>
      <c r="C558" s="102"/>
      <c r="D558" s="102"/>
      <c r="E558" s="102"/>
      <c r="F558" s="102"/>
      <c r="G558" s="102"/>
      <c r="H558" s="1"/>
      <c r="I558" s="103" t="s">
        <v>0</v>
      </c>
      <c r="J558" s="103"/>
      <c r="K558" s="2" t="str">
        <f>K37</f>
        <v>AUGUST 02, 1995</v>
      </c>
    </row>
    <row r="559" spans="1:11" ht="12.6" customHeight="1" x14ac:dyDescent="0.2"/>
    <row r="560" spans="1:11" ht="12.6" customHeight="1" x14ac:dyDescent="0.2">
      <c r="A560" s="104" t="s">
        <v>1</v>
      </c>
      <c r="B560" s="104" t="s">
        <v>2</v>
      </c>
      <c r="C560" s="107" t="s">
        <v>3</v>
      </c>
      <c r="D560" s="108"/>
      <c r="E560" s="108"/>
      <c r="F560" s="109"/>
      <c r="G560" s="107" t="s">
        <v>4</v>
      </c>
      <c r="H560" s="108"/>
      <c r="I560" s="108"/>
      <c r="J560" s="109"/>
      <c r="K560" s="4"/>
    </row>
    <row r="561" spans="1:11" ht="12.6" customHeight="1" x14ac:dyDescent="0.2">
      <c r="A561" s="105"/>
      <c r="B561" s="105"/>
      <c r="C561" s="94" t="s">
        <v>6</v>
      </c>
      <c r="D561" s="5" t="s">
        <v>7</v>
      </c>
      <c r="E561" s="94" t="s">
        <v>8</v>
      </c>
      <c r="F561" s="6" t="s">
        <v>7</v>
      </c>
      <c r="G561" s="94" t="s">
        <v>6</v>
      </c>
      <c r="H561" s="5" t="s">
        <v>7</v>
      </c>
      <c r="I561" s="94" t="s">
        <v>8</v>
      </c>
      <c r="J561" s="1" t="s">
        <v>7</v>
      </c>
      <c r="K561" s="7"/>
    </row>
    <row r="562" spans="1:11" ht="12.6" customHeight="1" x14ac:dyDescent="0.2">
      <c r="A562" s="105"/>
      <c r="B562" s="105"/>
      <c r="C562" s="95"/>
      <c r="D562" s="8" t="s">
        <v>10</v>
      </c>
      <c r="E562" s="95"/>
      <c r="F562" s="6" t="s">
        <v>10</v>
      </c>
      <c r="G562" s="95"/>
      <c r="H562" s="8" t="s">
        <v>10</v>
      </c>
      <c r="I562" s="95"/>
      <c r="J562" s="1" t="s">
        <v>10</v>
      </c>
      <c r="K562" s="7"/>
    </row>
    <row r="563" spans="1:11" ht="12.6" customHeight="1" x14ac:dyDescent="0.2">
      <c r="A563" s="106"/>
      <c r="B563" s="106"/>
      <c r="C563" s="96"/>
      <c r="D563" s="9" t="s">
        <v>12</v>
      </c>
      <c r="E563" s="96"/>
      <c r="F563" s="10" t="s">
        <v>13</v>
      </c>
      <c r="G563" s="96"/>
      <c r="H563" s="9" t="s">
        <v>12</v>
      </c>
      <c r="I563" s="96"/>
      <c r="J563" s="11" t="s">
        <v>13</v>
      </c>
      <c r="K563" s="12"/>
    </row>
    <row r="564" spans="1:11" ht="12.6" customHeight="1" x14ac:dyDescent="0.2">
      <c r="A564" s="13"/>
      <c r="B564" s="19" t="s">
        <v>47</v>
      </c>
      <c r="C564" s="15"/>
      <c r="D564" s="14"/>
      <c r="E564" s="15">
        <f>SUM(E554+C564-D564)</f>
        <v>212.16899999999998</v>
      </c>
      <c r="F564" s="14"/>
      <c r="G564" s="15">
        <f t="shared" ref="G564:G589" si="45">C564</f>
        <v>0</v>
      </c>
      <c r="H564" s="14">
        <v>1</v>
      </c>
      <c r="I564" s="15">
        <f>SUM(I554+G564-H564)</f>
        <v>113.458</v>
      </c>
      <c r="J564" s="14"/>
      <c r="K564" s="16" t="s">
        <v>787</v>
      </c>
    </row>
    <row r="565" spans="1:11" ht="12.6" customHeight="1" x14ac:dyDescent="0.2">
      <c r="A565" s="13">
        <v>44938</v>
      </c>
      <c r="B565" s="19"/>
      <c r="C565" s="15">
        <v>2.5</v>
      </c>
      <c r="D565" s="14"/>
      <c r="E565" s="15">
        <f>E564+C565-D565</f>
        <v>214.66899999999998</v>
      </c>
      <c r="F565" s="14"/>
      <c r="G565" s="15">
        <f t="shared" si="45"/>
        <v>2.5</v>
      </c>
      <c r="H565" s="14"/>
      <c r="I565" s="15">
        <f>I564+G565-H565</f>
        <v>115.958</v>
      </c>
      <c r="J565" s="14"/>
      <c r="K565" s="13"/>
    </row>
    <row r="566" spans="1:11" ht="12.6" customHeight="1" x14ac:dyDescent="0.2">
      <c r="A566" s="13"/>
      <c r="B566" s="19" t="s">
        <v>52</v>
      </c>
      <c r="C566" s="15"/>
      <c r="D566" s="14">
        <v>2</v>
      </c>
      <c r="E566" s="15">
        <f t="shared" ref="E566:E589" si="46">E565+C566-D566</f>
        <v>212.66899999999998</v>
      </c>
      <c r="F566" s="14"/>
      <c r="G566" s="15">
        <f t="shared" si="45"/>
        <v>0</v>
      </c>
      <c r="H566" s="14"/>
      <c r="I566" s="15">
        <f t="shared" ref="I566:I589" si="47">I565+G566-H566</f>
        <v>115.958</v>
      </c>
      <c r="J566" s="14"/>
      <c r="K566" s="13" t="s">
        <v>788</v>
      </c>
    </row>
    <row r="567" spans="1:11" ht="12.6" customHeight="1" x14ac:dyDescent="0.2">
      <c r="A567" s="13"/>
      <c r="B567" s="19" t="s">
        <v>90</v>
      </c>
      <c r="C567" s="15"/>
      <c r="D567" s="14"/>
      <c r="E567" s="15">
        <f t="shared" si="46"/>
        <v>212.66899999999998</v>
      </c>
      <c r="F567" s="14"/>
      <c r="G567" s="15">
        <f t="shared" si="45"/>
        <v>0</v>
      </c>
      <c r="H567" s="14"/>
      <c r="I567" s="15">
        <f t="shared" si="47"/>
        <v>115.958</v>
      </c>
      <c r="J567" s="14"/>
      <c r="K567" s="16" t="s">
        <v>789</v>
      </c>
    </row>
    <row r="568" spans="1:11" ht="12.6" customHeight="1" x14ac:dyDescent="0.2">
      <c r="A568" s="13"/>
      <c r="B568" s="19" t="s">
        <v>47</v>
      </c>
      <c r="C568" s="15"/>
      <c r="D568" s="14"/>
      <c r="E568" s="15">
        <f t="shared" si="46"/>
        <v>212.66899999999998</v>
      </c>
      <c r="F568" s="14"/>
      <c r="G568" s="15">
        <f t="shared" si="45"/>
        <v>0</v>
      </c>
      <c r="H568" s="14">
        <v>1</v>
      </c>
      <c r="I568" s="15">
        <f t="shared" si="47"/>
        <v>114.958</v>
      </c>
      <c r="J568" s="14"/>
      <c r="K568" s="13" t="s">
        <v>790</v>
      </c>
    </row>
    <row r="569" spans="1:11" ht="12.6" customHeight="1" x14ac:dyDescent="0.2">
      <c r="A569" s="13">
        <v>45292</v>
      </c>
      <c r="B569" s="19"/>
      <c r="C569" s="15">
        <v>1.25</v>
      </c>
      <c r="D569" s="14"/>
      <c r="E569" s="15">
        <f t="shared" si="46"/>
        <v>213.91899999999998</v>
      </c>
      <c r="F569" s="14"/>
      <c r="G569" s="15">
        <f t="shared" si="45"/>
        <v>1.25</v>
      </c>
      <c r="H569" s="14"/>
      <c r="I569" s="15">
        <f t="shared" si="47"/>
        <v>116.208</v>
      </c>
      <c r="J569" s="14"/>
      <c r="K569" s="16"/>
    </row>
    <row r="570" spans="1:11" ht="12.6" customHeight="1" x14ac:dyDescent="0.2">
      <c r="A570" s="13"/>
      <c r="B570" s="19" t="s">
        <v>792</v>
      </c>
      <c r="C570" s="15"/>
      <c r="D570" s="14">
        <v>0.05</v>
      </c>
      <c r="E570" s="15">
        <f t="shared" si="46"/>
        <v>213.86899999999997</v>
      </c>
      <c r="F570" s="14"/>
      <c r="G570" s="15">
        <f t="shared" si="45"/>
        <v>0</v>
      </c>
      <c r="H570" s="14"/>
      <c r="I570" s="15">
        <f t="shared" si="47"/>
        <v>116.208</v>
      </c>
      <c r="J570" s="14"/>
      <c r="K570" s="13" t="s">
        <v>791</v>
      </c>
    </row>
    <row r="571" spans="1:11" ht="12.6" customHeight="1" x14ac:dyDescent="0.2">
      <c r="A571" s="13">
        <v>45293</v>
      </c>
      <c r="B571" s="19"/>
      <c r="C571" s="15">
        <v>1.25</v>
      </c>
      <c r="D571" s="14"/>
      <c r="E571" s="15">
        <f t="shared" si="46"/>
        <v>215.11899999999997</v>
      </c>
      <c r="F571" s="14"/>
      <c r="G571" s="15">
        <f t="shared" si="45"/>
        <v>1.25</v>
      </c>
      <c r="H571" s="14"/>
      <c r="I571" s="15">
        <f t="shared" si="47"/>
        <v>117.458</v>
      </c>
      <c r="J571" s="14"/>
      <c r="K571" s="13"/>
    </row>
    <row r="572" spans="1:11" ht="12.6" customHeight="1" x14ac:dyDescent="0.2">
      <c r="A572" s="13"/>
      <c r="B572" s="19" t="s">
        <v>47</v>
      </c>
      <c r="C572" s="15"/>
      <c r="D572" s="14"/>
      <c r="E572" s="15">
        <f t="shared" si="46"/>
        <v>215.11899999999997</v>
      </c>
      <c r="F572" s="14"/>
      <c r="G572" s="15">
        <f t="shared" si="45"/>
        <v>0</v>
      </c>
      <c r="H572" s="14">
        <v>1</v>
      </c>
      <c r="I572" s="15">
        <f t="shared" si="47"/>
        <v>116.458</v>
      </c>
      <c r="J572" s="14"/>
      <c r="K572" s="16" t="s">
        <v>795</v>
      </c>
    </row>
    <row r="573" spans="1:11" ht="12.6" customHeight="1" x14ac:dyDescent="0.2">
      <c r="A573" s="13"/>
      <c r="B573" s="19" t="s">
        <v>67</v>
      </c>
      <c r="C573" s="15"/>
      <c r="D573" s="14"/>
      <c r="E573" s="15">
        <f t="shared" si="46"/>
        <v>215.11899999999997</v>
      </c>
      <c r="F573" s="14"/>
      <c r="G573" s="15">
        <f t="shared" si="45"/>
        <v>0</v>
      </c>
      <c r="H573" s="14">
        <v>3</v>
      </c>
      <c r="I573" s="15">
        <f t="shared" si="47"/>
        <v>113.458</v>
      </c>
      <c r="J573" s="14"/>
      <c r="K573" s="16" t="s">
        <v>796</v>
      </c>
    </row>
    <row r="574" spans="1:11" ht="12.6" customHeight="1" x14ac:dyDescent="0.2">
      <c r="A574" s="13">
        <v>45295</v>
      </c>
      <c r="B574" s="19"/>
      <c r="C574" s="15">
        <v>2.5</v>
      </c>
      <c r="D574" s="14"/>
      <c r="E574" s="15">
        <f t="shared" si="46"/>
        <v>217.61899999999997</v>
      </c>
      <c r="F574" s="14"/>
      <c r="G574" s="15">
        <f t="shared" si="45"/>
        <v>2.5</v>
      </c>
      <c r="H574" s="14"/>
      <c r="I574" s="15">
        <f t="shared" si="47"/>
        <v>115.958</v>
      </c>
      <c r="J574" s="14"/>
      <c r="K574" s="16"/>
    </row>
    <row r="575" spans="1:11" ht="12.6" customHeight="1" x14ac:dyDescent="0.2">
      <c r="A575" s="13"/>
      <c r="B575" s="19" t="s">
        <v>47</v>
      </c>
      <c r="C575" s="15"/>
      <c r="D575" s="14"/>
      <c r="E575" s="15">
        <f t="shared" si="46"/>
        <v>217.61899999999997</v>
      </c>
      <c r="F575" s="14"/>
      <c r="G575" s="15">
        <f t="shared" si="45"/>
        <v>0</v>
      </c>
      <c r="H575" s="14">
        <v>1</v>
      </c>
      <c r="I575" s="15">
        <f t="shared" si="47"/>
        <v>114.958</v>
      </c>
      <c r="J575" s="14"/>
      <c r="K575" s="13">
        <v>45295</v>
      </c>
    </row>
    <row r="576" spans="1:11" ht="12.6" customHeight="1" x14ac:dyDescent="0.2">
      <c r="A576" s="13">
        <v>45296</v>
      </c>
      <c r="B576" s="19"/>
      <c r="C576" s="15">
        <v>1.25</v>
      </c>
      <c r="D576" s="14"/>
      <c r="E576" s="15">
        <f t="shared" si="46"/>
        <v>218.86899999999997</v>
      </c>
      <c r="F576" s="14"/>
      <c r="G576" s="15">
        <f t="shared" si="45"/>
        <v>1.25</v>
      </c>
      <c r="H576" s="14"/>
      <c r="I576" s="15">
        <f t="shared" si="47"/>
        <v>116.208</v>
      </c>
      <c r="J576" s="14"/>
      <c r="K576" s="13"/>
    </row>
    <row r="577" spans="1:11" ht="12.6" customHeight="1" x14ac:dyDescent="0.2">
      <c r="A577" s="13"/>
      <c r="B577" s="19" t="s">
        <v>67</v>
      </c>
      <c r="C577" s="15"/>
      <c r="D577" s="14"/>
      <c r="E577" s="15">
        <f t="shared" si="46"/>
        <v>218.86899999999997</v>
      </c>
      <c r="F577" s="14"/>
      <c r="G577" s="15">
        <f t="shared" si="45"/>
        <v>0</v>
      </c>
      <c r="H577" s="14">
        <v>3</v>
      </c>
      <c r="I577" s="15">
        <f t="shared" si="47"/>
        <v>113.208</v>
      </c>
      <c r="J577" s="14"/>
      <c r="K577" s="13" t="s">
        <v>797</v>
      </c>
    </row>
    <row r="578" spans="1:11" ht="12.6" customHeight="1" x14ac:dyDescent="0.2">
      <c r="A578" s="13"/>
      <c r="B578" s="19" t="s">
        <v>144</v>
      </c>
      <c r="C578" s="15"/>
      <c r="D578" s="14"/>
      <c r="E578" s="15">
        <f t="shared" si="46"/>
        <v>218.86899999999997</v>
      </c>
      <c r="F578" s="14"/>
      <c r="G578" s="15">
        <f t="shared" si="45"/>
        <v>0</v>
      </c>
      <c r="H578" s="14">
        <v>1.5</v>
      </c>
      <c r="I578" s="15">
        <f t="shared" si="47"/>
        <v>111.708</v>
      </c>
      <c r="J578" s="14"/>
      <c r="K578" s="13" t="s">
        <v>798</v>
      </c>
    </row>
    <row r="579" spans="1:11" ht="12.6" customHeight="1" x14ac:dyDescent="0.2">
      <c r="A579" s="13"/>
      <c r="B579" s="19" t="s">
        <v>47</v>
      </c>
      <c r="C579" s="15"/>
      <c r="D579" s="14"/>
      <c r="E579" s="15">
        <f t="shared" si="46"/>
        <v>218.86899999999997</v>
      </c>
      <c r="F579" s="14"/>
      <c r="G579" s="15">
        <f t="shared" si="45"/>
        <v>0</v>
      </c>
      <c r="H579" s="14">
        <v>1</v>
      </c>
      <c r="I579" s="15">
        <f t="shared" si="47"/>
        <v>110.708</v>
      </c>
      <c r="J579" s="14"/>
      <c r="K579" s="13" t="s">
        <v>799</v>
      </c>
    </row>
    <row r="580" spans="1:11" ht="12.6" customHeight="1" x14ac:dyDescent="0.2">
      <c r="A580" s="13">
        <v>45297</v>
      </c>
      <c r="B580" s="19"/>
      <c r="C580" s="15">
        <v>1.25</v>
      </c>
      <c r="D580" s="14"/>
      <c r="E580" s="15">
        <f t="shared" si="46"/>
        <v>220.11899999999997</v>
      </c>
      <c r="F580" s="14"/>
      <c r="G580" s="15">
        <f t="shared" si="45"/>
        <v>1.25</v>
      </c>
      <c r="H580" s="14"/>
      <c r="I580" s="15">
        <f t="shared" si="47"/>
        <v>111.958</v>
      </c>
      <c r="J580" s="14"/>
      <c r="K580" s="13"/>
    </row>
    <row r="581" spans="1:11" ht="12.6" customHeight="1" x14ac:dyDescent="0.2">
      <c r="A581" s="13"/>
      <c r="B581" s="19" t="s">
        <v>47</v>
      </c>
      <c r="C581" s="15"/>
      <c r="D581" s="15"/>
      <c r="E581" s="15">
        <f t="shared" si="46"/>
        <v>220.11899999999997</v>
      </c>
      <c r="F581" s="14"/>
      <c r="G581" s="15">
        <f t="shared" si="45"/>
        <v>0</v>
      </c>
      <c r="H581" s="14">
        <v>1</v>
      </c>
      <c r="I581" s="15">
        <f t="shared" si="47"/>
        <v>110.958</v>
      </c>
      <c r="J581" s="14"/>
      <c r="K581" s="13">
        <v>45357</v>
      </c>
    </row>
    <row r="582" spans="1:11" ht="12.6" customHeight="1" x14ac:dyDescent="0.2">
      <c r="A582" s="13"/>
      <c r="B582" s="19" t="s">
        <v>52</v>
      </c>
      <c r="C582" s="15"/>
      <c r="D582" s="14"/>
      <c r="E582" s="15">
        <f t="shared" si="46"/>
        <v>220.11899999999997</v>
      </c>
      <c r="F582" s="14"/>
      <c r="G582" s="15">
        <f t="shared" si="45"/>
        <v>0</v>
      </c>
      <c r="H582" s="14">
        <v>2</v>
      </c>
      <c r="I582" s="15">
        <f t="shared" si="47"/>
        <v>108.958</v>
      </c>
      <c r="J582" s="14"/>
      <c r="K582" s="13" t="s">
        <v>800</v>
      </c>
    </row>
    <row r="583" spans="1:11" ht="12.6" customHeight="1" x14ac:dyDescent="0.2">
      <c r="A583" s="13">
        <v>45298</v>
      </c>
      <c r="B583" s="19"/>
      <c r="C583" s="15">
        <v>1.25</v>
      </c>
      <c r="D583" s="15"/>
      <c r="E583" s="15">
        <f t="shared" si="46"/>
        <v>221.36899999999997</v>
      </c>
      <c r="F583" s="14"/>
      <c r="G583" s="15">
        <f t="shared" si="45"/>
        <v>1.25</v>
      </c>
      <c r="H583" s="14"/>
      <c r="I583" s="15">
        <f t="shared" si="47"/>
        <v>110.208</v>
      </c>
      <c r="J583" s="14"/>
      <c r="K583" s="13"/>
    </row>
    <row r="584" spans="1:11" ht="12.6" customHeight="1" x14ac:dyDescent="0.2">
      <c r="A584" s="13"/>
      <c r="B584" s="19" t="s">
        <v>47</v>
      </c>
      <c r="C584" s="15"/>
      <c r="D584" s="14"/>
      <c r="E584" s="15">
        <f t="shared" si="46"/>
        <v>221.36899999999997</v>
      </c>
      <c r="F584" s="14"/>
      <c r="G584" s="15">
        <f t="shared" si="45"/>
        <v>0</v>
      </c>
      <c r="H584" s="14">
        <v>1</v>
      </c>
      <c r="I584" s="15">
        <f t="shared" si="47"/>
        <v>109.208</v>
      </c>
      <c r="J584" s="14"/>
      <c r="K584" s="13" t="s">
        <v>801</v>
      </c>
    </row>
    <row r="585" spans="1:11" ht="12.6" customHeight="1" x14ac:dyDescent="0.2">
      <c r="A585" s="13">
        <v>45301</v>
      </c>
      <c r="B585" s="19"/>
      <c r="C585" s="15">
        <v>3.75</v>
      </c>
      <c r="D585" s="14"/>
      <c r="E585" s="15">
        <f t="shared" si="46"/>
        <v>225.11899999999997</v>
      </c>
      <c r="F585" s="14"/>
      <c r="G585" s="15">
        <f t="shared" si="45"/>
        <v>3.75</v>
      </c>
      <c r="H585" s="14"/>
      <c r="I585" s="15">
        <f t="shared" si="47"/>
        <v>112.958</v>
      </c>
      <c r="J585" s="14"/>
      <c r="K585" s="13"/>
    </row>
    <row r="586" spans="1:11" ht="12.6" customHeight="1" x14ac:dyDescent="0.2">
      <c r="A586" s="13"/>
      <c r="B586" s="19" t="s">
        <v>67</v>
      </c>
      <c r="C586" s="15"/>
      <c r="D586" s="14"/>
      <c r="E586" s="15">
        <f t="shared" si="46"/>
        <v>225.11899999999997</v>
      </c>
      <c r="F586" s="14"/>
      <c r="G586" s="15">
        <f t="shared" si="45"/>
        <v>0</v>
      </c>
      <c r="H586" s="14">
        <v>3</v>
      </c>
      <c r="I586" s="15">
        <f t="shared" si="47"/>
        <v>109.958</v>
      </c>
      <c r="J586" s="14"/>
      <c r="K586" s="13" t="s">
        <v>802</v>
      </c>
    </row>
    <row r="587" spans="1:11" ht="12.6" customHeight="1" x14ac:dyDescent="0.2">
      <c r="A587" s="13"/>
      <c r="B587" s="19" t="s">
        <v>47</v>
      </c>
      <c r="C587" s="15"/>
      <c r="D587" s="14"/>
      <c r="E587" s="15">
        <f t="shared" si="46"/>
        <v>225.11899999999997</v>
      </c>
      <c r="F587" s="14"/>
      <c r="G587" s="15">
        <f t="shared" si="45"/>
        <v>0</v>
      </c>
      <c r="H587" s="14">
        <v>1</v>
      </c>
      <c r="I587" s="15">
        <f t="shared" si="47"/>
        <v>108.958</v>
      </c>
      <c r="J587" s="14"/>
      <c r="K587" s="13" t="s">
        <v>803</v>
      </c>
    </row>
    <row r="588" spans="1:11" ht="12.6" customHeight="1" x14ac:dyDescent="0.2">
      <c r="A588" s="13">
        <v>45303</v>
      </c>
      <c r="B588" s="19"/>
      <c r="C588" s="15">
        <v>2.5</v>
      </c>
      <c r="D588" s="14"/>
      <c r="E588" s="15">
        <f t="shared" si="46"/>
        <v>227.61899999999997</v>
      </c>
      <c r="F588" s="14"/>
      <c r="G588" s="15">
        <f t="shared" si="45"/>
        <v>2.5</v>
      </c>
      <c r="H588" s="14"/>
      <c r="I588" s="15">
        <f t="shared" si="47"/>
        <v>111.458</v>
      </c>
      <c r="J588" s="14"/>
      <c r="K588" s="16"/>
    </row>
    <row r="589" spans="1:11" ht="12.6" customHeight="1" x14ac:dyDescent="0.2">
      <c r="A589" s="13"/>
      <c r="B589" s="19" t="s">
        <v>65</v>
      </c>
      <c r="C589" s="15"/>
      <c r="D589" s="14">
        <v>5</v>
      </c>
      <c r="E589" s="15">
        <f t="shared" si="46"/>
        <v>222.61899999999997</v>
      </c>
      <c r="F589" s="14"/>
      <c r="G589" s="15">
        <f t="shared" si="45"/>
        <v>0</v>
      </c>
      <c r="H589" s="14"/>
      <c r="I589" s="15">
        <f t="shared" si="47"/>
        <v>111.458</v>
      </c>
      <c r="J589" s="14"/>
      <c r="K589" s="16" t="s">
        <v>804</v>
      </c>
    </row>
    <row r="590" spans="1:11" ht="12.6" customHeight="1" x14ac:dyDescent="0.2">
      <c r="A590" s="19"/>
      <c r="B590" s="19"/>
      <c r="C590" s="36">
        <f>SUM(C564:C589)</f>
        <v>17.5</v>
      </c>
      <c r="D590" s="36">
        <f>SUM(D564:D589)</f>
        <v>7.05</v>
      </c>
      <c r="E590" s="36"/>
      <c r="F590" s="37"/>
      <c r="G590" s="36">
        <f>SUM(G564:G589)</f>
        <v>17.5</v>
      </c>
      <c r="H590" s="36">
        <f>SUM(H564:H589)</f>
        <v>20.5</v>
      </c>
      <c r="I590" s="15"/>
      <c r="J590" s="14"/>
      <c r="K590" s="16"/>
    </row>
    <row r="591" spans="1:11" ht="12.6" customHeight="1" x14ac:dyDescent="0.2">
      <c r="H591" s="27" t="s">
        <v>23</v>
      </c>
      <c r="J591" s="27" t="s">
        <v>479</v>
      </c>
    </row>
    <row r="592" spans="1:11" ht="12.6" customHeight="1" x14ac:dyDescent="0.2"/>
    <row r="593" spans="1:11" ht="12.6" customHeight="1" x14ac:dyDescent="0.2"/>
    <row r="594" spans="1:11" ht="12.6" customHeight="1" x14ac:dyDescent="0.2"/>
    <row r="595" spans="1:11" ht="12.6" customHeight="1" x14ac:dyDescent="0.2"/>
    <row r="596" spans="1:11" ht="12.6" customHeight="1" x14ac:dyDescent="0.2"/>
    <row r="597" spans="1:11" ht="12.6" customHeight="1" x14ac:dyDescent="0.2">
      <c r="A597" s="102" t="str">
        <f>A76</f>
        <v>CATAPANG, CRISPIN JR. D.</v>
      </c>
      <c r="B597" s="102"/>
      <c r="C597" s="102"/>
      <c r="D597" s="102"/>
      <c r="E597" s="102"/>
      <c r="F597" s="102"/>
      <c r="G597" s="102"/>
      <c r="H597" s="1"/>
      <c r="I597" s="103" t="s">
        <v>0</v>
      </c>
      <c r="J597" s="103"/>
      <c r="K597" s="2" t="str">
        <f>K76</f>
        <v>AUGUST 02, 1995</v>
      </c>
    </row>
    <row r="598" spans="1:11" ht="12.6" customHeight="1" x14ac:dyDescent="0.2"/>
    <row r="599" spans="1:11" ht="12.6" customHeight="1" x14ac:dyDescent="0.2">
      <c r="A599" s="104" t="s">
        <v>1</v>
      </c>
      <c r="B599" s="104" t="s">
        <v>2</v>
      </c>
      <c r="C599" s="107" t="s">
        <v>3</v>
      </c>
      <c r="D599" s="108"/>
      <c r="E599" s="108"/>
      <c r="F599" s="109"/>
      <c r="G599" s="107" t="s">
        <v>4</v>
      </c>
      <c r="H599" s="108"/>
      <c r="I599" s="108"/>
      <c r="J599" s="109"/>
      <c r="K599" s="4"/>
    </row>
    <row r="600" spans="1:11" ht="12.6" customHeight="1" x14ac:dyDescent="0.2">
      <c r="A600" s="105"/>
      <c r="B600" s="105"/>
      <c r="C600" s="94" t="s">
        <v>6</v>
      </c>
      <c r="D600" s="5" t="s">
        <v>7</v>
      </c>
      <c r="E600" s="94" t="s">
        <v>8</v>
      </c>
      <c r="F600" s="6" t="s">
        <v>7</v>
      </c>
      <c r="G600" s="94" t="s">
        <v>6</v>
      </c>
      <c r="H600" s="5" t="s">
        <v>7</v>
      </c>
      <c r="I600" s="94" t="s">
        <v>8</v>
      </c>
      <c r="J600" s="1" t="s">
        <v>7</v>
      </c>
      <c r="K600" s="7"/>
    </row>
    <row r="601" spans="1:11" ht="12.6" customHeight="1" x14ac:dyDescent="0.2">
      <c r="A601" s="105"/>
      <c r="B601" s="105"/>
      <c r="C601" s="95"/>
      <c r="D601" s="8" t="s">
        <v>10</v>
      </c>
      <c r="E601" s="95"/>
      <c r="F601" s="6" t="s">
        <v>10</v>
      </c>
      <c r="G601" s="95"/>
      <c r="H601" s="8" t="s">
        <v>10</v>
      </c>
      <c r="I601" s="95"/>
      <c r="J601" s="1" t="s">
        <v>10</v>
      </c>
      <c r="K601" s="7"/>
    </row>
    <row r="602" spans="1:11" ht="12.6" customHeight="1" x14ac:dyDescent="0.2">
      <c r="A602" s="106"/>
      <c r="B602" s="106"/>
      <c r="C602" s="96"/>
      <c r="D602" s="9" t="s">
        <v>12</v>
      </c>
      <c r="E602" s="96"/>
      <c r="F602" s="10" t="s">
        <v>13</v>
      </c>
      <c r="G602" s="96"/>
      <c r="H602" s="9" t="s">
        <v>12</v>
      </c>
      <c r="I602" s="96"/>
      <c r="J602" s="11" t="s">
        <v>13</v>
      </c>
      <c r="K602" s="12"/>
    </row>
    <row r="603" spans="1:11" ht="12.6" customHeight="1" x14ac:dyDescent="0.2">
      <c r="A603" s="13">
        <v>45658</v>
      </c>
      <c r="B603" s="19"/>
      <c r="C603" s="15">
        <v>1.25</v>
      </c>
      <c r="D603" s="14"/>
      <c r="E603" s="15">
        <f>SUM(E589+C603-D603)</f>
        <v>223.86899999999997</v>
      </c>
      <c r="F603" s="14"/>
      <c r="G603" s="15">
        <f t="shared" ref="G603:G625" si="48">C603</f>
        <v>1.25</v>
      </c>
      <c r="H603" s="14"/>
      <c r="I603" s="15">
        <f>SUM(I589+G603-H603)</f>
        <v>112.708</v>
      </c>
      <c r="J603" s="14"/>
      <c r="K603" s="16"/>
    </row>
    <row r="604" spans="1:11" ht="12.6" customHeight="1" x14ac:dyDescent="0.2">
      <c r="A604" s="13"/>
      <c r="B604" s="19" t="s">
        <v>806</v>
      </c>
      <c r="C604" s="15"/>
      <c r="D604" s="14">
        <v>2.2120000000000002</v>
      </c>
      <c r="E604" s="15">
        <f>E603+C604-D604</f>
        <v>221.65699999999998</v>
      </c>
      <c r="F604" s="14"/>
      <c r="G604" s="15">
        <f t="shared" si="48"/>
        <v>0</v>
      </c>
      <c r="H604" s="14"/>
      <c r="I604" s="15">
        <f>I603+G604-H604</f>
        <v>112.708</v>
      </c>
      <c r="J604" s="14"/>
      <c r="K604" s="13" t="s">
        <v>805</v>
      </c>
    </row>
    <row r="605" spans="1:11" ht="12.6" customHeight="1" x14ac:dyDescent="0.2">
      <c r="A605" s="13"/>
      <c r="B605" s="19" t="s">
        <v>67</v>
      </c>
      <c r="C605" s="15"/>
      <c r="D605" s="14"/>
      <c r="E605" s="15">
        <f t="shared" ref="E605:E625" si="49">E604+C605-D605</f>
        <v>221.65699999999998</v>
      </c>
      <c r="F605" s="14"/>
      <c r="G605" s="15">
        <f t="shared" si="48"/>
        <v>0</v>
      </c>
      <c r="H605" s="14">
        <v>3</v>
      </c>
      <c r="I605" s="15">
        <f t="shared" ref="I605:I625" si="50">I604+G605-H605</f>
        <v>109.708</v>
      </c>
      <c r="J605" s="14"/>
      <c r="K605" s="13" t="s">
        <v>807</v>
      </c>
    </row>
    <row r="606" spans="1:11" ht="12.6" customHeight="1" x14ac:dyDescent="0.2">
      <c r="A606" s="13">
        <v>45659</v>
      </c>
      <c r="B606" s="19"/>
      <c r="C606" s="15">
        <v>1.25</v>
      </c>
      <c r="D606" s="14"/>
      <c r="E606" s="15">
        <f t="shared" si="49"/>
        <v>222.90699999999998</v>
      </c>
      <c r="F606" s="14"/>
      <c r="G606" s="15">
        <f t="shared" si="48"/>
        <v>1.25</v>
      </c>
      <c r="H606" s="14"/>
      <c r="I606" s="15">
        <f t="shared" si="50"/>
        <v>110.958</v>
      </c>
      <c r="J606" s="14"/>
      <c r="K606" s="16"/>
    </row>
    <row r="607" spans="1:11" ht="12.6" customHeight="1" x14ac:dyDescent="0.2">
      <c r="A607" s="13"/>
      <c r="B607" s="19" t="s">
        <v>47</v>
      </c>
      <c r="C607" s="15"/>
      <c r="D607" s="14"/>
      <c r="E607" s="15">
        <f t="shared" si="49"/>
        <v>222.90699999999998</v>
      </c>
      <c r="F607" s="14"/>
      <c r="G607" s="15">
        <f t="shared" si="48"/>
        <v>0</v>
      </c>
      <c r="H607" s="14">
        <v>1</v>
      </c>
      <c r="I607" s="15">
        <f t="shared" si="50"/>
        <v>109.958</v>
      </c>
      <c r="J607" s="14"/>
      <c r="K607" s="13">
        <v>45932</v>
      </c>
    </row>
    <row r="608" spans="1:11" ht="12.6" customHeight="1" x14ac:dyDescent="0.2">
      <c r="A608" s="13">
        <v>45660</v>
      </c>
      <c r="B608" s="19"/>
      <c r="C608" s="15">
        <v>1.25</v>
      </c>
      <c r="D608" s="14"/>
      <c r="E608" s="15">
        <f t="shared" si="49"/>
        <v>224.15699999999998</v>
      </c>
      <c r="F608" s="14"/>
      <c r="G608" s="15">
        <f t="shared" si="48"/>
        <v>1.25</v>
      </c>
      <c r="H608" s="14"/>
      <c r="I608" s="15">
        <f t="shared" si="50"/>
        <v>111.208</v>
      </c>
      <c r="J608" s="14"/>
      <c r="K608" s="16"/>
    </row>
    <row r="609" spans="1:11" ht="12.6" customHeight="1" x14ac:dyDescent="0.2">
      <c r="A609" s="13"/>
      <c r="B609" s="19" t="s">
        <v>47</v>
      </c>
      <c r="C609" s="15"/>
      <c r="D609" s="14"/>
      <c r="E609" s="15">
        <f t="shared" si="49"/>
        <v>224.15699999999998</v>
      </c>
      <c r="F609" s="14"/>
      <c r="G609" s="15">
        <f t="shared" si="48"/>
        <v>0</v>
      </c>
      <c r="H609" s="14">
        <v>1</v>
      </c>
      <c r="I609" s="15">
        <f t="shared" si="50"/>
        <v>110.208</v>
      </c>
      <c r="J609" s="14"/>
      <c r="K609" s="13">
        <v>45933</v>
      </c>
    </row>
    <row r="610" spans="1:11" ht="12.6" customHeight="1" x14ac:dyDescent="0.2">
      <c r="A610" s="13"/>
      <c r="B610" s="19" t="s">
        <v>52</v>
      </c>
      <c r="C610" s="15"/>
      <c r="D610" s="14"/>
      <c r="E610" s="15">
        <f t="shared" si="49"/>
        <v>224.15699999999998</v>
      </c>
      <c r="F610" s="14"/>
      <c r="G610" s="15">
        <f t="shared" si="48"/>
        <v>0</v>
      </c>
      <c r="H610" s="14">
        <v>2</v>
      </c>
      <c r="I610" s="15">
        <f t="shared" si="50"/>
        <v>108.208</v>
      </c>
      <c r="J610" s="14"/>
      <c r="K610" s="13" t="s">
        <v>808</v>
      </c>
    </row>
    <row r="611" spans="1:11" ht="12.6" customHeight="1" x14ac:dyDescent="0.2">
      <c r="A611" s="13">
        <v>45661</v>
      </c>
      <c r="B611" s="19"/>
      <c r="C611" s="15">
        <v>1.25</v>
      </c>
      <c r="D611" s="14"/>
      <c r="E611" s="15">
        <f t="shared" si="49"/>
        <v>225.40699999999998</v>
      </c>
      <c r="F611" s="14"/>
      <c r="G611" s="15">
        <f t="shared" si="48"/>
        <v>1.25</v>
      </c>
      <c r="H611" s="14"/>
      <c r="I611" s="15">
        <f t="shared" si="50"/>
        <v>109.458</v>
      </c>
      <c r="J611" s="14"/>
      <c r="K611" s="16"/>
    </row>
    <row r="612" spans="1:11" ht="12.6" customHeight="1" x14ac:dyDescent="0.2">
      <c r="A612" s="13"/>
      <c r="B612" s="19" t="s">
        <v>47</v>
      </c>
      <c r="C612" s="15"/>
      <c r="D612" s="14"/>
      <c r="E612" s="15">
        <f t="shared" si="49"/>
        <v>225.40699999999998</v>
      </c>
      <c r="F612" s="14"/>
      <c r="G612" s="15">
        <f t="shared" si="48"/>
        <v>0</v>
      </c>
      <c r="H612" s="14">
        <v>1</v>
      </c>
      <c r="I612" s="15">
        <f t="shared" si="50"/>
        <v>108.458</v>
      </c>
      <c r="J612" s="14"/>
      <c r="K612" s="16" t="s">
        <v>809</v>
      </c>
    </row>
    <row r="613" spans="1:11" ht="12.6" customHeight="1" x14ac:dyDescent="0.2">
      <c r="A613" s="13">
        <v>45663</v>
      </c>
      <c r="B613" s="19"/>
      <c r="C613" s="15">
        <v>2.5</v>
      </c>
      <c r="D613" s="14"/>
      <c r="E613" s="15">
        <f t="shared" si="49"/>
        <v>227.90699999999998</v>
      </c>
      <c r="F613" s="14"/>
      <c r="G613" s="15">
        <f t="shared" si="48"/>
        <v>2.5</v>
      </c>
      <c r="H613" s="14"/>
      <c r="I613" s="15">
        <f t="shared" si="50"/>
        <v>110.958</v>
      </c>
      <c r="J613" s="14"/>
      <c r="K613" s="16"/>
    </row>
    <row r="614" spans="1:11" ht="12.6" customHeight="1" x14ac:dyDescent="0.2">
      <c r="A614" s="13"/>
      <c r="B614" s="19" t="s">
        <v>95</v>
      </c>
      <c r="C614" s="15"/>
      <c r="D614" s="14">
        <v>3</v>
      </c>
      <c r="E614" s="15">
        <f t="shared" si="49"/>
        <v>224.90699999999998</v>
      </c>
      <c r="F614" s="14"/>
      <c r="G614" s="15">
        <f t="shared" si="48"/>
        <v>0</v>
      </c>
      <c r="H614" s="14"/>
      <c r="I614" s="15">
        <f t="shared" si="50"/>
        <v>110.958</v>
      </c>
      <c r="J614" s="14"/>
      <c r="K614" s="13" t="s">
        <v>810</v>
      </c>
    </row>
    <row r="615" spans="1:11" ht="12.6" customHeight="1" x14ac:dyDescent="0.2">
      <c r="A615" s="13"/>
      <c r="B615" s="19" t="s">
        <v>47</v>
      </c>
      <c r="C615" s="15"/>
      <c r="D615" s="14"/>
      <c r="E615" s="15">
        <f t="shared" si="49"/>
        <v>224.90699999999998</v>
      </c>
      <c r="F615" s="14"/>
      <c r="G615" s="15">
        <f t="shared" si="48"/>
        <v>0</v>
      </c>
      <c r="H615" s="14">
        <v>1</v>
      </c>
      <c r="I615" s="15">
        <f t="shared" si="50"/>
        <v>109.958</v>
      </c>
      <c r="J615" s="14"/>
      <c r="K615" s="13" t="s">
        <v>811</v>
      </c>
    </row>
    <row r="616" spans="1:11" ht="12.6" customHeight="1" x14ac:dyDescent="0.2">
      <c r="A616" s="13">
        <v>45667</v>
      </c>
      <c r="B616" s="19"/>
      <c r="C616" s="15">
        <v>5</v>
      </c>
      <c r="D616" s="14"/>
      <c r="E616" s="15">
        <f t="shared" si="49"/>
        <v>229.90699999999998</v>
      </c>
      <c r="F616" s="14"/>
      <c r="G616" s="15">
        <f t="shared" si="48"/>
        <v>5</v>
      </c>
      <c r="H616" s="14"/>
      <c r="I616" s="15">
        <f t="shared" si="50"/>
        <v>114.958</v>
      </c>
      <c r="J616" s="14"/>
      <c r="K616" s="13"/>
    </row>
    <row r="617" spans="1:11" ht="12.6" customHeight="1" x14ac:dyDescent="0.2">
      <c r="A617" s="13"/>
      <c r="B617" s="19" t="s">
        <v>52</v>
      </c>
      <c r="C617" s="15"/>
      <c r="D617" s="14"/>
      <c r="E617" s="15">
        <f t="shared" si="49"/>
        <v>229.90699999999998</v>
      </c>
      <c r="F617" s="14"/>
      <c r="G617" s="15">
        <f t="shared" si="48"/>
        <v>0</v>
      </c>
      <c r="H617" s="14">
        <v>2</v>
      </c>
      <c r="I617" s="15">
        <f t="shared" si="50"/>
        <v>112.958</v>
      </c>
      <c r="J617" s="14"/>
      <c r="K617" s="13" t="s">
        <v>812</v>
      </c>
    </row>
    <row r="618" spans="1:11" ht="12.6" customHeight="1" x14ac:dyDescent="0.2">
      <c r="A618" s="13"/>
      <c r="B618" s="19" t="s">
        <v>47</v>
      </c>
      <c r="C618" s="15"/>
      <c r="D618" s="14"/>
      <c r="E618" s="15">
        <f t="shared" si="49"/>
        <v>229.90699999999998</v>
      </c>
      <c r="F618" s="14"/>
      <c r="G618" s="15">
        <f t="shared" si="48"/>
        <v>0</v>
      </c>
      <c r="H618" s="14">
        <v>1</v>
      </c>
      <c r="I618" s="15">
        <f t="shared" si="50"/>
        <v>111.958</v>
      </c>
      <c r="J618" s="14"/>
      <c r="K618" s="13" t="s">
        <v>813</v>
      </c>
    </row>
    <row r="619" spans="1:11" ht="12.6" customHeight="1" x14ac:dyDescent="0.2">
      <c r="A619" s="13">
        <v>45669</v>
      </c>
      <c r="B619" s="19"/>
      <c r="C619" s="15">
        <v>2.5</v>
      </c>
      <c r="D619" s="14"/>
      <c r="E619" s="15">
        <f t="shared" si="49"/>
        <v>232.40699999999998</v>
      </c>
      <c r="F619" s="14"/>
      <c r="G619" s="15">
        <f t="shared" si="48"/>
        <v>2.5</v>
      </c>
      <c r="H619" s="14"/>
      <c r="I619" s="15">
        <f t="shared" si="50"/>
        <v>114.458</v>
      </c>
      <c r="J619" s="14"/>
      <c r="K619" s="13"/>
    </row>
    <row r="620" spans="1:11" ht="12.6" customHeight="1" x14ac:dyDescent="0.2">
      <c r="A620" s="13"/>
      <c r="B620" s="19" t="s">
        <v>76</v>
      </c>
      <c r="C620" s="15"/>
      <c r="D620" s="14">
        <v>2</v>
      </c>
      <c r="E620" s="15">
        <f t="shared" si="49"/>
        <v>230.40699999999998</v>
      </c>
      <c r="F620" s="14"/>
      <c r="G620" s="15">
        <f t="shared" si="48"/>
        <v>0</v>
      </c>
      <c r="H620" s="14"/>
      <c r="I620" s="15">
        <f t="shared" si="50"/>
        <v>114.458</v>
      </c>
      <c r="J620" s="14"/>
      <c r="K620" s="13" t="s">
        <v>814</v>
      </c>
    </row>
    <row r="621" spans="1:11" ht="12.6" customHeight="1" x14ac:dyDescent="0.2">
      <c r="A621" s="13"/>
      <c r="B621" s="19" t="s">
        <v>76</v>
      </c>
      <c r="C621" s="15"/>
      <c r="D621" s="14">
        <v>2</v>
      </c>
      <c r="E621" s="15">
        <f t="shared" si="49"/>
        <v>228.40699999999998</v>
      </c>
      <c r="F621" s="14"/>
      <c r="G621" s="15">
        <f t="shared" si="48"/>
        <v>0</v>
      </c>
      <c r="H621" s="14"/>
      <c r="I621" s="15">
        <f t="shared" si="50"/>
        <v>114.458</v>
      </c>
      <c r="J621" s="14"/>
      <c r="K621" s="13" t="s">
        <v>815</v>
      </c>
    </row>
    <row r="622" spans="1:11" ht="12.6" customHeight="1" x14ac:dyDescent="0.2">
      <c r="A622" s="13">
        <v>46023</v>
      </c>
      <c r="B622" s="19"/>
      <c r="C622" s="15">
        <v>1.25</v>
      </c>
      <c r="D622" s="15"/>
      <c r="E622" s="15">
        <f t="shared" si="49"/>
        <v>229.65699999999998</v>
      </c>
      <c r="F622" s="14"/>
      <c r="G622" s="15">
        <f t="shared" si="48"/>
        <v>1.25</v>
      </c>
      <c r="H622" s="14"/>
      <c r="I622" s="15">
        <f t="shared" si="50"/>
        <v>115.708</v>
      </c>
      <c r="J622" s="14"/>
      <c r="K622" s="13"/>
    </row>
    <row r="623" spans="1:11" ht="12.6" customHeight="1" x14ac:dyDescent="0.2">
      <c r="A623" s="13"/>
      <c r="B623" s="19" t="s">
        <v>47</v>
      </c>
      <c r="C623" s="15"/>
      <c r="D623" s="14"/>
      <c r="E623" s="15">
        <f t="shared" si="49"/>
        <v>229.65699999999998</v>
      </c>
      <c r="F623" s="14"/>
      <c r="G623" s="15">
        <f t="shared" si="48"/>
        <v>0</v>
      </c>
      <c r="H623" s="14">
        <v>1</v>
      </c>
      <c r="I623" s="15">
        <f t="shared" si="50"/>
        <v>114.708</v>
      </c>
      <c r="J623" s="14"/>
      <c r="K623" s="13" t="s">
        <v>816</v>
      </c>
    </row>
    <row r="624" spans="1:11" ht="12.6" customHeight="1" x14ac:dyDescent="0.2">
      <c r="A624" s="13">
        <v>46024</v>
      </c>
      <c r="B624" s="19"/>
      <c r="C624" s="15">
        <v>1.25</v>
      </c>
      <c r="D624" s="14"/>
      <c r="E624" s="15">
        <f t="shared" si="49"/>
        <v>230.90699999999998</v>
      </c>
      <c r="F624" s="14"/>
      <c r="G624" s="15">
        <f t="shared" si="48"/>
        <v>1.25</v>
      </c>
      <c r="H624" s="14"/>
      <c r="I624" s="15">
        <f t="shared" si="50"/>
        <v>115.958</v>
      </c>
      <c r="J624" s="14"/>
      <c r="K624" s="13"/>
    </row>
    <row r="625" spans="1:11" ht="12.6" customHeight="1" x14ac:dyDescent="0.2">
      <c r="A625" s="13"/>
      <c r="B625" s="19" t="s">
        <v>47</v>
      </c>
      <c r="C625" s="15"/>
      <c r="D625" s="14"/>
      <c r="E625" s="15">
        <f t="shared" si="49"/>
        <v>230.90699999999998</v>
      </c>
      <c r="F625" s="14"/>
      <c r="G625" s="15">
        <f t="shared" si="48"/>
        <v>0</v>
      </c>
      <c r="H625" s="14">
        <v>1</v>
      </c>
      <c r="I625" s="15">
        <f t="shared" si="50"/>
        <v>114.958</v>
      </c>
      <c r="J625" s="14"/>
      <c r="K625" s="13">
        <v>46144</v>
      </c>
    </row>
    <row r="626" spans="1:11" ht="12.6" customHeight="1" x14ac:dyDescent="0.2">
      <c r="A626" s="13"/>
      <c r="B626" s="19"/>
      <c r="C626" s="15"/>
      <c r="D626" s="14"/>
      <c r="E626" s="15"/>
      <c r="F626" s="14"/>
      <c r="G626" s="15"/>
      <c r="H626" s="14"/>
      <c r="I626" s="15"/>
      <c r="J626" s="14"/>
      <c r="K626" s="13"/>
    </row>
    <row r="627" spans="1:11" ht="12.6" customHeight="1" x14ac:dyDescent="0.2">
      <c r="A627" s="13"/>
      <c r="B627" s="19"/>
      <c r="C627" s="15"/>
      <c r="D627" s="14"/>
      <c r="E627" s="15"/>
      <c r="F627" s="14"/>
      <c r="G627" s="15"/>
      <c r="H627" s="14"/>
      <c r="I627" s="15"/>
      <c r="J627" s="14"/>
      <c r="K627" s="16"/>
    </row>
    <row r="628" spans="1:11" ht="12.6" customHeight="1" x14ac:dyDescent="0.2">
      <c r="A628" s="13"/>
      <c r="B628" s="19"/>
      <c r="C628" s="15"/>
      <c r="D628" s="14"/>
      <c r="E628" s="15"/>
      <c r="F628" s="14"/>
      <c r="G628" s="15"/>
      <c r="H628" s="14"/>
      <c r="I628" s="15"/>
      <c r="J628" s="14"/>
      <c r="K628" s="16"/>
    </row>
    <row r="629" spans="1:11" ht="12.6" customHeight="1" x14ac:dyDescent="0.2">
      <c r="A629" s="19"/>
      <c r="B629" s="19"/>
      <c r="C629" s="36">
        <f>SUM(C603:C628)</f>
        <v>17.5</v>
      </c>
      <c r="D629" s="36">
        <f>SUM(D603:D628)</f>
        <v>9.2119999999999997</v>
      </c>
      <c r="E629" s="36"/>
      <c r="F629" s="37"/>
      <c r="G629" s="36">
        <f>SUM(G603:G628)</f>
        <v>17.5</v>
      </c>
      <c r="H629" s="36">
        <f>SUM(H603:H628)</f>
        <v>14</v>
      </c>
      <c r="I629" s="15"/>
      <c r="J629" s="14"/>
      <c r="K629" s="16"/>
    </row>
    <row r="630" spans="1:11" ht="12.6" customHeight="1" x14ac:dyDescent="0.2">
      <c r="H630" s="27" t="s">
        <v>23</v>
      </c>
      <c r="J630" s="27" t="s">
        <v>480</v>
      </c>
    </row>
    <row r="631" spans="1:11" ht="12.6" customHeight="1" x14ac:dyDescent="0.2"/>
    <row r="632" spans="1:11" ht="12.6" customHeight="1" x14ac:dyDescent="0.2">
      <c r="A632" s="102" t="str">
        <f>A111</f>
        <v>CATAPANG, CRISPIN JR. D.</v>
      </c>
      <c r="B632" s="102"/>
      <c r="C632" s="102"/>
      <c r="D632" s="102"/>
      <c r="E632" s="102"/>
      <c r="F632" s="102"/>
      <c r="G632" s="102"/>
      <c r="H632" s="1"/>
      <c r="I632" s="103" t="s">
        <v>0</v>
      </c>
      <c r="J632" s="103"/>
      <c r="K632" s="2" t="str">
        <f>K111</f>
        <v>AUGUST 02, 1995</v>
      </c>
    </row>
    <row r="633" spans="1:11" ht="12.6" customHeight="1" x14ac:dyDescent="0.2"/>
    <row r="634" spans="1:11" ht="12.6" customHeight="1" x14ac:dyDescent="0.2">
      <c r="A634" s="104" t="s">
        <v>1</v>
      </c>
      <c r="B634" s="104" t="s">
        <v>2</v>
      </c>
      <c r="C634" s="107" t="s">
        <v>3</v>
      </c>
      <c r="D634" s="108"/>
      <c r="E634" s="108"/>
      <c r="F634" s="109"/>
      <c r="G634" s="107" t="s">
        <v>4</v>
      </c>
      <c r="H634" s="108"/>
      <c r="I634" s="108"/>
      <c r="J634" s="109"/>
      <c r="K634" s="4"/>
    </row>
    <row r="635" spans="1:11" ht="12.6" customHeight="1" x14ac:dyDescent="0.2">
      <c r="A635" s="105"/>
      <c r="B635" s="105"/>
      <c r="C635" s="94" t="s">
        <v>6</v>
      </c>
      <c r="D635" s="5" t="s">
        <v>7</v>
      </c>
      <c r="E635" s="94" t="s">
        <v>8</v>
      </c>
      <c r="F635" s="6" t="s">
        <v>7</v>
      </c>
      <c r="G635" s="94" t="s">
        <v>6</v>
      </c>
      <c r="H635" s="5" t="s">
        <v>7</v>
      </c>
      <c r="I635" s="94" t="s">
        <v>8</v>
      </c>
      <c r="J635" s="1" t="s">
        <v>7</v>
      </c>
      <c r="K635" s="7"/>
    </row>
    <row r="636" spans="1:11" ht="12.6" customHeight="1" x14ac:dyDescent="0.2">
      <c r="A636" s="105"/>
      <c r="B636" s="105"/>
      <c r="C636" s="95"/>
      <c r="D636" s="8" t="s">
        <v>10</v>
      </c>
      <c r="E636" s="95"/>
      <c r="F636" s="6" t="s">
        <v>10</v>
      </c>
      <c r="G636" s="95"/>
      <c r="H636" s="8" t="s">
        <v>10</v>
      </c>
      <c r="I636" s="95"/>
      <c r="J636" s="1" t="s">
        <v>10</v>
      </c>
      <c r="K636" s="7"/>
    </row>
    <row r="637" spans="1:11" ht="12.6" customHeight="1" x14ac:dyDescent="0.2">
      <c r="A637" s="106"/>
      <c r="B637" s="106"/>
      <c r="C637" s="96"/>
      <c r="D637" s="9" t="s">
        <v>12</v>
      </c>
      <c r="E637" s="96"/>
      <c r="F637" s="10" t="s">
        <v>13</v>
      </c>
      <c r="G637" s="96"/>
      <c r="H637" s="9" t="s">
        <v>12</v>
      </c>
      <c r="I637" s="96"/>
      <c r="J637" s="11" t="s">
        <v>13</v>
      </c>
      <c r="K637" s="12"/>
    </row>
    <row r="638" spans="1:11" ht="12.6" customHeight="1" x14ac:dyDescent="0.2">
      <c r="A638" s="13"/>
      <c r="B638" s="19"/>
      <c r="C638" s="15"/>
      <c r="D638" s="14"/>
      <c r="E638" s="15"/>
      <c r="F638" s="14"/>
      <c r="G638" s="15"/>
      <c r="H638" s="14"/>
      <c r="I638" s="15"/>
      <c r="J638" s="14"/>
      <c r="K638" s="16"/>
    </row>
    <row r="639" spans="1:11" ht="12.6" customHeight="1" x14ac:dyDescent="0.2">
      <c r="A639" s="13"/>
      <c r="B639" s="19"/>
      <c r="C639" s="15"/>
      <c r="D639" s="14"/>
      <c r="E639" s="15"/>
      <c r="F639" s="14"/>
      <c r="G639" s="15"/>
      <c r="H639" s="14"/>
      <c r="I639" s="15"/>
      <c r="J639" s="14"/>
      <c r="K639" s="13"/>
    </row>
    <row r="640" spans="1:11" ht="12.6" customHeight="1" x14ac:dyDescent="0.2">
      <c r="A640" s="13"/>
      <c r="B640" s="19"/>
      <c r="C640" s="15"/>
      <c r="D640" s="14"/>
      <c r="E640" s="15"/>
      <c r="F640" s="14"/>
      <c r="G640" s="15"/>
      <c r="H640" s="14"/>
      <c r="I640" s="15"/>
      <c r="J640" s="14"/>
      <c r="K640" s="13"/>
    </row>
    <row r="641" spans="1:11" ht="12.6" customHeight="1" x14ac:dyDescent="0.2">
      <c r="A641" s="13"/>
      <c r="B641" s="19"/>
      <c r="C641" s="15"/>
      <c r="D641" s="14"/>
      <c r="E641" s="15"/>
      <c r="F641" s="14"/>
      <c r="G641" s="15"/>
      <c r="H641" s="14"/>
      <c r="I641" s="15"/>
      <c r="J641" s="14"/>
      <c r="K641" s="16"/>
    </row>
    <row r="642" spans="1:11" ht="12.6" customHeight="1" x14ac:dyDescent="0.2">
      <c r="A642" s="13"/>
      <c r="B642" s="19"/>
      <c r="C642" s="15"/>
      <c r="D642" s="14"/>
      <c r="E642" s="15"/>
      <c r="F642" s="14"/>
      <c r="G642" s="15"/>
      <c r="H642" s="14"/>
      <c r="I642" s="15"/>
      <c r="J642" s="14"/>
      <c r="K642" s="13"/>
    </row>
    <row r="643" spans="1:11" ht="12.6" customHeight="1" x14ac:dyDescent="0.2">
      <c r="A643" s="13"/>
      <c r="B643" s="19"/>
      <c r="C643" s="15"/>
      <c r="D643" s="14"/>
      <c r="E643" s="15"/>
      <c r="F643" s="14"/>
      <c r="G643" s="15"/>
      <c r="H643" s="14"/>
      <c r="I643" s="15"/>
      <c r="J643" s="14"/>
      <c r="K643" s="16"/>
    </row>
    <row r="644" spans="1:11" ht="12.6" customHeight="1" x14ac:dyDescent="0.2">
      <c r="A644" s="13"/>
      <c r="B644" s="19"/>
      <c r="C644" s="15"/>
      <c r="D644" s="14"/>
      <c r="E644" s="15"/>
      <c r="F644" s="14"/>
      <c r="G644" s="15"/>
      <c r="H644" s="14"/>
      <c r="I644" s="15"/>
      <c r="J644" s="14"/>
      <c r="K644" s="13"/>
    </row>
    <row r="645" spans="1:11" ht="12.6" customHeight="1" x14ac:dyDescent="0.2">
      <c r="A645" s="13"/>
      <c r="B645" s="19"/>
      <c r="C645" s="15"/>
      <c r="D645" s="14"/>
      <c r="E645" s="15"/>
      <c r="F645" s="14"/>
      <c r="G645" s="15"/>
      <c r="H645" s="14"/>
      <c r="I645" s="15"/>
      <c r="J645" s="14"/>
      <c r="K645" s="13"/>
    </row>
    <row r="646" spans="1:11" ht="12.6" customHeight="1" x14ac:dyDescent="0.2">
      <c r="A646" s="13"/>
      <c r="B646" s="19"/>
      <c r="C646" s="15"/>
      <c r="D646" s="14"/>
      <c r="E646" s="15"/>
      <c r="F646" s="14"/>
      <c r="G646" s="15"/>
      <c r="H646" s="14"/>
      <c r="I646" s="15"/>
      <c r="J646" s="14"/>
      <c r="K646" s="16"/>
    </row>
    <row r="647" spans="1:11" ht="12.6" customHeight="1" x14ac:dyDescent="0.2">
      <c r="A647" s="13"/>
      <c r="B647" s="19"/>
      <c r="C647" s="15"/>
      <c r="D647" s="14"/>
      <c r="E647" s="15"/>
      <c r="F647" s="14"/>
      <c r="G647" s="15"/>
      <c r="H647" s="14"/>
      <c r="I647" s="15"/>
      <c r="J647" s="14"/>
      <c r="K647" s="16"/>
    </row>
    <row r="648" spans="1:11" ht="12.6" customHeight="1" x14ac:dyDescent="0.2">
      <c r="A648" s="13"/>
      <c r="B648" s="19"/>
      <c r="C648" s="15"/>
      <c r="D648" s="14"/>
      <c r="E648" s="15"/>
      <c r="F648" s="14"/>
      <c r="G648" s="15"/>
      <c r="H648" s="14"/>
      <c r="I648" s="15"/>
      <c r="J648" s="14"/>
      <c r="K648" s="16"/>
    </row>
    <row r="649" spans="1:11" ht="12.6" customHeight="1" x14ac:dyDescent="0.2">
      <c r="A649" s="13"/>
      <c r="B649" s="19"/>
      <c r="C649" s="15"/>
      <c r="D649" s="14"/>
      <c r="E649" s="15"/>
      <c r="F649" s="14"/>
      <c r="G649" s="15"/>
      <c r="H649" s="14"/>
      <c r="I649" s="15"/>
      <c r="J649" s="14"/>
      <c r="K649" s="13"/>
    </row>
    <row r="650" spans="1:11" ht="12.6" customHeight="1" x14ac:dyDescent="0.2">
      <c r="A650" s="13"/>
      <c r="B650" s="19"/>
      <c r="C650" s="15"/>
      <c r="D650" s="14"/>
      <c r="E650" s="15"/>
      <c r="F650" s="14"/>
      <c r="G650" s="15"/>
      <c r="H650" s="14"/>
      <c r="I650" s="15"/>
      <c r="J650" s="14"/>
      <c r="K650" s="13"/>
    </row>
    <row r="651" spans="1:11" ht="12.6" customHeight="1" x14ac:dyDescent="0.2">
      <c r="A651" s="13"/>
      <c r="B651" s="19"/>
      <c r="C651" s="15"/>
      <c r="D651" s="14"/>
      <c r="E651" s="15"/>
      <c r="F651" s="14"/>
      <c r="G651" s="15"/>
      <c r="H651" s="14"/>
      <c r="I651" s="15"/>
      <c r="J651" s="14"/>
      <c r="K651" s="13"/>
    </row>
    <row r="652" spans="1:11" ht="12.6" customHeight="1" x14ac:dyDescent="0.2">
      <c r="A652" s="13"/>
      <c r="B652" s="19"/>
      <c r="C652" s="15"/>
      <c r="D652" s="14"/>
      <c r="E652" s="15"/>
      <c r="F652" s="14"/>
      <c r="G652" s="15"/>
      <c r="H652" s="14"/>
      <c r="I652" s="15"/>
      <c r="J652" s="14"/>
      <c r="K652" s="13"/>
    </row>
    <row r="653" spans="1:11" ht="12.6" customHeight="1" x14ac:dyDescent="0.2">
      <c r="A653" s="13"/>
      <c r="B653" s="19"/>
      <c r="C653" s="15"/>
      <c r="D653" s="14"/>
      <c r="E653" s="15"/>
      <c r="F653" s="14"/>
      <c r="G653" s="15"/>
      <c r="H653" s="14"/>
      <c r="I653" s="15"/>
      <c r="J653" s="14"/>
      <c r="K653" s="13"/>
    </row>
    <row r="654" spans="1:11" ht="12.6" customHeight="1" x14ac:dyDescent="0.2">
      <c r="A654" s="16"/>
      <c r="B654" s="19"/>
      <c r="C654" s="15"/>
      <c r="D654" s="14"/>
      <c r="E654" s="15"/>
      <c r="F654" s="14"/>
      <c r="G654" s="15"/>
      <c r="H654" s="14"/>
      <c r="I654" s="15"/>
      <c r="J654" s="14"/>
      <c r="K654" s="13"/>
    </row>
    <row r="655" spans="1:11" ht="12.6" customHeight="1" x14ac:dyDescent="0.2">
      <c r="A655" s="13"/>
      <c r="B655" s="19"/>
      <c r="C655" s="15"/>
      <c r="D655" s="15"/>
      <c r="E655" s="15"/>
      <c r="F655" s="14"/>
      <c r="G655" s="15"/>
      <c r="H655" s="14"/>
      <c r="I655" s="15"/>
      <c r="J655" s="14"/>
      <c r="K655" s="13"/>
    </row>
    <row r="656" spans="1:11" ht="12.6" customHeight="1" x14ac:dyDescent="0.2">
      <c r="A656" s="13"/>
      <c r="B656" s="19"/>
      <c r="C656" s="15"/>
      <c r="D656" s="14"/>
      <c r="E656" s="15"/>
      <c r="F656" s="14"/>
      <c r="G656" s="15"/>
      <c r="H656" s="14"/>
      <c r="I656" s="15"/>
      <c r="J656" s="14"/>
      <c r="K656" s="13"/>
    </row>
    <row r="657" spans="1:11" ht="12.6" customHeight="1" x14ac:dyDescent="0.2">
      <c r="A657" s="13"/>
      <c r="B657" s="19"/>
      <c r="C657" s="15"/>
      <c r="D657" s="15"/>
      <c r="E657" s="15"/>
      <c r="F657" s="14"/>
      <c r="G657" s="15"/>
      <c r="H657" s="14"/>
      <c r="I657" s="15"/>
      <c r="J657" s="14"/>
      <c r="K657" s="13"/>
    </row>
    <row r="658" spans="1:11" ht="12.6" customHeight="1" x14ac:dyDescent="0.2">
      <c r="A658" s="13"/>
      <c r="B658" s="19"/>
      <c r="C658" s="15"/>
      <c r="D658" s="14"/>
      <c r="E658" s="15"/>
      <c r="F658" s="14"/>
      <c r="G658" s="15"/>
      <c r="H658" s="14"/>
      <c r="I658" s="15"/>
      <c r="J658" s="14"/>
      <c r="K658" s="13"/>
    </row>
    <row r="659" spans="1:11" ht="12.6" customHeight="1" x14ac:dyDescent="0.2">
      <c r="A659" s="13"/>
      <c r="B659" s="19"/>
      <c r="C659" s="15"/>
      <c r="D659" s="14"/>
      <c r="E659" s="15"/>
      <c r="F659" s="14"/>
      <c r="G659" s="15"/>
      <c r="H659" s="14"/>
      <c r="I659" s="15"/>
      <c r="J659" s="14"/>
      <c r="K659" s="13"/>
    </row>
    <row r="660" spans="1:11" x14ac:dyDescent="0.2">
      <c r="A660" s="13"/>
      <c r="B660" s="19"/>
      <c r="C660" s="15"/>
      <c r="D660" s="14"/>
      <c r="E660" s="15"/>
      <c r="F660" s="14"/>
      <c r="G660" s="15"/>
      <c r="H660" s="14"/>
      <c r="I660" s="15"/>
      <c r="J660" s="14"/>
      <c r="K660" s="13"/>
    </row>
    <row r="661" spans="1:11" x14ac:dyDescent="0.2">
      <c r="A661" s="13"/>
      <c r="B661" s="19"/>
      <c r="C661" s="15"/>
      <c r="D661" s="14"/>
      <c r="E661" s="15"/>
      <c r="F661" s="14"/>
      <c r="G661" s="15"/>
      <c r="H661" s="14"/>
      <c r="I661" s="15"/>
      <c r="J661" s="14"/>
      <c r="K661" s="13"/>
    </row>
    <row r="662" spans="1:11" ht="12.6" customHeight="1" x14ac:dyDescent="0.2">
      <c r="A662" s="13"/>
      <c r="B662" s="19"/>
      <c r="C662" s="15"/>
      <c r="D662" s="14"/>
      <c r="E662" s="15"/>
      <c r="F662" s="14"/>
      <c r="G662" s="15"/>
      <c r="H662" s="14"/>
      <c r="I662" s="15"/>
      <c r="J662" s="14"/>
      <c r="K662" s="16"/>
    </row>
    <row r="663" spans="1:11" ht="12.6" customHeight="1" x14ac:dyDescent="0.2">
      <c r="A663" s="13"/>
      <c r="B663" s="19"/>
      <c r="C663" s="15"/>
      <c r="D663" s="14"/>
      <c r="E663" s="15"/>
      <c r="F663" s="14"/>
      <c r="G663" s="15"/>
      <c r="H663" s="14"/>
      <c r="I663" s="15"/>
      <c r="J663" s="14"/>
      <c r="K663" s="16"/>
    </row>
    <row r="664" spans="1:11" x14ac:dyDescent="0.2">
      <c r="A664" s="19"/>
      <c r="B664" s="19"/>
      <c r="C664" s="36">
        <f>SUM(C638:C663)</f>
        <v>0</v>
      </c>
      <c r="D664" s="36">
        <f>SUM(D638:D663)</f>
        <v>0</v>
      </c>
      <c r="E664" s="36"/>
      <c r="F664" s="37"/>
      <c r="G664" s="36">
        <f>SUM(G638:G663)</f>
        <v>0</v>
      </c>
      <c r="H664" s="36">
        <f>SUM(H638:H663)</f>
        <v>0</v>
      </c>
      <c r="I664" s="15"/>
      <c r="J664" s="14"/>
      <c r="K664" s="16"/>
    </row>
    <row r="665" spans="1:11" x14ac:dyDescent="0.2">
      <c r="H665" s="27" t="s">
        <v>23</v>
      </c>
      <c r="J665" s="27" t="s">
        <v>481</v>
      </c>
    </row>
    <row r="667" spans="1:11" x14ac:dyDescent="0.2">
      <c r="C667" s="26">
        <f>SUM(C664+C629+C590+C555+C515+C480+C441+C406+C366+C331+C291+C256+C217+C182+C143+C108+C69+C34)</f>
        <v>457.45799999999997</v>
      </c>
      <c r="D667" s="26">
        <f>SUM(D664+D629+D590+D555+D515+D480+D441+D406+D366+D331+D291+D256+D217+D182+D143+D108+D69+D34)</f>
        <v>226.55099999999999</v>
      </c>
      <c r="G667" s="26">
        <f>SUM(G664+G629+G590+G555+G515+G480+G441+G406+G366+G331+G291+G256+G217+G182+G143+G108+G69+G34)</f>
        <v>457.45799999999997</v>
      </c>
      <c r="H667" s="26">
        <f>SUM(H664+H629+H590+H555+H515+H480+H441+H406+H366+H331+H291+H256+H217+H182+H143+H108+H69+H34)</f>
        <v>342.5</v>
      </c>
    </row>
    <row r="672" spans="1:11" ht="12.6" customHeight="1" x14ac:dyDescent="0.2">
      <c r="B672" s="3" t="s">
        <v>33</v>
      </c>
      <c r="E672" s="46"/>
      <c r="F672" s="48">
        <v>468.70800000000003</v>
      </c>
      <c r="H672" s="48">
        <f>F672</f>
        <v>468.70800000000003</v>
      </c>
    </row>
    <row r="673" spans="2:11" ht="12.6" customHeight="1" x14ac:dyDescent="0.2">
      <c r="B673" s="3" t="s">
        <v>34</v>
      </c>
      <c r="E673" s="46"/>
      <c r="F673" s="48">
        <f>D667</f>
        <v>226.55099999999999</v>
      </c>
      <c r="H673" s="48">
        <f>H667</f>
        <v>342.5</v>
      </c>
    </row>
    <row r="674" spans="2:11" ht="12.6" customHeight="1" x14ac:dyDescent="0.2">
      <c r="B674" s="3" t="s">
        <v>35</v>
      </c>
      <c r="E674" s="46"/>
      <c r="F674" s="49"/>
      <c r="G674" s="50"/>
      <c r="H674" s="49"/>
    </row>
    <row r="675" spans="2:11" ht="12.6" customHeight="1" thickBot="1" x14ac:dyDescent="0.25">
      <c r="B675" s="3" t="s">
        <v>36</v>
      </c>
      <c r="E675" s="46"/>
      <c r="F675" s="51"/>
      <c r="G675" s="52"/>
      <c r="H675" s="51"/>
    </row>
    <row r="676" spans="2:11" ht="12.6" customHeight="1" thickTop="1" x14ac:dyDescent="0.2">
      <c r="B676" s="3" t="s">
        <v>37</v>
      </c>
      <c r="E676" s="46"/>
      <c r="F676" s="53">
        <f>SUM(F672-F673)</f>
        <v>242.15700000000004</v>
      </c>
      <c r="G676" s="50"/>
      <c r="H676" s="53">
        <f>SUM(H672-H673)</f>
        <v>126.20800000000003</v>
      </c>
      <c r="I676" s="54">
        <f>SUM(H676+F676)</f>
        <v>368.36500000000007</v>
      </c>
    </row>
    <row r="677" spans="2:11" ht="12.6" customHeight="1" x14ac:dyDescent="0.2">
      <c r="E677" s="46"/>
    </row>
    <row r="678" spans="2:11" ht="12.6" customHeight="1" x14ac:dyDescent="0.2">
      <c r="B678" s="1" t="s">
        <v>38</v>
      </c>
      <c r="C678" s="97" t="s">
        <v>39</v>
      </c>
      <c r="D678" s="97"/>
      <c r="E678" s="98" t="s">
        <v>40</v>
      </c>
      <c r="F678" s="98"/>
      <c r="H678" s="99" t="s">
        <v>41</v>
      </c>
      <c r="I678" s="99"/>
      <c r="J678" s="99"/>
    </row>
    <row r="679" spans="2:11" ht="12.6" customHeight="1" thickBot="1" x14ac:dyDescent="0.25">
      <c r="B679" s="55">
        <v>54371</v>
      </c>
      <c r="C679" s="97">
        <f>I676</f>
        <v>368.36500000000007</v>
      </c>
      <c r="D679" s="97"/>
      <c r="E679" s="100">
        <v>4.8192699999999998E-2</v>
      </c>
      <c r="F679" s="100"/>
      <c r="H679" s="101">
        <f>B679*C679*E679</f>
        <v>965221.39147707063</v>
      </c>
      <c r="I679" s="101"/>
      <c r="J679" s="101"/>
      <c r="K679" s="56"/>
    </row>
    <row r="680" spans="2:11" ht="12.6" customHeight="1" thickTop="1" x14ac:dyDescent="0.2"/>
  </sheetData>
  <mergeCells count="187">
    <mergeCell ref="I635:I637"/>
    <mergeCell ref="C678:D678"/>
    <mergeCell ref="E678:F678"/>
    <mergeCell ref="H678:J678"/>
    <mergeCell ref="C679:D679"/>
    <mergeCell ref="E679:F679"/>
    <mergeCell ref="H679:J679"/>
    <mergeCell ref="I600:I602"/>
    <mergeCell ref="A632:G632"/>
    <mergeCell ref="I632:J632"/>
    <mergeCell ref="A634:A637"/>
    <mergeCell ref="B634:B637"/>
    <mergeCell ref="C634:F634"/>
    <mergeCell ref="G634:J634"/>
    <mergeCell ref="C635:C637"/>
    <mergeCell ref="E635:E637"/>
    <mergeCell ref="G635:G637"/>
    <mergeCell ref="A597:G597"/>
    <mergeCell ref="I597:J597"/>
    <mergeCell ref="A599:A602"/>
    <mergeCell ref="B599:B602"/>
    <mergeCell ref="C599:F599"/>
    <mergeCell ref="G599:J599"/>
    <mergeCell ref="C600:C602"/>
    <mergeCell ref="E600:E602"/>
    <mergeCell ref="G600:G602"/>
    <mergeCell ref="A558:G558"/>
    <mergeCell ref="I558:J558"/>
    <mergeCell ref="A560:A563"/>
    <mergeCell ref="B560:B563"/>
    <mergeCell ref="C560:F560"/>
    <mergeCell ref="G560:J560"/>
    <mergeCell ref="C561:C563"/>
    <mergeCell ref="E561:E563"/>
    <mergeCell ref="G561:G563"/>
    <mergeCell ref="I561:I563"/>
    <mergeCell ref="A523:G523"/>
    <mergeCell ref="I523:J523"/>
    <mergeCell ref="A525:A528"/>
    <mergeCell ref="B525:B528"/>
    <mergeCell ref="C525:F525"/>
    <mergeCell ref="G525:J525"/>
    <mergeCell ref="C526:C528"/>
    <mergeCell ref="E526:E528"/>
    <mergeCell ref="G526:G528"/>
    <mergeCell ref="I526:I528"/>
    <mergeCell ref="A483:G483"/>
    <mergeCell ref="I483:J483"/>
    <mergeCell ref="A485:A488"/>
    <mergeCell ref="B485:B488"/>
    <mergeCell ref="C485:F485"/>
    <mergeCell ref="G485:J485"/>
    <mergeCell ref="C486:C488"/>
    <mergeCell ref="E486:E488"/>
    <mergeCell ref="G486:G488"/>
    <mergeCell ref="I486:I488"/>
    <mergeCell ref="A443:C443"/>
    <mergeCell ref="A448:G448"/>
    <mergeCell ref="I448:J448"/>
    <mergeCell ref="A450:A453"/>
    <mergeCell ref="B450:B453"/>
    <mergeCell ref="C450:F450"/>
    <mergeCell ref="G450:J450"/>
    <mergeCell ref="C451:C453"/>
    <mergeCell ref="E451:E453"/>
    <mergeCell ref="G451:G453"/>
    <mergeCell ref="I451:I453"/>
    <mergeCell ref="A409:G409"/>
    <mergeCell ref="I409:J409"/>
    <mergeCell ref="A411:A414"/>
    <mergeCell ref="B411:B414"/>
    <mergeCell ref="C411:F411"/>
    <mergeCell ref="G411:J411"/>
    <mergeCell ref="C412:C414"/>
    <mergeCell ref="E412:E414"/>
    <mergeCell ref="G412:G414"/>
    <mergeCell ref="I412:I414"/>
    <mergeCell ref="A374:G374"/>
    <mergeCell ref="I374:J374"/>
    <mergeCell ref="A376:A379"/>
    <mergeCell ref="B376:B379"/>
    <mergeCell ref="C376:F376"/>
    <mergeCell ref="G376:J376"/>
    <mergeCell ref="C377:C379"/>
    <mergeCell ref="E377:E379"/>
    <mergeCell ref="G377:G379"/>
    <mergeCell ref="I377:I379"/>
    <mergeCell ref="A334:G334"/>
    <mergeCell ref="I334:J334"/>
    <mergeCell ref="A336:A339"/>
    <mergeCell ref="B336:B339"/>
    <mergeCell ref="C336:F336"/>
    <mergeCell ref="G336:J336"/>
    <mergeCell ref="C337:C339"/>
    <mergeCell ref="E337:E339"/>
    <mergeCell ref="G337:G339"/>
    <mergeCell ref="I337:I339"/>
    <mergeCell ref="A299:G299"/>
    <mergeCell ref="I299:J299"/>
    <mergeCell ref="A301:A304"/>
    <mergeCell ref="B301:B304"/>
    <mergeCell ref="C301:F301"/>
    <mergeCell ref="G301:J301"/>
    <mergeCell ref="C302:C304"/>
    <mergeCell ref="E302:E304"/>
    <mergeCell ref="G302:G304"/>
    <mergeCell ref="I302:I304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</mergeCells>
  <pageMargins left="0.25" right="0.25" top="0.75" bottom="0.75" header="0.3" footer="0.3"/>
  <pageSetup paperSize="5" orientation="portrait" horizontalDpi="0" verticalDpi="0" copies="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77"/>
  <sheetViews>
    <sheetView zoomScale="200" zoomScaleNormal="200" workbookViewId="0">
      <selection activeCell="C630" sqref="C630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586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587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34708</v>
      </c>
      <c r="B7" s="14"/>
      <c r="C7" s="15">
        <v>1.208</v>
      </c>
      <c r="D7" s="14"/>
      <c r="E7" s="15">
        <f>C7+D7</f>
        <v>1.208</v>
      </c>
      <c r="F7" s="14"/>
      <c r="G7" s="15">
        <f>C7</f>
        <v>1.208</v>
      </c>
      <c r="H7" s="14"/>
      <c r="I7" s="15">
        <f>G7+H7</f>
        <v>1.208</v>
      </c>
      <c r="J7" s="14"/>
      <c r="K7" s="16"/>
    </row>
    <row r="8" spans="1:11" ht="12.6" customHeight="1" x14ac:dyDescent="0.2">
      <c r="A8" s="13">
        <v>35065</v>
      </c>
      <c r="B8" s="17"/>
      <c r="C8" s="15">
        <v>5</v>
      </c>
      <c r="D8" s="18"/>
      <c r="E8" s="15">
        <f>E7+C8-D8</f>
        <v>6.2080000000000002</v>
      </c>
      <c r="F8" s="14"/>
      <c r="G8" s="15">
        <f t="shared" ref="G8:G33" si="0">C8</f>
        <v>5</v>
      </c>
      <c r="H8" s="14"/>
      <c r="I8" s="15">
        <f>I7+G8-H8</f>
        <v>6.2080000000000002</v>
      </c>
      <c r="J8" s="14"/>
      <c r="K8" s="16"/>
    </row>
    <row r="9" spans="1:11" ht="12.6" customHeight="1" x14ac:dyDescent="0.2">
      <c r="A9" s="13">
        <v>35431</v>
      </c>
      <c r="B9" s="17"/>
      <c r="C9" s="15">
        <v>15</v>
      </c>
      <c r="D9" s="14"/>
      <c r="E9" s="15">
        <f t="shared" ref="E9:E33" si="1">E8+C9-D9</f>
        <v>21.207999999999998</v>
      </c>
      <c r="F9" s="14"/>
      <c r="G9" s="15">
        <f t="shared" si="0"/>
        <v>15</v>
      </c>
      <c r="H9" s="14"/>
      <c r="I9" s="15">
        <f t="shared" ref="I9:I34" si="2">I8+G9-H9</f>
        <v>21.207999999999998</v>
      </c>
      <c r="J9" s="14"/>
      <c r="K9" s="16"/>
    </row>
    <row r="10" spans="1:11" ht="12.6" customHeight="1" x14ac:dyDescent="0.2">
      <c r="A10" s="13"/>
      <c r="B10" s="19" t="s">
        <v>65</v>
      </c>
      <c r="C10" s="15"/>
      <c r="D10" s="14">
        <v>5</v>
      </c>
      <c r="E10" s="15">
        <f t="shared" si="1"/>
        <v>16.207999999999998</v>
      </c>
      <c r="F10" s="14"/>
      <c r="G10" s="15">
        <f t="shared" si="0"/>
        <v>0</v>
      </c>
      <c r="H10" s="14"/>
      <c r="I10" s="15">
        <f t="shared" si="2"/>
        <v>21.207999999999998</v>
      </c>
      <c r="J10" s="14"/>
      <c r="K10" s="13" t="s">
        <v>215</v>
      </c>
    </row>
    <row r="11" spans="1:11" ht="12.6" customHeight="1" x14ac:dyDescent="0.2">
      <c r="A11" s="13">
        <v>35796</v>
      </c>
      <c r="B11" s="17"/>
      <c r="C11" s="15">
        <v>15</v>
      </c>
      <c r="D11" s="14"/>
      <c r="E11" s="15">
        <f t="shared" si="1"/>
        <v>31.207999999999998</v>
      </c>
      <c r="F11" s="14"/>
      <c r="G11" s="15">
        <f t="shared" si="0"/>
        <v>15</v>
      </c>
      <c r="H11" s="14"/>
      <c r="I11" s="15">
        <f t="shared" si="2"/>
        <v>36.207999999999998</v>
      </c>
      <c r="J11" s="14"/>
      <c r="K11" s="20"/>
    </row>
    <row r="12" spans="1:11" ht="12.6" customHeight="1" x14ac:dyDescent="0.2">
      <c r="A12" s="13"/>
      <c r="B12" s="19" t="s">
        <v>65</v>
      </c>
      <c r="C12" s="15"/>
      <c r="D12" s="14">
        <v>5</v>
      </c>
      <c r="E12" s="15">
        <f t="shared" si="1"/>
        <v>26.207999999999998</v>
      </c>
      <c r="F12" s="14"/>
      <c r="G12" s="15">
        <f t="shared" si="0"/>
        <v>0</v>
      </c>
      <c r="H12" s="14"/>
      <c r="I12" s="15">
        <f t="shared" si="2"/>
        <v>36.207999999999998</v>
      </c>
      <c r="J12" s="14"/>
      <c r="K12" s="13" t="s">
        <v>83</v>
      </c>
    </row>
    <row r="13" spans="1:11" ht="12.6" customHeight="1" x14ac:dyDescent="0.2">
      <c r="A13" s="13">
        <v>35798</v>
      </c>
      <c r="B13" s="17"/>
      <c r="C13" s="15">
        <v>2.5</v>
      </c>
      <c r="D13" s="14"/>
      <c r="E13" s="15">
        <f t="shared" si="1"/>
        <v>28.707999999999998</v>
      </c>
      <c r="F13" s="14"/>
      <c r="G13" s="15">
        <f t="shared" si="0"/>
        <v>2.5</v>
      </c>
      <c r="H13" s="14"/>
      <c r="I13" s="15">
        <f t="shared" si="2"/>
        <v>38.707999999999998</v>
      </c>
      <c r="J13" s="14"/>
      <c r="K13" s="13"/>
    </row>
    <row r="14" spans="1:11" ht="12.6" customHeight="1" x14ac:dyDescent="0.2">
      <c r="A14" s="13"/>
      <c r="B14" s="19" t="s">
        <v>60</v>
      </c>
      <c r="C14" s="15"/>
      <c r="D14" s="14">
        <v>5</v>
      </c>
      <c r="E14" s="15">
        <f t="shared" si="1"/>
        <v>23.707999999999998</v>
      </c>
      <c r="F14" s="14"/>
      <c r="G14" s="15">
        <f t="shared" si="0"/>
        <v>0</v>
      </c>
      <c r="H14" s="14"/>
      <c r="I14" s="15">
        <f t="shared" si="2"/>
        <v>38.707999999999998</v>
      </c>
      <c r="J14" s="14"/>
      <c r="K14" s="13" t="s">
        <v>588</v>
      </c>
    </row>
    <row r="15" spans="1:11" ht="12.6" customHeight="1" x14ac:dyDescent="0.2">
      <c r="A15" s="13">
        <v>36161</v>
      </c>
      <c r="B15" s="17"/>
      <c r="C15" s="15">
        <v>12.5</v>
      </c>
      <c r="D15" s="14"/>
      <c r="E15" s="15">
        <f t="shared" si="1"/>
        <v>36.207999999999998</v>
      </c>
      <c r="F15" s="14"/>
      <c r="G15" s="15">
        <f t="shared" si="0"/>
        <v>12.5</v>
      </c>
      <c r="H15" s="14"/>
      <c r="I15" s="15">
        <f t="shared" si="2"/>
        <v>51.207999999999998</v>
      </c>
      <c r="J15" s="14"/>
      <c r="K15" s="13"/>
    </row>
    <row r="16" spans="1:11" ht="12.6" customHeight="1" x14ac:dyDescent="0.2">
      <c r="A16" s="13">
        <v>36163</v>
      </c>
      <c r="B16" s="19"/>
      <c r="C16" s="15">
        <v>2.5</v>
      </c>
      <c r="D16" s="14"/>
      <c r="E16" s="15">
        <f t="shared" si="1"/>
        <v>38.707999999999998</v>
      </c>
      <c r="F16" s="14"/>
      <c r="G16" s="15">
        <f t="shared" si="0"/>
        <v>2.5</v>
      </c>
      <c r="H16" s="14"/>
      <c r="I16" s="15">
        <f t="shared" si="2"/>
        <v>53.707999999999998</v>
      </c>
      <c r="J16" s="14"/>
      <c r="K16" s="13"/>
    </row>
    <row r="17" spans="1:11" ht="12.6" customHeight="1" x14ac:dyDescent="0.2">
      <c r="A17" s="13"/>
      <c r="B17" s="17" t="s">
        <v>95</v>
      </c>
      <c r="C17" s="15"/>
      <c r="D17" s="14">
        <v>3</v>
      </c>
      <c r="E17" s="15">
        <f t="shared" si="1"/>
        <v>35.707999999999998</v>
      </c>
      <c r="F17" s="14"/>
      <c r="G17" s="15">
        <f t="shared" si="0"/>
        <v>0</v>
      </c>
      <c r="H17" s="14"/>
      <c r="I17" s="15">
        <f t="shared" si="2"/>
        <v>53.707999999999998</v>
      </c>
      <c r="J17" s="14"/>
      <c r="K17" s="13" t="s">
        <v>589</v>
      </c>
    </row>
    <row r="18" spans="1:11" ht="12.6" customHeight="1" x14ac:dyDescent="0.2">
      <c r="A18" s="13">
        <v>36165</v>
      </c>
      <c r="B18" s="17"/>
      <c r="C18" s="15">
        <v>2.5</v>
      </c>
      <c r="D18" s="14"/>
      <c r="E18" s="15">
        <f t="shared" si="1"/>
        <v>38.207999999999998</v>
      </c>
      <c r="F18" s="14"/>
      <c r="G18" s="15">
        <f t="shared" si="0"/>
        <v>2.5</v>
      </c>
      <c r="H18" s="14"/>
      <c r="I18" s="15">
        <f t="shared" si="2"/>
        <v>56.207999999999998</v>
      </c>
      <c r="J18" s="14"/>
      <c r="K18" s="13"/>
    </row>
    <row r="19" spans="1:11" ht="12.6" customHeight="1" x14ac:dyDescent="0.2">
      <c r="A19" s="13"/>
      <c r="B19" s="17" t="s">
        <v>144</v>
      </c>
      <c r="C19" s="15"/>
      <c r="D19" s="14"/>
      <c r="E19" s="15">
        <f t="shared" si="1"/>
        <v>38.207999999999998</v>
      </c>
      <c r="F19" s="14"/>
      <c r="G19" s="15">
        <f t="shared" si="0"/>
        <v>0</v>
      </c>
      <c r="H19" s="14">
        <v>1.5</v>
      </c>
      <c r="I19" s="15">
        <f t="shared" si="2"/>
        <v>54.707999999999998</v>
      </c>
      <c r="J19" s="14"/>
      <c r="K19" s="13" t="s">
        <v>590</v>
      </c>
    </row>
    <row r="20" spans="1:11" ht="12.6" customHeight="1" x14ac:dyDescent="0.2">
      <c r="A20" s="13">
        <v>36168</v>
      </c>
      <c r="B20" s="17"/>
      <c r="C20" s="15">
        <v>3.75</v>
      </c>
      <c r="D20" s="21"/>
      <c r="E20" s="15">
        <f t="shared" si="1"/>
        <v>41.957999999999998</v>
      </c>
      <c r="F20" s="14"/>
      <c r="G20" s="15">
        <f t="shared" si="0"/>
        <v>3.75</v>
      </c>
      <c r="H20" s="14"/>
      <c r="I20" s="15">
        <f t="shared" si="2"/>
        <v>58.457999999999998</v>
      </c>
      <c r="J20" s="14"/>
      <c r="K20" s="13"/>
    </row>
    <row r="21" spans="1:11" ht="12.6" customHeight="1" x14ac:dyDescent="0.2">
      <c r="A21" s="13"/>
      <c r="B21" s="17" t="s">
        <v>166</v>
      </c>
      <c r="C21" s="15"/>
      <c r="D21" s="14"/>
      <c r="E21" s="15">
        <f t="shared" si="1"/>
        <v>41.957999999999998</v>
      </c>
      <c r="F21" s="14"/>
      <c r="G21" s="15">
        <f t="shared" si="0"/>
        <v>0</v>
      </c>
      <c r="H21" s="14"/>
      <c r="I21" s="15">
        <f t="shared" si="2"/>
        <v>58.457999999999998</v>
      </c>
      <c r="J21" s="14"/>
      <c r="K21" s="13" t="s">
        <v>591</v>
      </c>
    </row>
    <row r="22" spans="1:11" ht="12.6" customHeight="1" x14ac:dyDescent="0.2">
      <c r="A22" s="13">
        <v>36172</v>
      </c>
      <c r="B22" s="17"/>
      <c r="C22" s="15">
        <v>5</v>
      </c>
      <c r="D22" s="14"/>
      <c r="E22" s="15">
        <f t="shared" si="1"/>
        <v>46.957999999999998</v>
      </c>
      <c r="F22" s="14"/>
      <c r="G22" s="15">
        <f t="shared" si="0"/>
        <v>5</v>
      </c>
      <c r="H22" s="14"/>
      <c r="I22" s="15">
        <f t="shared" si="2"/>
        <v>63.457999999999998</v>
      </c>
      <c r="J22" s="14"/>
      <c r="K22" s="13"/>
    </row>
    <row r="23" spans="1:11" ht="12.6" customHeight="1" x14ac:dyDescent="0.2">
      <c r="A23" s="13"/>
      <c r="B23" s="17" t="s">
        <v>76</v>
      </c>
      <c r="C23" s="15"/>
      <c r="D23" s="14">
        <v>2</v>
      </c>
      <c r="E23" s="15">
        <f t="shared" si="1"/>
        <v>44.957999999999998</v>
      </c>
      <c r="F23" s="14"/>
      <c r="G23" s="15">
        <f t="shared" si="0"/>
        <v>0</v>
      </c>
      <c r="H23" s="14"/>
      <c r="I23" s="15">
        <f t="shared" si="2"/>
        <v>63.457999999999998</v>
      </c>
      <c r="J23" s="14"/>
      <c r="K23" s="13" t="s">
        <v>592</v>
      </c>
    </row>
    <row r="24" spans="1:11" ht="12.6" customHeight="1" x14ac:dyDescent="0.2">
      <c r="A24" s="13"/>
      <c r="B24" s="19" t="s">
        <v>91</v>
      </c>
      <c r="C24" s="15"/>
      <c r="D24" s="14">
        <v>30</v>
      </c>
      <c r="E24" s="15">
        <f t="shared" si="1"/>
        <v>14.957999999999998</v>
      </c>
      <c r="F24" s="14"/>
      <c r="G24" s="15">
        <f t="shared" si="0"/>
        <v>0</v>
      </c>
      <c r="H24" s="14"/>
      <c r="I24" s="15">
        <f t="shared" si="2"/>
        <v>63.457999999999998</v>
      </c>
      <c r="J24" s="14"/>
      <c r="K24" s="38" t="s">
        <v>593</v>
      </c>
    </row>
    <row r="25" spans="1:11" ht="12.6" customHeight="1" x14ac:dyDescent="0.2">
      <c r="A25" s="13">
        <v>36531</v>
      </c>
      <c r="B25" s="17"/>
      <c r="C25" s="15">
        <v>7.5</v>
      </c>
      <c r="D25" s="14"/>
      <c r="E25" s="15">
        <f t="shared" si="1"/>
        <v>22.457999999999998</v>
      </c>
      <c r="F25" s="14"/>
      <c r="G25" s="15">
        <f t="shared" si="0"/>
        <v>7.5</v>
      </c>
      <c r="H25" s="14"/>
      <c r="I25" s="15">
        <f t="shared" si="2"/>
        <v>70.957999999999998</v>
      </c>
      <c r="J25" s="14"/>
      <c r="K25" s="13"/>
    </row>
    <row r="26" spans="1:11" ht="12.6" customHeight="1" x14ac:dyDescent="0.2">
      <c r="A26" s="13"/>
      <c r="B26" s="19" t="s">
        <v>90</v>
      </c>
      <c r="C26" s="15"/>
      <c r="D26" s="14"/>
      <c r="E26" s="15">
        <f t="shared" si="1"/>
        <v>22.457999999999998</v>
      </c>
      <c r="F26" s="14"/>
      <c r="G26" s="15">
        <f t="shared" si="0"/>
        <v>0</v>
      </c>
      <c r="H26" s="14"/>
      <c r="I26" s="15">
        <f t="shared" si="2"/>
        <v>70.957999999999998</v>
      </c>
      <c r="J26" s="14"/>
      <c r="K26" s="13" t="s">
        <v>594</v>
      </c>
    </row>
    <row r="27" spans="1:11" ht="12.6" customHeight="1" x14ac:dyDescent="0.2">
      <c r="A27" s="13">
        <v>36892</v>
      </c>
      <c r="B27" s="17"/>
      <c r="C27" s="15">
        <v>8.75</v>
      </c>
      <c r="D27" s="14"/>
      <c r="E27" s="15">
        <f t="shared" si="1"/>
        <v>31.207999999999998</v>
      </c>
      <c r="F27" s="14"/>
      <c r="G27" s="15">
        <f t="shared" si="0"/>
        <v>8.75</v>
      </c>
      <c r="H27" s="14"/>
      <c r="I27" s="15">
        <f t="shared" si="2"/>
        <v>79.707999999999998</v>
      </c>
      <c r="J27" s="14"/>
      <c r="K27" s="13"/>
    </row>
    <row r="28" spans="1:11" s="63" customFormat="1" ht="12.6" customHeight="1" x14ac:dyDescent="0.2">
      <c r="A28" s="58"/>
      <c r="B28" s="67" t="s">
        <v>65</v>
      </c>
      <c r="C28" s="60"/>
      <c r="D28" s="61">
        <v>5</v>
      </c>
      <c r="E28" s="60">
        <f t="shared" si="1"/>
        <v>26.207999999999998</v>
      </c>
      <c r="F28" s="61"/>
      <c r="G28" s="60">
        <f t="shared" si="0"/>
        <v>0</v>
      </c>
      <c r="H28" s="61"/>
      <c r="I28" s="60">
        <f t="shared" si="2"/>
        <v>79.707999999999998</v>
      </c>
      <c r="J28" s="61"/>
      <c r="K28" s="58" t="s">
        <v>93</v>
      </c>
    </row>
    <row r="29" spans="1:11" ht="12.6" customHeight="1" x14ac:dyDescent="0.2">
      <c r="A29" s="13">
        <v>36893</v>
      </c>
      <c r="B29" s="19"/>
      <c r="C29" s="15">
        <v>1.25</v>
      </c>
      <c r="D29" s="14"/>
      <c r="E29" s="15">
        <f t="shared" si="1"/>
        <v>27.457999999999998</v>
      </c>
      <c r="F29" s="14"/>
      <c r="G29" s="15">
        <f t="shared" si="0"/>
        <v>1.25</v>
      </c>
      <c r="H29" s="14"/>
      <c r="I29" s="15">
        <f t="shared" si="2"/>
        <v>80.957999999999998</v>
      </c>
      <c r="J29" s="14"/>
      <c r="K29" s="13"/>
    </row>
    <row r="30" spans="1:11" ht="12.6" customHeight="1" x14ac:dyDescent="0.2">
      <c r="A30" s="13"/>
      <c r="B30" s="19" t="s">
        <v>125</v>
      </c>
      <c r="C30" s="15"/>
      <c r="D30" s="14"/>
      <c r="E30" s="15">
        <f t="shared" si="1"/>
        <v>27.457999999999998</v>
      </c>
      <c r="F30" s="14"/>
      <c r="G30" s="15">
        <f t="shared" si="0"/>
        <v>0</v>
      </c>
      <c r="H30" s="14">
        <v>4</v>
      </c>
      <c r="I30" s="15">
        <f t="shared" si="2"/>
        <v>76.957999999999998</v>
      </c>
      <c r="J30" s="14"/>
      <c r="K30" s="16" t="s">
        <v>595</v>
      </c>
    </row>
    <row r="31" spans="1:11" ht="12.6" customHeight="1" x14ac:dyDescent="0.2">
      <c r="A31" s="13">
        <v>36901</v>
      </c>
      <c r="B31" s="19"/>
      <c r="C31" s="15">
        <v>10</v>
      </c>
      <c r="D31" s="14"/>
      <c r="E31" s="15">
        <f t="shared" si="1"/>
        <v>37.457999999999998</v>
      </c>
      <c r="F31" s="22"/>
      <c r="G31" s="15">
        <f t="shared" si="0"/>
        <v>10</v>
      </c>
      <c r="H31" s="22"/>
      <c r="I31" s="15">
        <f t="shared" si="2"/>
        <v>86.957999999999998</v>
      </c>
      <c r="J31" s="22"/>
      <c r="K31" s="23"/>
    </row>
    <row r="32" spans="1:11" ht="12.6" customHeight="1" x14ac:dyDescent="0.2">
      <c r="A32" s="13"/>
      <c r="B32" s="19" t="s">
        <v>60</v>
      </c>
      <c r="C32" s="15"/>
      <c r="D32" s="14">
        <v>5</v>
      </c>
      <c r="E32" s="15">
        <f t="shared" si="1"/>
        <v>32.457999999999998</v>
      </c>
      <c r="F32" s="22"/>
      <c r="G32" s="15">
        <f t="shared" si="0"/>
        <v>0</v>
      </c>
      <c r="H32" s="22"/>
      <c r="I32" s="15">
        <f t="shared" si="2"/>
        <v>86.957999999999998</v>
      </c>
      <c r="J32" s="22"/>
      <c r="K32" s="23" t="s">
        <v>596</v>
      </c>
    </row>
    <row r="33" spans="1:11" ht="12.6" customHeight="1" x14ac:dyDescent="0.2">
      <c r="A33" s="13">
        <v>37258</v>
      </c>
      <c r="B33" s="17"/>
      <c r="C33" s="15">
        <v>5</v>
      </c>
      <c r="D33" s="14"/>
      <c r="E33" s="15">
        <f t="shared" si="1"/>
        <v>37.457999999999998</v>
      </c>
      <c r="F33" s="22"/>
      <c r="G33" s="15">
        <f t="shared" si="0"/>
        <v>5</v>
      </c>
      <c r="H33" s="22"/>
      <c r="I33" s="15">
        <f t="shared" si="2"/>
        <v>91.957999999999998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97.457999999999998</v>
      </c>
      <c r="D34" s="25">
        <f>SUM(D9:D33)</f>
        <v>60</v>
      </c>
      <c r="E34" s="25"/>
      <c r="F34" s="22"/>
      <c r="G34" s="25">
        <f>SUM(G7:G33)</f>
        <v>97.457999999999998</v>
      </c>
      <c r="H34" s="25">
        <f>SUM(H7:H33)</f>
        <v>5.5</v>
      </c>
      <c r="I34" s="15">
        <f t="shared" si="2"/>
        <v>183.916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CATAPANG, CRISPIN JR. D.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AUGUST 02, 1995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52</v>
      </c>
      <c r="C43" s="15"/>
      <c r="D43" s="14"/>
      <c r="E43" s="15">
        <f>E33+C43-D43</f>
        <v>37.457999999999998</v>
      </c>
      <c r="F43" s="14"/>
      <c r="G43" s="15">
        <f>C43</f>
        <v>0</v>
      </c>
      <c r="H43" s="14">
        <v>2</v>
      </c>
      <c r="I43" s="15">
        <f>I33+G43-H43</f>
        <v>89.957999999999998</v>
      </c>
      <c r="J43" s="14"/>
      <c r="K43" s="13" t="s">
        <v>597</v>
      </c>
    </row>
    <row r="44" spans="1:11" ht="12.6" customHeight="1" x14ac:dyDescent="0.2">
      <c r="A44" s="13">
        <v>37259</v>
      </c>
      <c r="B44" s="17"/>
      <c r="C44" s="15">
        <v>1.25</v>
      </c>
      <c r="D44" s="14"/>
      <c r="E44" s="15">
        <f>E43+C44-D44</f>
        <v>38.707999999999998</v>
      </c>
      <c r="F44" s="14"/>
      <c r="G44" s="15">
        <f t="shared" ref="G44:G68" si="3">C44</f>
        <v>1.25</v>
      </c>
      <c r="H44" s="14"/>
      <c r="I44" s="15">
        <f>I43+G44-H44</f>
        <v>91.207999999999998</v>
      </c>
      <c r="J44" s="14"/>
      <c r="K44" s="13"/>
    </row>
    <row r="45" spans="1:11" ht="12.6" customHeight="1" x14ac:dyDescent="0.2">
      <c r="A45" s="13"/>
      <c r="B45" s="19" t="s">
        <v>47</v>
      </c>
      <c r="C45" s="15"/>
      <c r="D45" s="14"/>
      <c r="E45" s="15">
        <f t="shared" ref="E45:E68" si="4">E44+C45-D45</f>
        <v>38.707999999999998</v>
      </c>
      <c r="F45" s="14"/>
      <c r="G45" s="15">
        <f t="shared" si="3"/>
        <v>0</v>
      </c>
      <c r="H45" s="14">
        <v>1</v>
      </c>
      <c r="I45" s="15">
        <f t="shared" ref="I45:I68" si="5">I44+G45-H45</f>
        <v>90.207999999999998</v>
      </c>
      <c r="J45" s="14"/>
      <c r="K45" s="13" t="s">
        <v>598</v>
      </c>
    </row>
    <row r="46" spans="1:11" ht="12.6" customHeight="1" x14ac:dyDescent="0.2">
      <c r="A46" s="13">
        <v>37260</v>
      </c>
      <c r="B46" s="17"/>
      <c r="C46" s="15">
        <v>1.25</v>
      </c>
      <c r="D46" s="14"/>
      <c r="E46" s="15">
        <f t="shared" si="4"/>
        <v>39.957999999999998</v>
      </c>
      <c r="F46" s="14"/>
      <c r="G46" s="15">
        <f t="shared" si="3"/>
        <v>1.25</v>
      </c>
      <c r="H46" s="14"/>
      <c r="I46" s="15">
        <f t="shared" si="5"/>
        <v>91.457999999999998</v>
      </c>
      <c r="J46" s="14"/>
      <c r="K46" s="13"/>
    </row>
    <row r="47" spans="1:11" ht="12.6" customHeight="1" x14ac:dyDescent="0.2">
      <c r="A47" s="13"/>
      <c r="B47" s="19" t="s">
        <v>129</v>
      </c>
      <c r="C47" s="15"/>
      <c r="D47" s="14"/>
      <c r="E47" s="15">
        <f t="shared" si="4"/>
        <v>39.957999999999998</v>
      </c>
      <c r="F47" s="14"/>
      <c r="G47" s="15">
        <f t="shared" si="3"/>
        <v>0</v>
      </c>
      <c r="H47" s="14">
        <v>0.5</v>
      </c>
      <c r="I47" s="15">
        <f t="shared" si="5"/>
        <v>90.957999999999998</v>
      </c>
      <c r="J47" s="14"/>
      <c r="K47" s="13" t="s">
        <v>599</v>
      </c>
    </row>
    <row r="48" spans="1:11" ht="12.6" customHeight="1" x14ac:dyDescent="0.2">
      <c r="A48" s="13"/>
      <c r="B48" s="19" t="s">
        <v>74</v>
      </c>
      <c r="C48" s="15"/>
      <c r="D48" s="14">
        <v>1</v>
      </c>
      <c r="E48" s="15">
        <f t="shared" si="4"/>
        <v>38.957999999999998</v>
      </c>
      <c r="F48" s="14"/>
      <c r="G48" s="15">
        <f t="shared" si="3"/>
        <v>0</v>
      </c>
      <c r="H48" s="14"/>
      <c r="I48" s="15">
        <f t="shared" si="5"/>
        <v>90.957999999999998</v>
      </c>
      <c r="J48" s="14"/>
      <c r="K48" s="13">
        <v>37533</v>
      </c>
    </row>
    <row r="49" spans="1:11" ht="12.6" customHeight="1" x14ac:dyDescent="0.2">
      <c r="A49" s="13">
        <v>37261</v>
      </c>
      <c r="B49" s="19"/>
      <c r="C49" s="15">
        <v>1.25</v>
      </c>
      <c r="D49" s="14"/>
      <c r="E49" s="15">
        <f t="shared" si="4"/>
        <v>40.207999999999998</v>
      </c>
      <c r="F49" s="14"/>
      <c r="G49" s="15">
        <f t="shared" si="3"/>
        <v>1.25</v>
      </c>
      <c r="H49" s="14"/>
      <c r="I49" s="15">
        <f t="shared" si="5"/>
        <v>92.207999999999998</v>
      </c>
      <c r="J49" s="14"/>
      <c r="K49" s="13"/>
    </row>
    <row r="50" spans="1:11" ht="12.6" customHeight="1" x14ac:dyDescent="0.2">
      <c r="A50" s="13"/>
      <c r="B50" s="19" t="s">
        <v>74</v>
      </c>
      <c r="C50" s="15"/>
      <c r="D50" s="14">
        <v>1</v>
      </c>
      <c r="E50" s="15">
        <f t="shared" si="4"/>
        <v>39.207999999999998</v>
      </c>
      <c r="F50" s="14"/>
      <c r="G50" s="15">
        <f t="shared" si="3"/>
        <v>0</v>
      </c>
      <c r="H50" s="14"/>
      <c r="I50" s="15">
        <f t="shared" si="5"/>
        <v>92.207999999999998</v>
      </c>
      <c r="J50" s="14"/>
      <c r="K50" s="13" t="s">
        <v>600</v>
      </c>
    </row>
    <row r="51" spans="1:11" ht="12.6" customHeight="1" x14ac:dyDescent="0.2">
      <c r="A51" s="13">
        <v>37263</v>
      </c>
      <c r="B51" s="17"/>
      <c r="C51" s="15">
        <v>2.5</v>
      </c>
      <c r="D51" s="14"/>
      <c r="E51" s="15">
        <f t="shared" si="4"/>
        <v>41.707999999999998</v>
      </c>
      <c r="F51" s="14"/>
      <c r="G51" s="15">
        <f t="shared" si="3"/>
        <v>2.5</v>
      </c>
      <c r="H51" s="14"/>
      <c r="I51" s="15">
        <f t="shared" si="5"/>
        <v>94.707999999999998</v>
      </c>
      <c r="J51" s="14"/>
      <c r="K51" s="16"/>
    </row>
    <row r="52" spans="1:11" ht="12.6" customHeight="1" x14ac:dyDescent="0.2">
      <c r="A52" s="13"/>
      <c r="B52" s="19" t="s">
        <v>52</v>
      </c>
      <c r="C52" s="15"/>
      <c r="D52" s="14">
        <v>2</v>
      </c>
      <c r="E52" s="15">
        <f t="shared" si="4"/>
        <v>39.707999999999998</v>
      </c>
      <c r="F52" s="14"/>
      <c r="G52" s="15">
        <f t="shared" si="3"/>
        <v>0</v>
      </c>
      <c r="H52" s="14"/>
      <c r="I52" s="15">
        <f t="shared" si="5"/>
        <v>94.707999999999998</v>
      </c>
      <c r="J52" s="14"/>
      <c r="K52" s="13" t="s">
        <v>601</v>
      </c>
    </row>
    <row r="53" spans="1:11" ht="12.6" customHeight="1" x14ac:dyDescent="0.2">
      <c r="A53" s="13">
        <v>37265</v>
      </c>
      <c r="B53" s="19"/>
      <c r="C53" s="15">
        <v>2.5</v>
      </c>
      <c r="D53" s="14"/>
      <c r="E53" s="15">
        <f t="shared" si="4"/>
        <v>42.207999999999998</v>
      </c>
      <c r="F53" s="14"/>
      <c r="G53" s="15">
        <f t="shared" si="3"/>
        <v>2.5</v>
      </c>
      <c r="H53" s="14"/>
      <c r="I53" s="15">
        <f t="shared" si="5"/>
        <v>97.207999999999998</v>
      </c>
      <c r="J53" s="14"/>
      <c r="K53" s="13"/>
    </row>
    <row r="54" spans="1:11" ht="12.6" customHeight="1" x14ac:dyDescent="0.2">
      <c r="A54" s="13"/>
      <c r="B54" s="19" t="s">
        <v>52</v>
      </c>
      <c r="C54" s="15"/>
      <c r="D54" s="14"/>
      <c r="E54" s="15">
        <f t="shared" si="4"/>
        <v>42.207999999999998</v>
      </c>
      <c r="F54" s="14"/>
      <c r="G54" s="15">
        <f t="shared" si="3"/>
        <v>0</v>
      </c>
      <c r="H54" s="14">
        <v>2</v>
      </c>
      <c r="I54" s="15">
        <f t="shared" si="5"/>
        <v>95.207999999999998</v>
      </c>
      <c r="J54" s="14"/>
      <c r="K54" s="13" t="s">
        <v>602</v>
      </c>
    </row>
    <row r="55" spans="1:11" ht="12.6" customHeight="1" x14ac:dyDescent="0.2">
      <c r="A55" s="13"/>
      <c r="B55" s="19" t="s">
        <v>74</v>
      </c>
      <c r="C55" s="15"/>
      <c r="D55" s="14">
        <v>1</v>
      </c>
      <c r="E55" s="15">
        <f t="shared" si="4"/>
        <v>41.207999999999998</v>
      </c>
      <c r="F55" s="14"/>
      <c r="G55" s="15">
        <f t="shared" si="3"/>
        <v>0</v>
      </c>
      <c r="H55" s="14"/>
      <c r="I55" s="15">
        <f t="shared" si="5"/>
        <v>95.207999999999998</v>
      </c>
      <c r="J55" s="14"/>
      <c r="K55" s="13">
        <v>37356</v>
      </c>
    </row>
    <row r="56" spans="1:11" ht="12.6" customHeight="1" x14ac:dyDescent="0.2">
      <c r="A56" s="13">
        <v>37267</v>
      </c>
      <c r="B56" s="19"/>
      <c r="C56" s="15">
        <v>2.5</v>
      </c>
      <c r="D56" s="14"/>
      <c r="E56" s="15">
        <f t="shared" si="4"/>
        <v>43.707999999999998</v>
      </c>
      <c r="F56" s="14"/>
      <c r="G56" s="15">
        <f t="shared" si="3"/>
        <v>2.5</v>
      </c>
      <c r="H56" s="14"/>
      <c r="I56" s="15">
        <f t="shared" si="5"/>
        <v>97.707999999999998</v>
      </c>
      <c r="J56" s="14"/>
      <c r="K56" s="16"/>
    </row>
    <row r="57" spans="1:11" ht="12.6" customHeight="1" x14ac:dyDescent="0.2">
      <c r="A57" s="13"/>
      <c r="B57" s="19" t="s">
        <v>47</v>
      </c>
      <c r="C57" s="15"/>
      <c r="D57" s="14"/>
      <c r="E57" s="15">
        <f t="shared" si="4"/>
        <v>43.707999999999998</v>
      </c>
      <c r="F57" s="14"/>
      <c r="G57" s="15">
        <f t="shared" si="3"/>
        <v>0</v>
      </c>
      <c r="H57" s="14">
        <v>1</v>
      </c>
      <c r="I57" s="15">
        <f t="shared" si="5"/>
        <v>96.707999999999998</v>
      </c>
      <c r="J57" s="14"/>
      <c r="K57" s="13" t="s">
        <v>603</v>
      </c>
    </row>
    <row r="58" spans="1:11" ht="12.6" customHeight="1" x14ac:dyDescent="0.2">
      <c r="A58" s="13">
        <v>37624</v>
      </c>
      <c r="B58" s="17"/>
      <c r="C58" s="15">
        <v>5</v>
      </c>
      <c r="D58" s="14"/>
      <c r="E58" s="15">
        <f t="shared" si="4"/>
        <v>48.707999999999998</v>
      </c>
      <c r="F58" s="14"/>
      <c r="G58" s="15">
        <f t="shared" si="3"/>
        <v>5</v>
      </c>
      <c r="H58" s="14"/>
      <c r="I58" s="15">
        <f t="shared" si="5"/>
        <v>101.708</v>
      </c>
      <c r="J58" s="14"/>
      <c r="K58" s="13"/>
    </row>
    <row r="59" spans="1:11" ht="12.6" customHeight="1" x14ac:dyDescent="0.2">
      <c r="A59" s="13"/>
      <c r="B59" s="19" t="s">
        <v>45</v>
      </c>
      <c r="C59" s="15"/>
      <c r="D59" s="14"/>
      <c r="E59" s="15">
        <f t="shared" si="4"/>
        <v>48.707999999999998</v>
      </c>
      <c r="F59" s="14"/>
      <c r="G59" s="15">
        <f t="shared" si="3"/>
        <v>0</v>
      </c>
      <c r="H59" s="14"/>
      <c r="I59" s="15">
        <f t="shared" si="5"/>
        <v>101.708</v>
      </c>
      <c r="J59" s="14"/>
      <c r="K59" s="13">
        <v>37928</v>
      </c>
    </row>
    <row r="60" spans="1:11" ht="12.6" customHeight="1" x14ac:dyDescent="0.2">
      <c r="A60" s="13">
        <v>37626</v>
      </c>
      <c r="B60" s="19"/>
      <c r="C60" s="15">
        <v>2.5</v>
      </c>
      <c r="D60" s="14"/>
      <c r="E60" s="15">
        <f t="shared" si="4"/>
        <v>51.207999999999998</v>
      </c>
      <c r="F60" s="14"/>
      <c r="G60" s="15">
        <f t="shared" si="3"/>
        <v>2.5</v>
      </c>
      <c r="H60" s="14"/>
      <c r="I60" s="15">
        <f t="shared" si="5"/>
        <v>104.208</v>
      </c>
      <c r="J60" s="14"/>
      <c r="K60" s="13"/>
    </row>
    <row r="61" spans="1:11" ht="12.6" customHeight="1" x14ac:dyDescent="0.2">
      <c r="A61" s="13"/>
      <c r="B61" s="19" t="s">
        <v>76</v>
      </c>
      <c r="C61" s="15"/>
      <c r="D61" s="14">
        <v>2</v>
      </c>
      <c r="E61" s="15">
        <f t="shared" si="4"/>
        <v>49.207999999999998</v>
      </c>
      <c r="F61" s="14"/>
      <c r="G61" s="15">
        <f t="shared" si="3"/>
        <v>0</v>
      </c>
      <c r="H61" s="14"/>
      <c r="I61" s="15">
        <f t="shared" si="5"/>
        <v>104.208</v>
      </c>
      <c r="J61" s="14"/>
      <c r="K61" s="13" t="s">
        <v>605</v>
      </c>
    </row>
    <row r="62" spans="1:11" ht="12.6" customHeight="1" x14ac:dyDescent="0.2">
      <c r="A62" s="13">
        <v>37627</v>
      </c>
      <c r="B62" s="17"/>
      <c r="C62" s="15">
        <v>1.25</v>
      </c>
      <c r="D62" s="14"/>
      <c r="E62" s="15">
        <f t="shared" si="4"/>
        <v>50.457999999999998</v>
      </c>
      <c r="F62" s="14"/>
      <c r="G62" s="15">
        <f t="shared" si="3"/>
        <v>1.25</v>
      </c>
      <c r="H62" s="14"/>
      <c r="I62" s="15">
        <f t="shared" si="5"/>
        <v>105.458</v>
      </c>
      <c r="J62" s="14"/>
      <c r="K62" s="16"/>
    </row>
    <row r="63" spans="1:11" ht="12.6" customHeight="1" x14ac:dyDescent="0.2">
      <c r="A63" s="13"/>
      <c r="B63" s="19" t="s">
        <v>95</v>
      </c>
      <c r="C63" s="15"/>
      <c r="D63" s="14">
        <v>3</v>
      </c>
      <c r="E63" s="15">
        <f t="shared" si="4"/>
        <v>47.457999999999998</v>
      </c>
      <c r="F63" s="14"/>
      <c r="G63" s="15">
        <f t="shared" si="3"/>
        <v>0</v>
      </c>
      <c r="H63" s="14"/>
      <c r="I63" s="15">
        <f t="shared" si="5"/>
        <v>105.458</v>
      </c>
      <c r="J63" s="14"/>
      <c r="K63" s="13" t="s">
        <v>604</v>
      </c>
    </row>
    <row r="64" spans="1:11" ht="12.6" customHeight="1" x14ac:dyDescent="0.2">
      <c r="A64" s="29">
        <v>37631</v>
      </c>
      <c r="B64" s="17"/>
      <c r="C64" s="15">
        <v>5</v>
      </c>
      <c r="D64" s="14"/>
      <c r="E64" s="15">
        <f t="shared" si="4"/>
        <v>52.457999999999998</v>
      </c>
      <c r="F64" s="14"/>
      <c r="G64" s="15">
        <f>C64</f>
        <v>5</v>
      </c>
      <c r="H64" s="14"/>
      <c r="I64" s="15">
        <f t="shared" si="5"/>
        <v>110.458</v>
      </c>
      <c r="J64" s="14"/>
      <c r="K64" s="29"/>
    </row>
    <row r="65" spans="1:11" ht="12.6" customHeight="1" x14ac:dyDescent="0.2">
      <c r="A65" s="13"/>
      <c r="B65" s="19" t="s">
        <v>45</v>
      </c>
      <c r="C65" s="15"/>
      <c r="D65" s="21"/>
      <c r="E65" s="15">
        <f t="shared" si="4"/>
        <v>52.457999999999998</v>
      </c>
      <c r="F65" s="14"/>
      <c r="G65" s="15">
        <f t="shared" si="3"/>
        <v>0</v>
      </c>
      <c r="H65" s="14"/>
      <c r="I65" s="15">
        <f t="shared" si="5"/>
        <v>110.458</v>
      </c>
      <c r="J65" s="14"/>
      <c r="K65" s="13">
        <v>37690</v>
      </c>
    </row>
    <row r="66" spans="1:11" ht="12.6" customHeight="1" x14ac:dyDescent="0.2">
      <c r="A66" s="13">
        <v>37992</v>
      </c>
      <c r="B66" s="19"/>
      <c r="C66" s="15">
        <v>10</v>
      </c>
      <c r="D66" s="14"/>
      <c r="E66" s="15">
        <f t="shared" si="4"/>
        <v>62.457999999999998</v>
      </c>
      <c r="F66" s="14"/>
      <c r="G66" s="15">
        <f t="shared" si="3"/>
        <v>10</v>
      </c>
      <c r="H66" s="14"/>
      <c r="I66" s="15">
        <f t="shared" si="5"/>
        <v>120.458</v>
      </c>
      <c r="J66" s="14"/>
      <c r="K66" s="13"/>
    </row>
    <row r="67" spans="1:11" ht="12.6" customHeight="1" x14ac:dyDescent="0.2">
      <c r="A67" s="30"/>
      <c r="B67" s="19" t="s">
        <v>76</v>
      </c>
      <c r="C67" s="15"/>
      <c r="D67" s="14">
        <v>2</v>
      </c>
      <c r="E67" s="15">
        <f t="shared" si="4"/>
        <v>60.457999999999998</v>
      </c>
      <c r="F67" s="14"/>
      <c r="G67" s="15">
        <f t="shared" si="3"/>
        <v>0</v>
      </c>
      <c r="H67" s="31"/>
      <c r="I67" s="15">
        <f t="shared" si="5"/>
        <v>120.458</v>
      </c>
      <c r="J67" s="31"/>
      <c r="K67" s="30" t="s">
        <v>606</v>
      </c>
    </row>
    <row r="68" spans="1:11" ht="12.6" customHeight="1" x14ac:dyDescent="0.2">
      <c r="A68" s="13">
        <v>37994</v>
      </c>
      <c r="B68" s="19"/>
      <c r="C68" s="15">
        <v>2.5</v>
      </c>
      <c r="D68" s="14"/>
      <c r="E68" s="15">
        <f t="shared" si="4"/>
        <v>62.957999999999998</v>
      </c>
      <c r="F68" s="14"/>
      <c r="G68" s="15">
        <f t="shared" si="3"/>
        <v>2.5</v>
      </c>
      <c r="H68" s="14"/>
      <c r="I68" s="15">
        <f t="shared" si="5"/>
        <v>122.958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37.5</v>
      </c>
      <c r="D69" s="15">
        <f>SUM(D43:D68)</f>
        <v>12</v>
      </c>
      <c r="E69" s="15" t="s">
        <v>17</v>
      </c>
      <c r="F69" s="32"/>
      <c r="G69" s="15">
        <f>SUM(G43:G68)</f>
        <v>37.5</v>
      </c>
      <c r="H69" s="15">
        <f>SUM(H43:H68)</f>
        <v>6.5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CATAPANG, CRISPIN JR. D.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AUGUST 02, 1995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76</v>
      </c>
      <c r="C82" s="15"/>
      <c r="D82" s="14">
        <v>2</v>
      </c>
      <c r="E82" s="15">
        <f>E68+C82-D82</f>
        <v>60.957999999999998</v>
      </c>
      <c r="F82" s="14"/>
      <c r="G82" s="15">
        <f>C82</f>
        <v>0</v>
      </c>
      <c r="H82" s="14"/>
      <c r="I82" s="15">
        <f>I68+G82-H82</f>
        <v>122.958</v>
      </c>
      <c r="J82" s="14"/>
      <c r="K82" s="13" t="s">
        <v>607</v>
      </c>
    </row>
    <row r="83" spans="1:11" ht="12.6" customHeight="1" x14ac:dyDescent="0.2">
      <c r="A83" s="13"/>
      <c r="B83" s="17" t="s">
        <v>47</v>
      </c>
      <c r="C83" s="15"/>
      <c r="D83" s="14"/>
      <c r="E83" s="15">
        <f>E82+C83-D83</f>
        <v>60.957999999999998</v>
      </c>
      <c r="F83" s="14"/>
      <c r="G83" s="15">
        <f t="shared" ref="G83:G107" si="6">C83</f>
        <v>0</v>
      </c>
      <c r="H83" s="14">
        <v>1</v>
      </c>
      <c r="I83" s="15">
        <f>I82+G83-H83</f>
        <v>121.958</v>
      </c>
      <c r="J83" s="22"/>
      <c r="K83" s="23" t="s">
        <v>608</v>
      </c>
    </row>
    <row r="84" spans="1:11" ht="12.6" customHeight="1" x14ac:dyDescent="0.2">
      <c r="A84" s="13">
        <v>37995</v>
      </c>
      <c r="B84" s="19"/>
      <c r="C84" s="15">
        <v>1.25</v>
      </c>
      <c r="D84" s="14"/>
      <c r="E84" s="15">
        <f t="shared" ref="E84:E107" si="7">E83+C84-D84</f>
        <v>62.207999999999998</v>
      </c>
      <c r="F84" s="14"/>
      <c r="G84" s="15">
        <f t="shared" si="6"/>
        <v>1.25</v>
      </c>
      <c r="H84" s="14"/>
      <c r="I84" s="15">
        <f t="shared" ref="I84:I107" si="8">I83+G84-H84</f>
        <v>123.208</v>
      </c>
      <c r="J84" s="14"/>
      <c r="K84" s="16"/>
    </row>
    <row r="85" spans="1:11" ht="12.6" customHeight="1" x14ac:dyDescent="0.2">
      <c r="A85" s="13"/>
      <c r="B85" s="19" t="s">
        <v>67</v>
      </c>
      <c r="C85" s="15"/>
      <c r="D85" s="14"/>
      <c r="E85" s="15">
        <f t="shared" si="7"/>
        <v>62.207999999999998</v>
      </c>
      <c r="F85" s="14"/>
      <c r="G85" s="15">
        <f t="shared" si="6"/>
        <v>0</v>
      </c>
      <c r="H85" s="14">
        <v>3</v>
      </c>
      <c r="I85" s="15">
        <f t="shared" si="8"/>
        <v>120.208</v>
      </c>
      <c r="J85" s="14"/>
      <c r="K85" s="13" t="s">
        <v>609</v>
      </c>
    </row>
    <row r="86" spans="1:11" ht="12.6" customHeight="1" x14ac:dyDescent="0.2">
      <c r="A86" s="29">
        <v>37996</v>
      </c>
      <c r="B86" s="19"/>
      <c r="C86" s="15">
        <v>1.25</v>
      </c>
      <c r="D86" s="14"/>
      <c r="E86" s="15">
        <f t="shared" si="7"/>
        <v>63.457999999999998</v>
      </c>
      <c r="F86" s="14"/>
      <c r="G86" s="15">
        <f t="shared" si="6"/>
        <v>1.25</v>
      </c>
      <c r="H86" s="14"/>
      <c r="I86" s="15">
        <f t="shared" si="8"/>
        <v>121.458</v>
      </c>
      <c r="J86" s="14"/>
      <c r="K86" s="13"/>
    </row>
    <row r="87" spans="1:11" ht="12.6" customHeight="1" x14ac:dyDescent="0.2">
      <c r="A87" s="13"/>
      <c r="B87" s="17" t="s">
        <v>47</v>
      </c>
      <c r="C87" s="15"/>
      <c r="D87" s="14"/>
      <c r="E87" s="15">
        <f t="shared" si="7"/>
        <v>63.457999999999998</v>
      </c>
      <c r="F87" s="14"/>
      <c r="G87" s="15">
        <f t="shared" si="6"/>
        <v>0</v>
      </c>
      <c r="H87" s="14">
        <v>1</v>
      </c>
      <c r="I87" s="15">
        <f t="shared" si="8"/>
        <v>120.458</v>
      </c>
      <c r="J87" s="14"/>
      <c r="K87" s="13">
        <v>38087</v>
      </c>
    </row>
    <row r="88" spans="1:11" ht="12.6" customHeight="1" x14ac:dyDescent="0.2">
      <c r="A88" s="13"/>
      <c r="B88" s="19" t="s">
        <v>45</v>
      </c>
      <c r="C88" s="15"/>
      <c r="D88" s="14"/>
      <c r="E88" s="15">
        <f t="shared" si="7"/>
        <v>63.457999999999998</v>
      </c>
      <c r="F88" s="14"/>
      <c r="G88" s="15">
        <f t="shared" si="6"/>
        <v>0</v>
      </c>
      <c r="H88" s="14"/>
      <c r="I88" s="15">
        <f t="shared" si="8"/>
        <v>120.458</v>
      </c>
      <c r="J88" s="14"/>
      <c r="K88" s="13">
        <v>38028</v>
      </c>
    </row>
    <row r="89" spans="1:11" ht="12.6" customHeight="1" x14ac:dyDescent="0.2">
      <c r="A89" s="13">
        <v>37997</v>
      </c>
      <c r="B89" s="19"/>
      <c r="C89" s="15">
        <v>1.25</v>
      </c>
      <c r="D89" s="14"/>
      <c r="E89" s="15">
        <f t="shared" si="7"/>
        <v>64.707999999999998</v>
      </c>
      <c r="F89" s="14"/>
      <c r="G89" s="15">
        <f t="shared" si="6"/>
        <v>1.25</v>
      </c>
      <c r="H89" s="14"/>
      <c r="I89" s="15">
        <f t="shared" si="8"/>
        <v>121.708</v>
      </c>
      <c r="J89" s="14"/>
      <c r="K89" s="16"/>
    </row>
    <row r="90" spans="1:11" ht="12.6" customHeight="1" x14ac:dyDescent="0.2">
      <c r="A90" s="13"/>
      <c r="B90" s="17" t="s">
        <v>125</v>
      </c>
      <c r="C90" s="15"/>
      <c r="D90" s="14"/>
      <c r="E90" s="15">
        <f t="shared" si="7"/>
        <v>64.707999999999998</v>
      </c>
      <c r="F90" s="14"/>
      <c r="G90" s="15">
        <f t="shared" si="6"/>
        <v>0</v>
      </c>
      <c r="H90" s="14">
        <v>4</v>
      </c>
      <c r="I90" s="15">
        <f t="shared" si="8"/>
        <v>117.708</v>
      </c>
      <c r="J90" s="14"/>
      <c r="K90" s="16" t="s">
        <v>610</v>
      </c>
    </row>
    <row r="91" spans="1:11" ht="12.6" customHeight="1" x14ac:dyDescent="0.2">
      <c r="A91" s="13">
        <v>38353</v>
      </c>
      <c r="B91" s="17"/>
      <c r="C91" s="15">
        <v>2.5</v>
      </c>
      <c r="D91" s="14"/>
      <c r="E91" s="15">
        <f t="shared" si="7"/>
        <v>67.207999999999998</v>
      </c>
      <c r="F91" s="14"/>
      <c r="G91" s="15">
        <f t="shared" si="6"/>
        <v>2.5</v>
      </c>
      <c r="H91" s="14"/>
      <c r="I91" s="15">
        <f t="shared" si="8"/>
        <v>120.208</v>
      </c>
      <c r="J91" s="14"/>
      <c r="K91" s="16"/>
    </row>
    <row r="92" spans="1:11" ht="12.6" customHeight="1" x14ac:dyDescent="0.2">
      <c r="A92" s="13"/>
      <c r="B92" s="19" t="s">
        <v>613</v>
      </c>
      <c r="C92" s="15"/>
      <c r="D92" s="14">
        <v>0.25</v>
      </c>
      <c r="E92" s="15">
        <f t="shared" si="7"/>
        <v>66.957999999999998</v>
      </c>
      <c r="F92" s="14"/>
      <c r="G92" s="15">
        <f t="shared" si="6"/>
        <v>0</v>
      </c>
      <c r="H92" s="14"/>
      <c r="I92" s="15">
        <f t="shared" si="8"/>
        <v>120.208</v>
      </c>
      <c r="J92" s="14"/>
      <c r="K92" s="13" t="s">
        <v>611</v>
      </c>
    </row>
    <row r="93" spans="1:11" ht="12.6" customHeight="1" x14ac:dyDescent="0.2">
      <c r="A93" s="13">
        <v>38354</v>
      </c>
      <c r="B93" s="17"/>
      <c r="C93" s="15">
        <v>1.25</v>
      </c>
      <c r="D93" s="14"/>
      <c r="E93" s="15">
        <f t="shared" si="7"/>
        <v>68.207999999999998</v>
      </c>
      <c r="F93" s="14"/>
      <c r="G93" s="15">
        <f t="shared" si="6"/>
        <v>1.25</v>
      </c>
      <c r="H93" s="14"/>
      <c r="I93" s="15">
        <f t="shared" si="8"/>
        <v>121.458</v>
      </c>
      <c r="J93" s="14"/>
      <c r="K93" s="13"/>
    </row>
    <row r="94" spans="1:11" ht="12.6" customHeight="1" x14ac:dyDescent="0.2">
      <c r="A94" s="13"/>
      <c r="B94" s="19" t="s">
        <v>52</v>
      </c>
      <c r="C94" s="15"/>
      <c r="D94" s="14"/>
      <c r="E94" s="15">
        <f t="shared" si="7"/>
        <v>68.207999999999998</v>
      </c>
      <c r="F94" s="14"/>
      <c r="G94" s="15">
        <f t="shared" si="6"/>
        <v>0</v>
      </c>
      <c r="H94" s="14">
        <v>2</v>
      </c>
      <c r="I94" s="15">
        <f t="shared" si="8"/>
        <v>119.458</v>
      </c>
      <c r="J94" s="14"/>
      <c r="K94" s="13" t="s">
        <v>612</v>
      </c>
    </row>
    <row r="95" spans="1:11" ht="12.6" customHeight="1" x14ac:dyDescent="0.2">
      <c r="A95" s="13"/>
      <c r="B95" s="19" t="s">
        <v>52</v>
      </c>
      <c r="C95" s="15"/>
      <c r="D95" s="14"/>
      <c r="E95" s="15">
        <f t="shared" si="7"/>
        <v>68.207999999999998</v>
      </c>
      <c r="F95" s="14"/>
      <c r="G95" s="15">
        <f t="shared" si="6"/>
        <v>0</v>
      </c>
      <c r="H95" s="14">
        <v>2</v>
      </c>
      <c r="I95" s="15">
        <f t="shared" si="8"/>
        <v>117.458</v>
      </c>
      <c r="J95" s="14"/>
      <c r="K95" s="13" t="s">
        <v>614</v>
      </c>
    </row>
    <row r="96" spans="1:11" ht="12.6" customHeight="1" x14ac:dyDescent="0.2">
      <c r="A96" s="13">
        <v>38359</v>
      </c>
      <c r="B96" s="19"/>
      <c r="C96" s="15">
        <v>6.25</v>
      </c>
      <c r="D96" s="14"/>
      <c r="E96" s="15">
        <f t="shared" si="7"/>
        <v>74.457999999999998</v>
      </c>
      <c r="F96" s="14"/>
      <c r="G96" s="15">
        <f t="shared" si="6"/>
        <v>6.25</v>
      </c>
      <c r="H96" s="14"/>
      <c r="I96" s="15">
        <f t="shared" si="8"/>
        <v>123.708</v>
      </c>
      <c r="J96" s="14"/>
      <c r="K96" s="33"/>
    </row>
    <row r="97" spans="1:11" ht="12.6" customHeight="1" x14ac:dyDescent="0.2">
      <c r="A97" s="13"/>
      <c r="B97" s="19" t="s">
        <v>95</v>
      </c>
      <c r="C97" s="15"/>
      <c r="D97" s="14">
        <v>3</v>
      </c>
      <c r="E97" s="15">
        <f t="shared" si="7"/>
        <v>71.457999999999998</v>
      </c>
      <c r="F97" s="14"/>
      <c r="G97" s="15">
        <f t="shared" si="6"/>
        <v>0</v>
      </c>
      <c r="H97" s="14"/>
      <c r="I97" s="15">
        <f t="shared" si="8"/>
        <v>123.708</v>
      </c>
      <c r="J97" s="14"/>
      <c r="K97" s="13" t="s">
        <v>615</v>
      </c>
    </row>
    <row r="98" spans="1:11" ht="12.6" customHeight="1" x14ac:dyDescent="0.2">
      <c r="A98" s="13">
        <v>38361</v>
      </c>
      <c r="B98" s="19"/>
      <c r="C98" s="15">
        <v>2.5</v>
      </c>
      <c r="D98" s="14"/>
      <c r="E98" s="15">
        <f t="shared" si="7"/>
        <v>73.957999999999998</v>
      </c>
      <c r="F98" s="14"/>
      <c r="G98" s="15">
        <f t="shared" si="6"/>
        <v>2.5</v>
      </c>
      <c r="H98" s="14"/>
      <c r="I98" s="15">
        <f t="shared" si="8"/>
        <v>126.208</v>
      </c>
      <c r="J98" s="14"/>
      <c r="K98" s="16"/>
    </row>
    <row r="99" spans="1:11" ht="12.6" customHeight="1" x14ac:dyDescent="0.2">
      <c r="A99" s="13"/>
      <c r="B99" s="19" t="s">
        <v>47</v>
      </c>
      <c r="C99" s="15"/>
      <c r="D99" s="14"/>
      <c r="E99" s="15">
        <f t="shared" si="7"/>
        <v>73.957999999999998</v>
      </c>
      <c r="F99" s="14"/>
      <c r="G99" s="15">
        <f t="shared" si="6"/>
        <v>0</v>
      </c>
      <c r="H99" s="14">
        <v>1</v>
      </c>
      <c r="I99" s="15">
        <f t="shared" si="8"/>
        <v>125.208</v>
      </c>
      <c r="J99" s="14"/>
      <c r="K99" s="13" t="s">
        <v>616</v>
      </c>
    </row>
    <row r="100" spans="1:11" ht="12.6" customHeight="1" x14ac:dyDescent="0.2">
      <c r="A100" s="13"/>
      <c r="B100" s="19" t="s">
        <v>144</v>
      </c>
      <c r="C100" s="15"/>
      <c r="D100" s="14"/>
      <c r="E100" s="15">
        <f t="shared" si="7"/>
        <v>73.957999999999998</v>
      </c>
      <c r="F100" s="14"/>
      <c r="G100" s="15">
        <f t="shared" si="6"/>
        <v>0</v>
      </c>
      <c r="H100" s="14">
        <v>1.5</v>
      </c>
      <c r="I100" s="15">
        <f t="shared" si="8"/>
        <v>123.708</v>
      </c>
      <c r="J100" s="14"/>
      <c r="K100" s="13" t="s">
        <v>617</v>
      </c>
    </row>
    <row r="101" spans="1:11" ht="12.6" customHeight="1" x14ac:dyDescent="0.2">
      <c r="A101" s="13">
        <v>38362</v>
      </c>
      <c r="B101" s="19"/>
      <c r="C101" s="15">
        <v>1.25</v>
      </c>
      <c r="D101" s="14"/>
      <c r="E101" s="15">
        <f t="shared" si="7"/>
        <v>75.207999999999998</v>
      </c>
      <c r="F101" s="14"/>
      <c r="G101" s="15">
        <f t="shared" si="6"/>
        <v>1.25</v>
      </c>
      <c r="H101" s="14"/>
      <c r="I101" s="15">
        <f t="shared" si="8"/>
        <v>124.958</v>
      </c>
      <c r="J101" s="14"/>
      <c r="K101" s="13"/>
    </row>
    <row r="102" spans="1:11" ht="12.6" customHeight="1" x14ac:dyDescent="0.2">
      <c r="A102" s="13"/>
      <c r="B102" s="19" t="s">
        <v>60</v>
      </c>
      <c r="C102" s="15"/>
      <c r="D102" s="14">
        <v>5</v>
      </c>
      <c r="E102" s="15">
        <f t="shared" si="7"/>
        <v>70.207999999999998</v>
      </c>
      <c r="F102" s="14"/>
      <c r="G102" s="15">
        <f t="shared" si="6"/>
        <v>0</v>
      </c>
      <c r="H102" s="14"/>
      <c r="I102" s="15">
        <f t="shared" si="8"/>
        <v>124.958</v>
      </c>
      <c r="J102" s="14"/>
      <c r="K102" s="13" t="s">
        <v>618</v>
      </c>
    </row>
    <row r="103" spans="1:11" ht="12.6" customHeight="1" x14ac:dyDescent="0.2">
      <c r="A103" s="13"/>
      <c r="B103" s="19" t="s">
        <v>45</v>
      </c>
      <c r="C103" s="15"/>
      <c r="D103" s="14"/>
      <c r="E103" s="15">
        <f t="shared" si="7"/>
        <v>70.207999999999998</v>
      </c>
      <c r="F103" s="14"/>
      <c r="G103" s="15">
        <f t="shared" si="6"/>
        <v>0</v>
      </c>
      <c r="H103" s="14"/>
      <c r="I103" s="15">
        <f t="shared" si="8"/>
        <v>124.958</v>
      </c>
      <c r="J103" s="14"/>
      <c r="K103" s="13">
        <v>38394</v>
      </c>
    </row>
    <row r="104" spans="1:11" ht="12.6" customHeight="1" x14ac:dyDescent="0.2">
      <c r="A104" s="13">
        <v>38363</v>
      </c>
      <c r="B104" s="19"/>
      <c r="C104" s="15">
        <v>1.25</v>
      </c>
      <c r="D104" s="14"/>
      <c r="E104" s="15">
        <f t="shared" si="7"/>
        <v>71.457999999999998</v>
      </c>
      <c r="F104" s="14"/>
      <c r="G104" s="15">
        <f t="shared" si="6"/>
        <v>1.25</v>
      </c>
      <c r="H104" s="14"/>
      <c r="I104" s="15">
        <f t="shared" si="8"/>
        <v>126.208</v>
      </c>
      <c r="J104" s="14"/>
      <c r="K104" s="13"/>
    </row>
    <row r="105" spans="1:11" ht="12.6" customHeight="1" x14ac:dyDescent="0.2">
      <c r="A105" s="13"/>
      <c r="B105" s="19" t="s">
        <v>47</v>
      </c>
      <c r="C105" s="15"/>
      <c r="D105" s="14"/>
      <c r="E105" s="15">
        <f t="shared" si="7"/>
        <v>71.457999999999998</v>
      </c>
      <c r="F105" s="14"/>
      <c r="G105" s="15">
        <f t="shared" si="6"/>
        <v>0</v>
      </c>
      <c r="H105" s="14">
        <v>1</v>
      </c>
      <c r="I105" s="15">
        <f t="shared" si="8"/>
        <v>125.208</v>
      </c>
      <c r="J105" s="14"/>
      <c r="K105" s="13">
        <v>38422</v>
      </c>
    </row>
    <row r="106" spans="1:11" ht="12.6" customHeight="1" x14ac:dyDescent="0.2">
      <c r="A106" s="13"/>
      <c r="B106" s="19" t="s">
        <v>45</v>
      </c>
      <c r="C106" s="15"/>
      <c r="D106" s="14"/>
      <c r="E106" s="15">
        <f t="shared" si="7"/>
        <v>71.457999999999998</v>
      </c>
      <c r="F106" s="14"/>
      <c r="G106" s="15">
        <f t="shared" si="6"/>
        <v>0</v>
      </c>
      <c r="H106" s="14"/>
      <c r="I106" s="15">
        <f t="shared" si="8"/>
        <v>125.208</v>
      </c>
      <c r="J106" s="14"/>
      <c r="K106" s="13">
        <v>38364</v>
      </c>
    </row>
    <row r="107" spans="1:11" ht="12.6" customHeight="1" x14ac:dyDescent="0.2">
      <c r="A107" s="13">
        <v>38718</v>
      </c>
      <c r="B107" s="19"/>
      <c r="C107" s="15">
        <v>2.5</v>
      </c>
      <c r="D107" s="14"/>
      <c r="E107" s="15">
        <f t="shared" si="7"/>
        <v>73.957999999999998</v>
      </c>
      <c r="F107" s="14"/>
      <c r="G107" s="15">
        <f t="shared" si="6"/>
        <v>2.5</v>
      </c>
      <c r="H107" s="14"/>
      <c r="I107" s="15">
        <f t="shared" si="8"/>
        <v>127.708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21.25</v>
      </c>
      <c r="D108" s="15">
        <f>SUM(D82:D107)</f>
        <v>10.25</v>
      </c>
      <c r="E108" s="15"/>
      <c r="F108" s="14"/>
      <c r="G108" s="15">
        <f>SUM(G82:G107)</f>
        <v>21.25</v>
      </c>
      <c r="H108" s="15">
        <f>SUM(H82:H107)</f>
        <v>16.5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CATAPANG, CRISPIN JR. D.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AUGUST 02, 1995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 t="s">
        <v>52</v>
      </c>
      <c r="C117" s="15"/>
      <c r="D117" s="14"/>
      <c r="E117" s="15">
        <f>E107+C117-D117</f>
        <v>73.957999999999998</v>
      </c>
      <c r="F117" s="14"/>
      <c r="G117" s="15">
        <f>C117</f>
        <v>0</v>
      </c>
      <c r="H117" s="14">
        <v>2</v>
      </c>
      <c r="I117" s="15">
        <f>I107+G117-H117</f>
        <v>125.708</v>
      </c>
      <c r="J117" s="14"/>
      <c r="K117" s="13" t="s">
        <v>619</v>
      </c>
    </row>
    <row r="118" spans="1:11" ht="12.6" customHeight="1" x14ac:dyDescent="0.2">
      <c r="A118" s="13"/>
      <c r="B118" s="19" t="s">
        <v>45</v>
      </c>
      <c r="C118" s="15"/>
      <c r="D118" s="14"/>
      <c r="E118" s="15">
        <f>E117+C118-D118</f>
        <v>73.957999999999998</v>
      </c>
      <c r="F118" s="14"/>
      <c r="G118" s="15">
        <f t="shared" ref="G118:G142" si="9">C118</f>
        <v>0</v>
      </c>
      <c r="H118" s="14"/>
      <c r="I118" s="15">
        <f>I117+G118-H118</f>
        <v>125.708</v>
      </c>
      <c r="J118" s="22"/>
      <c r="K118" s="30">
        <v>39052</v>
      </c>
    </row>
    <row r="119" spans="1:11" ht="12.6" customHeight="1" x14ac:dyDescent="0.2">
      <c r="A119" s="13">
        <v>38721</v>
      </c>
      <c r="B119" s="19"/>
      <c r="C119" s="15">
        <v>3.75</v>
      </c>
      <c r="D119" s="14"/>
      <c r="E119" s="15">
        <f t="shared" ref="E119:E142" si="10">E118+C119-D119</f>
        <v>77.707999999999998</v>
      </c>
      <c r="F119" s="14"/>
      <c r="G119" s="15">
        <f t="shared" si="9"/>
        <v>3.75</v>
      </c>
      <c r="H119" s="14"/>
      <c r="I119" s="15">
        <f t="shared" ref="I119:I142" si="11">I118+G119-H119</f>
        <v>129.458</v>
      </c>
      <c r="J119" s="14"/>
      <c r="K119" s="16"/>
    </row>
    <row r="120" spans="1:11" ht="12.6" customHeight="1" x14ac:dyDescent="0.2">
      <c r="A120" s="13"/>
      <c r="B120" s="19" t="s">
        <v>52</v>
      </c>
      <c r="C120" s="15"/>
      <c r="D120" s="14"/>
      <c r="E120" s="15">
        <f t="shared" si="10"/>
        <v>77.707999999999998</v>
      </c>
      <c r="F120" s="14"/>
      <c r="G120" s="15">
        <f t="shared" si="9"/>
        <v>0</v>
      </c>
      <c r="H120" s="14">
        <v>2</v>
      </c>
      <c r="I120" s="15">
        <f t="shared" si="11"/>
        <v>127.458</v>
      </c>
      <c r="J120" s="14"/>
      <c r="K120" s="13" t="s">
        <v>620</v>
      </c>
    </row>
    <row r="121" spans="1:11" ht="12.6" customHeight="1" x14ac:dyDescent="0.2">
      <c r="A121" s="29">
        <v>38723</v>
      </c>
      <c r="B121" s="19"/>
      <c r="C121" s="15">
        <v>2.5</v>
      </c>
      <c r="D121" s="14"/>
      <c r="E121" s="15">
        <f t="shared" si="10"/>
        <v>80.207999999999998</v>
      </c>
      <c r="F121" s="14"/>
      <c r="G121" s="15">
        <f t="shared" si="9"/>
        <v>2.5</v>
      </c>
      <c r="H121" s="14"/>
      <c r="I121" s="15">
        <f t="shared" si="11"/>
        <v>129.958</v>
      </c>
      <c r="J121" s="14"/>
      <c r="K121" s="13"/>
    </row>
    <row r="122" spans="1:11" ht="12.6" customHeight="1" x14ac:dyDescent="0.2">
      <c r="A122" s="13"/>
      <c r="B122" s="19" t="s">
        <v>271</v>
      </c>
      <c r="C122" s="15"/>
      <c r="D122" s="14"/>
      <c r="E122" s="15">
        <f t="shared" si="10"/>
        <v>80.207999999999998</v>
      </c>
      <c r="F122" s="14"/>
      <c r="G122" s="15">
        <f t="shared" si="9"/>
        <v>0</v>
      </c>
      <c r="H122" s="14">
        <v>5</v>
      </c>
      <c r="I122" s="15">
        <f t="shared" si="11"/>
        <v>124.958</v>
      </c>
      <c r="J122" s="14"/>
      <c r="K122" s="13" t="s">
        <v>621</v>
      </c>
    </row>
    <row r="123" spans="1:11" ht="12.6" customHeight="1" x14ac:dyDescent="0.2">
      <c r="A123" s="13">
        <v>38724</v>
      </c>
      <c r="B123" s="17"/>
      <c r="C123" s="15">
        <v>1.25</v>
      </c>
      <c r="D123" s="14"/>
      <c r="E123" s="15">
        <f t="shared" si="10"/>
        <v>81.457999999999998</v>
      </c>
      <c r="F123" s="14"/>
      <c r="G123" s="15">
        <f t="shared" si="9"/>
        <v>1.25</v>
      </c>
      <c r="H123" s="14"/>
      <c r="I123" s="15">
        <f t="shared" si="11"/>
        <v>126.208</v>
      </c>
      <c r="J123" s="14"/>
      <c r="K123" s="13"/>
    </row>
    <row r="124" spans="1:11" ht="12.6" customHeight="1" x14ac:dyDescent="0.2">
      <c r="A124" s="13"/>
      <c r="B124" s="19" t="s">
        <v>52</v>
      </c>
      <c r="C124" s="15"/>
      <c r="D124" s="14"/>
      <c r="E124" s="15">
        <f t="shared" si="10"/>
        <v>81.457999999999998</v>
      </c>
      <c r="F124" s="14"/>
      <c r="G124" s="15">
        <f t="shared" si="9"/>
        <v>0</v>
      </c>
      <c r="H124" s="14">
        <v>2</v>
      </c>
      <c r="I124" s="15">
        <f t="shared" si="11"/>
        <v>124.208</v>
      </c>
      <c r="J124" s="14"/>
      <c r="K124" s="16" t="s">
        <v>622</v>
      </c>
    </row>
    <row r="125" spans="1:11" ht="12.6" customHeight="1" x14ac:dyDescent="0.2">
      <c r="A125" s="13">
        <v>38726</v>
      </c>
      <c r="B125" s="17"/>
      <c r="C125" s="15">
        <v>2.5</v>
      </c>
      <c r="D125" s="14"/>
      <c r="E125" s="15">
        <f t="shared" si="10"/>
        <v>83.957999999999998</v>
      </c>
      <c r="F125" s="14"/>
      <c r="G125" s="15">
        <f t="shared" si="9"/>
        <v>2.5</v>
      </c>
      <c r="H125" s="14"/>
      <c r="I125" s="15">
        <f t="shared" si="11"/>
        <v>126.708</v>
      </c>
      <c r="J125" s="14"/>
      <c r="K125" s="16"/>
    </row>
    <row r="126" spans="1:11" ht="12.6" customHeight="1" x14ac:dyDescent="0.2">
      <c r="A126" s="13"/>
      <c r="B126" s="19" t="s">
        <v>67</v>
      </c>
      <c r="C126" s="15"/>
      <c r="D126" s="14"/>
      <c r="E126" s="15">
        <f t="shared" si="10"/>
        <v>83.957999999999998</v>
      </c>
      <c r="F126" s="14"/>
      <c r="G126" s="15">
        <f t="shared" si="9"/>
        <v>0</v>
      </c>
      <c r="H126" s="14">
        <v>3</v>
      </c>
      <c r="I126" s="15">
        <f t="shared" si="11"/>
        <v>123.708</v>
      </c>
      <c r="J126" s="14"/>
      <c r="K126" s="16" t="s">
        <v>623</v>
      </c>
    </row>
    <row r="127" spans="1:11" ht="12.6" customHeight="1" x14ac:dyDescent="0.2">
      <c r="A127" s="13">
        <v>38727</v>
      </c>
      <c r="B127" s="19"/>
      <c r="C127" s="15">
        <v>1.25</v>
      </c>
      <c r="D127" s="14"/>
      <c r="E127" s="15">
        <f t="shared" si="10"/>
        <v>85.207999999999998</v>
      </c>
      <c r="F127" s="14"/>
      <c r="G127" s="15">
        <f t="shared" si="9"/>
        <v>1.25</v>
      </c>
      <c r="H127" s="14"/>
      <c r="I127" s="15">
        <f t="shared" si="11"/>
        <v>124.958</v>
      </c>
      <c r="J127" s="14"/>
      <c r="K127" s="13"/>
    </row>
    <row r="128" spans="1:11" ht="12.6" customHeight="1" x14ac:dyDescent="0.2">
      <c r="A128" s="13"/>
      <c r="B128" s="17" t="s">
        <v>60</v>
      </c>
      <c r="C128" s="15"/>
      <c r="D128" s="14">
        <v>5</v>
      </c>
      <c r="E128" s="15">
        <f t="shared" si="10"/>
        <v>80.207999999999998</v>
      </c>
      <c r="F128" s="14"/>
      <c r="G128" s="15">
        <f t="shared" si="9"/>
        <v>0</v>
      </c>
      <c r="H128" s="14"/>
      <c r="I128" s="15">
        <f t="shared" si="11"/>
        <v>124.958</v>
      </c>
      <c r="J128" s="14"/>
      <c r="K128" s="13" t="s">
        <v>624</v>
      </c>
    </row>
    <row r="129" spans="1:11" ht="12.6" customHeight="1" x14ac:dyDescent="0.2">
      <c r="A129" s="13">
        <v>38718</v>
      </c>
      <c r="B129" s="19"/>
      <c r="C129" s="15">
        <v>3.75</v>
      </c>
      <c r="D129" s="14"/>
      <c r="E129" s="15">
        <f t="shared" si="10"/>
        <v>83.957999999999998</v>
      </c>
      <c r="F129" s="14"/>
      <c r="G129" s="15">
        <f t="shared" si="9"/>
        <v>3.75</v>
      </c>
      <c r="H129" s="14"/>
      <c r="I129" s="15">
        <f t="shared" si="11"/>
        <v>128.708</v>
      </c>
      <c r="J129" s="14"/>
      <c r="K129" s="13"/>
    </row>
    <row r="130" spans="1:11" ht="12.6" customHeight="1" x14ac:dyDescent="0.2">
      <c r="A130" s="13"/>
      <c r="B130" s="19" t="s">
        <v>626</v>
      </c>
      <c r="C130" s="15"/>
      <c r="D130" s="14">
        <v>0.01</v>
      </c>
      <c r="E130" s="15">
        <f t="shared" si="10"/>
        <v>83.947999999999993</v>
      </c>
      <c r="F130" s="14"/>
      <c r="G130" s="15">
        <f t="shared" si="9"/>
        <v>0</v>
      </c>
      <c r="H130" s="14"/>
      <c r="I130" s="15">
        <f t="shared" si="11"/>
        <v>128.708</v>
      </c>
      <c r="J130" s="14"/>
      <c r="K130" s="13" t="s">
        <v>625</v>
      </c>
    </row>
    <row r="131" spans="1:11" ht="12.6" customHeight="1" x14ac:dyDescent="0.2">
      <c r="A131" s="13">
        <v>39084</v>
      </c>
      <c r="B131" s="19"/>
      <c r="C131" s="15">
        <v>1.25</v>
      </c>
      <c r="D131" s="14"/>
      <c r="E131" s="15">
        <f t="shared" si="10"/>
        <v>85.197999999999993</v>
      </c>
      <c r="F131" s="14"/>
      <c r="G131" s="15">
        <f t="shared" si="9"/>
        <v>1.25</v>
      </c>
      <c r="H131" s="14"/>
      <c r="I131" s="15">
        <f t="shared" si="11"/>
        <v>129.958</v>
      </c>
      <c r="J131" s="14"/>
      <c r="K131" s="33"/>
    </row>
    <row r="132" spans="1:11" ht="12.6" customHeight="1" x14ac:dyDescent="0.2">
      <c r="A132" s="13"/>
      <c r="B132" s="19" t="s">
        <v>95</v>
      </c>
      <c r="C132" s="15"/>
      <c r="D132" s="14">
        <v>3</v>
      </c>
      <c r="E132" s="15">
        <f t="shared" si="10"/>
        <v>82.197999999999993</v>
      </c>
      <c r="F132" s="14"/>
      <c r="G132" s="15">
        <f t="shared" si="9"/>
        <v>0</v>
      </c>
      <c r="H132" s="14"/>
      <c r="I132" s="15">
        <f t="shared" si="11"/>
        <v>129.958</v>
      </c>
      <c r="J132" s="14"/>
      <c r="K132" s="13" t="s">
        <v>627</v>
      </c>
    </row>
    <row r="133" spans="1:11" ht="12.6" customHeight="1" x14ac:dyDescent="0.2">
      <c r="A133" s="13">
        <v>39088</v>
      </c>
      <c r="B133" s="19"/>
      <c r="C133" s="15">
        <v>5</v>
      </c>
      <c r="D133" s="14"/>
      <c r="E133" s="15">
        <f t="shared" si="10"/>
        <v>87.197999999999993</v>
      </c>
      <c r="F133" s="14"/>
      <c r="G133" s="15">
        <f t="shared" si="9"/>
        <v>5</v>
      </c>
      <c r="H133" s="14"/>
      <c r="I133" s="15">
        <f t="shared" si="11"/>
        <v>134.958</v>
      </c>
      <c r="J133" s="14"/>
      <c r="K133" s="16"/>
    </row>
    <row r="134" spans="1:11" ht="12.6" customHeight="1" x14ac:dyDescent="0.2">
      <c r="A134" s="13"/>
      <c r="B134" s="19" t="s">
        <v>52</v>
      </c>
      <c r="C134" s="15"/>
      <c r="D134" s="14"/>
      <c r="E134" s="15">
        <f t="shared" si="10"/>
        <v>87.197999999999993</v>
      </c>
      <c r="F134" s="14"/>
      <c r="G134" s="15">
        <f t="shared" si="9"/>
        <v>0</v>
      </c>
      <c r="H134" s="14">
        <v>2</v>
      </c>
      <c r="I134" s="15">
        <f t="shared" si="11"/>
        <v>132.958</v>
      </c>
      <c r="J134" s="14"/>
      <c r="K134" s="13" t="s">
        <v>628</v>
      </c>
    </row>
    <row r="135" spans="1:11" ht="12.6" customHeight="1" x14ac:dyDescent="0.2">
      <c r="A135" s="13"/>
      <c r="B135" s="19" t="s">
        <v>76</v>
      </c>
      <c r="C135" s="15"/>
      <c r="D135" s="14">
        <v>2</v>
      </c>
      <c r="E135" s="15">
        <f t="shared" si="10"/>
        <v>85.197999999999993</v>
      </c>
      <c r="F135" s="14"/>
      <c r="G135" s="15">
        <f t="shared" si="9"/>
        <v>0</v>
      </c>
      <c r="H135" s="14"/>
      <c r="I135" s="15">
        <f t="shared" si="11"/>
        <v>132.958</v>
      </c>
      <c r="J135" s="14"/>
      <c r="K135" s="13" t="s">
        <v>629</v>
      </c>
    </row>
    <row r="136" spans="1:11" ht="12.6" customHeight="1" x14ac:dyDescent="0.2">
      <c r="A136" s="13">
        <v>39089</v>
      </c>
      <c r="B136" s="19"/>
      <c r="C136" s="15">
        <v>1.25</v>
      </c>
      <c r="D136" s="14"/>
      <c r="E136" s="15">
        <f t="shared" si="10"/>
        <v>86.447999999999993</v>
      </c>
      <c r="F136" s="14"/>
      <c r="G136" s="15">
        <f t="shared" si="9"/>
        <v>1.25</v>
      </c>
      <c r="H136" s="14"/>
      <c r="I136" s="15">
        <f t="shared" si="11"/>
        <v>134.208</v>
      </c>
      <c r="J136" s="14"/>
      <c r="K136" s="13"/>
    </row>
    <row r="137" spans="1:11" ht="12.6" customHeight="1" x14ac:dyDescent="0.2">
      <c r="A137" s="13"/>
      <c r="B137" s="19" t="s">
        <v>47</v>
      </c>
      <c r="C137" s="15"/>
      <c r="D137" s="14"/>
      <c r="E137" s="15">
        <f t="shared" si="10"/>
        <v>86.447999999999993</v>
      </c>
      <c r="F137" s="14"/>
      <c r="G137" s="15">
        <f t="shared" si="9"/>
        <v>0</v>
      </c>
      <c r="H137" s="14">
        <v>1</v>
      </c>
      <c r="I137" s="15">
        <f t="shared" si="11"/>
        <v>133.208</v>
      </c>
      <c r="J137" s="14"/>
      <c r="K137" s="13" t="s">
        <v>630</v>
      </c>
    </row>
    <row r="138" spans="1:11" ht="12.6" customHeight="1" x14ac:dyDescent="0.2">
      <c r="A138" s="13">
        <v>39090</v>
      </c>
      <c r="B138" s="19"/>
      <c r="C138" s="15">
        <v>1.25</v>
      </c>
      <c r="D138" s="14"/>
      <c r="E138" s="15">
        <f t="shared" si="10"/>
        <v>87.697999999999993</v>
      </c>
      <c r="F138" s="14"/>
      <c r="G138" s="15">
        <f t="shared" si="9"/>
        <v>1.25</v>
      </c>
      <c r="H138" s="14"/>
      <c r="I138" s="15">
        <f t="shared" si="11"/>
        <v>134.458</v>
      </c>
      <c r="J138" s="14"/>
      <c r="K138" s="19"/>
    </row>
    <row r="139" spans="1:11" ht="12.6" customHeight="1" x14ac:dyDescent="0.2">
      <c r="A139" s="13"/>
      <c r="B139" s="19" t="s">
        <v>47</v>
      </c>
      <c r="C139" s="15"/>
      <c r="D139" s="14"/>
      <c r="E139" s="15">
        <f t="shared" si="10"/>
        <v>87.697999999999993</v>
      </c>
      <c r="F139" s="14"/>
      <c r="G139" s="15">
        <f t="shared" si="9"/>
        <v>0</v>
      </c>
      <c r="H139" s="14">
        <v>1</v>
      </c>
      <c r="I139" s="15">
        <f t="shared" si="11"/>
        <v>133.458</v>
      </c>
      <c r="J139" s="14"/>
      <c r="K139" s="13">
        <v>39241</v>
      </c>
    </row>
    <row r="140" spans="1:11" ht="12.6" customHeight="1" x14ac:dyDescent="0.2">
      <c r="A140" s="13">
        <v>39091</v>
      </c>
      <c r="B140" s="19"/>
      <c r="C140" s="15">
        <v>1.25</v>
      </c>
      <c r="D140" s="14"/>
      <c r="E140" s="15">
        <f t="shared" si="10"/>
        <v>88.947999999999993</v>
      </c>
      <c r="F140" s="14"/>
      <c r="G140" s="15">
        <f t="shared" si="9"/>
        <v>1.25</v>
      </c>
      <c r="H140" s="14"/>
      <c r="I140" s="15">
        <f t="shared" si="11"/>
        <v>134.708</v>
      </c>
      <c r="J140" s="14"/>
      <c r="K140" s="13"/>
    </row>
    <row r="141" spans="1:11" ht="12.6" customHeight="1" x14ac:dyDescent="0.2">
      <c r="A141" s="13"/>
      <c r="B141" s="19" t="s">
        <v>74</v>
      </c>
      <c r="C141" s="15"/>
      <c r="D141" s="14">
        <v>1</v>
      </c>
      <c r="E141" s="15">
        <f t="shared" si="10"/>
        <v>87.947999999999993</v>
      </c>
      <c r="F141" s="14"/>
      <c r="G141" s="15">
        <f t="shared" si="9"/>
        <v>0</v>
      </c>
      <c r="H141" s="14"/>
      <c r="I141" s="15">
        <f t="shared" si="11"/>
        <v>134.708</v>
      </c>
      <c r="J141" s="14"/>
      <c r="K141" s="13">
        <v>39425</v>
      </c>
    </row>
    <row r="142" spans="1:11" ht="12.6" customHeight="1" x14ac:dyDescent="0.2">
      <c r="A142" s="13"/>
      <c r="B142" s="19" t="s">
        <v>67</v>
      </c>
      <c r="C142" s="15"/>
      <c r="D142" s="14"/>
      <c r="E142" s="15">
        <f t="shared" si="10"/>
        <v>87.947999999999993</v>
      </c>
      <c r="F142" s="14"/>
      <c r="G142" s="15">
        <f t="shared" si="9"/>
        <v>0</v>
      </c>
      <c r="H142" s="14">
        <v>3</v>
      </c>
      <c r="I142" s="15">
        <f t="shared" si="11"/>
        <v>131.708</v>
      </c>
      <c r="J142" s="14"/>
      <c r="K142" s="16" t="s">
        <v>631</v>
      </c>
    </row>
    <row r="143" spans="1:11" ht="12.6" customHeight="1" x14ac:dyDescent="0.2">
      <c r="A143" s="19"/>
      <c r="B143" s="19"/>
      <c r="C143" s="15">
        <f>SUM(C117:C142)</f>
        <v>25</v>
      </c>
      <c r="D143" s="15">
        <f>SUM(D117:D142)</f>
        <v>11.01</v>
      </c>
      <c r="E143" s="15"/>
      <c r="F143" s="14"/>
      <c r="G143" s="15">
        <f>SUM(G117:G142)</f>
        <v>25</v>
      </c>
      <c r="H143" s="15">
        <f>SUM(H117:H142)</f>
        <v>21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CATAPANG, CRISPIN JR. D.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AUGUST 02, 1995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39092</v>
      </c>
      <c r="B156" s="19"/>
      <c r="C156" s="15">
        <v>1.25</v>
      </c>
      <c r="D156" s="14"/>
      <c r="E156" s="15">
        <f>E142+C156-D156</f>
        <v>89.197999999999993</v>
      </c>
      <c r="F156" s="14"/>
      <c r="G156" s="15">
        <f>C156</f>
        <v>1.25</v>
      </c>
      <c r="H156" s="14"/>
      <c r="I156" s="15">
        <f>I142+G156-H156</f>
        <v>132.958</v>
      </c>
      <c r="J156" s="14"/>
      <c r="K156" s="13"/>
    </row>
    <row r="157" spans="1:11" ht="12.6" customHeight="1" x14ac:dyDescent="0.2">
      <c r="A157" s="13"/>
      <c r="B157" s="19" t="s">
        <v>245</v>
      </c>
      <c r="C157" s="15"/>
      <c r="D157" s="14">
        <v>7</v>
      </c>
      <c r="E157" s="15">
        <f>E156+C157-D157</f>
        <v>82.197999999999993</v>
      </c>
      <c r="F157" s="14"/>
      <c r="G157" s="15">
        <f t="shared" ref="G157:G181" si="12">C157</f>
        <v>0</v>
      </c>
      <c r="H157" s="14"/>
      <c r="I157" s="15">
        <f>I156+G157-H157</f>
        <v>132.958</v>
      </c>
      <c r="J157" s="14"/>
      <c r="K157" s="13" t="s">
        <v>632</v>
      </c>
    </row>
    <row r="158" spans="1:11" ht="12.6" customHeight="1" x14ac:dyDescent="0.2">
      <c r="A158" s="13"/>
      <c r="B158" s="19" t="s">
        <v>90</v>
      </c>
      <c r="C158" s="15"/>
      <c r="D158" s="14"/>
      <c r="E158" s="15">
        <f t="shared" ref="E158:E181" si="13">E157+C158-D158</f>
        <v>82.197999999999993</v>
      </c>
      <c r="F158" s="22"/>
      <c r="G158" s="15">
        <f t="shared" si="12"/>
        <v>0</v>
      </c>
      <c r="H158" s="34"/>
      <c r="I158" s="15">
        <f t="shared" ref="I158:I181" si="14">I157+G158-H158</f>
        <v>132.958</v>
      </c>
      <c r="J158" s="14"/>
      <c r="K158" s="13" t="s">
        <v>633</v>
      </c>
    </row>
    <row r="159" spans="1:11" ht="12.6" customHeight="1" x14ac:dyDescent="0.2">
      <c r="A159" s="13">
        <v>39093</v>
      </c>
      <c r="B159" s="19"/>
      <c r="C159" s="15">
        <v>1.25</v>
      </c>
      <c r="D159" s="14"/>
      <c r="E159" s="15">
        <f t="shared" si="13"/>
        <v>83.447999999999993</v>
      </c>
      <c r="F159" s="14"/>
      <c r="G159" s="15">
        <f t="shared" si="12"/>
        <v>1.25</v>
      </c>
      <c r="H159" s="34"/>
      <c r="I159" s="15">
        <f t="shared" si="14"/>
        <v>134.208</v>
      </c>
      <c r="J159" s="14"/>
      <c r="K159" s="13"/>
    </row>
    <row r="160" spans="1:11" ht="12.6" customHeight="1" x14ac:dyDescent="0.2">
      <c r="A160" s="13"/>
      <c r="B160" s="19" t="s">
        <v>248</v>
      </c>
      <c r="C160" s="15"/>
      <c r="D160" s="14"/>
      <c r="E160" s="15">
        <f t="shared" si="13"/>
        <v>83.447999999999993</v>
      </c>
      <c r="F160" s="14"/>
      <c r="G160" s="15">
        <f t="shared" si="12"/>
        <v>0</v>
      </c>
      <c r="H160" s="35">
        <v>2.5</v>
      </c>
      <c r="I160" s="15">
        <f t="shared" si="14"/>
        <v>131.708</v>
      </c>
      <c r="J160" s="14"/>
      <c r="K160" s="16" t="s">
        <v>635</v>
      </c>
    </row>
    <row r="161" spans="1:11" ht="12.6" customHeight="1" x14ac:dyDescent="0.2">
      <c r="A161" s="13"/>
      <c r="B161" s="19" t="s">
        <v>248</v>
      </c>
      <c r="C161" s="15"/>
      <c r="D161" s="14"/>
      <c r="E161" s="15">
        <f t="shared" si="13"/>
        <v>83.447999999999993</v>
      </c>
      <c r="F161" s="14"/>
      <c r="G161" s="15">
        <f t="shared" si="12"/>
        <v>0</v>
      </c>
      <c r="H161" s="35">
        <v>2.5</v>
      </c>
      <c r="I161" s="15">
        <f t="shared" si="14"/>
        <v>129.208</v>
      </c>
      <c r="J161" s="14"/>
      <c r="K161" s="13" t="s">
        <v>634</v>
      </c>
    </row>
    <row r="162" spans="1:11" ht="12.6" customHeight="1" x14ac:dyDescent="0.2">
      <c r="A162" s="13">
        <v>39094</v>
      </c>
      <c r="B162" s="19"/>
      <c r="C162" s="15">
        <v>1.25</v>
      </c>
      <c r="D162" s="14"/>
      <c r="E162" s="15">
        <f t="shared" si="13"/>
        <v>84.697999999999993</v>
      </c>
      <c r="F162" s="14"/>
      <c r="G162" s="15">
        <f t="shared" si="12"/>
        <v>1.25</v>
      </c>
      <c r="H162" s="34"/>
      <c r="I162" s="15">
        <f t="shared" si="14"/>
        <v>130.458</v>
      </c>
      <c r="J162" s="14"/>
      <c r="K162" s="16"/>
    </row>
    <row r="163" spans="1:11" ht="12.6" customHeight="1" x14ac:dyDescent="0.2">
      <c r="A163" s="13"/>
      <c r="B163" s="19" t="s">
        <v>52</v>
      </c>
      <c r="C163" s="15"/>
      <c r="D163" s="22"/>
      <c r="E163" s="15">
        <f t="shared" si="13"/>
        <v>84.697999999999993</v>
      </c>
      <c r="F163" s="22"/>
      <c r="G163" s="15">
        <f t="shared" si="12"/>
        <v>0</v>
      </c>
      <c r="H163" s="14">
        <v>2</v>
      </c>
      <c r="I163" s="15">
        <f t="shared" si="14"/>
        <v>128.458</v>
      </c>
      <c r="J163" s="14"/>
      <c r="K163" s="13" t="s">
        <v>636</v>
      </c>
    </row>
    <row r="164" spans="1:11" ht="12.6" customHeight="1" x14ac:dyDescent="0.2">
      <c r="A164" s="13">
        <v>39448</v>
      </c>
      <c r="B164" s="19"/>
      <c r="C164" s="15">
        <v>1.25</v>
      </c>
      <c r="D164" s="22"/>
      <c r="E164" s="15">
        <f t="shared" si="13"/>
        <v>85.947999999999993</v>
      </c>
      <c r="F164" s="14"/>
      <c r="G164" s="15">
        <f t="shared" si="12"/>
        <v>1.25</v>
      </c>
      <c r="H164" s="34"/>
      <c r="I164" s="15">
        <f t="shared" si="14"/>
        <v>129.708</v>
      </c>
      <c r="J164" s="14"/>
      <c r="K164" s="13"/>
    </row>
    <row r="165" spans="1:11" ht="12.6" customHeight="1" x14ac:dyDescent="0.2">
      <c r="A165" s="13"/>
      <c r="B165" s="19" t="s">
        <v>638</v>
      </c>
      <c r="C165" s="15"/>
      <c r="D165" s="14">
        <v>2.0670000000000002</v>
      </c>
      <c r="E165" s="15">
        <f t="shared" si="13"/>
        <v>83.881</v>
      </c>
      <c r="F165" s="14"/>
      <c r="G165" s="15">
        <f t="shared" si="12"/>
        <v>0</v>
      </c>
      <c r="H165" s="34"/>
      <c r="I165" s="15">
        <f t="shared" si="14"/>
        <v>129.708</v>
      </c>
      <c r="J165" s="14"/>
      <c r="K165" s="13" t="s">
        <v>637</v>
      </c>
    </row>
    <row r="166" spans="1:11" ht="12.6" customHeight="1" x14ac:dyDescent="0.2">
      <c r="A166" s="13"/>
      <c r="B166" s="19" t="s">
        <v>271</v>
      </c>
      <c r="C166" s="15"/>
      <c r="D166" s="14"/>
      <c r="E166" s="15">
        <f t="shared" si="13"/>
        <v>83.881</v>
      </c>
      <c r="F166" s="22"/>
      <c r="G166" s="15">
        <f t="shared" si="12"/>
        <v>0</v>
      </c>
      <c r="H166" s="34">
        <v>5</v>
      </c>
      <c r="I166" s="15">
        <f t="shared" si="14"/>
        <v>124.708</v>
      </c>
      <c r="J166" s="14"/>
      <c r="K166" s="13" t="s">
        <v>639</v>
      </c>
    </row>
    <row r="167" spans="1:11" ht="12.6" customHeight="1" x14ac:dyDescent="0.2">
      <c r="A167" s="13"/>
      <c r="B167" s="19" t="s">
        <v>47</v>
      </c>
      <c r="C167" s="15"/>
      <c r="D167" s="14"/>
      <c r="E167" s="15">
        <f t="shared" si="13"/>
        <v>83.881</v>
      </c>
      <c r="F167" s="22"/>
      <c r="G167" s="15">
        <f t="shared" si="12"/>
        <v>0</v>
      </c>
      <c r="H167" s="35">
        <v>1</v>
      </c>
      <c r="I167" s="15">
        <f t="shared" si="14"/>
        <v>123.708</v>
      </c>
      <c r="J167" s="14"/>
      <c r="K167" s="16" t="s">
        <v>640</v>
      </c>
    </row>
    <row r="168" spans="1:11" ht="12.6" customHeight="1" x14ac:dyDescent="0.2">
      <c r="A168" s="13">
        <v>39450</v>
      </c>
      <c r="B168" s="19"/>
      <c r="C168" s="15">
        <v>2.5</v>
      </c>
      <c r="D168" s="14"/>
      <c r="E168" s="15">
        <f t="shared" si="13"/>
        <v>86.381</v>
      </c>
      <c r="F168" s="14"/>
      <c r="G168" s="15">
        <f t="shared" si="12"/>
        <v>2.5</v>
      </c>
      <c r="H168" s="32"/>
      <c r="I168" s="15">
        <f t="shared" si="14"/>
        <v>126.208</v>
      </c>
      <c r="J168" s="14"/>
      <c r="K168" s="13"/>
    </row>
    <row r="169" spans="1:11" ht="12.6" customHeight="1" x14ac:dyDescent="0.2">
      <c r="A169" s="13"/>
      <c r="B169" s="19" t="s">
        <v>95</v>
      </c>
      <c r="C169" s="15"/>
      <c r="D169" s="14">
        <v>3</v>
      </c>
      <c r="E169" s="15">
        <f t="shared" si="13"/>
        <v>83.381</v>
      </c>
      <c r="F169" s="22"/>
      <c r="G169" s="15">
        <f t="shared" si="12"/>
        <v>0</v>
      </c>
      <c r="H169" s="34"/>
      <c r="I169" s="15">
        <f t="shared" si="14"/>
        <v>126.208</v>
      </c>
      <c r="J169" s="14"/>
      <c r="K169" s="13" t="s">
        <v>641</v>
      </c>
    </row>
    <row r="170" spans="1:11" ht="12.6" customHeight="1" x14ac:dyDescent="0.2">
      <c r="A170" s="13">
        <v>39451</v>
      </c>
      <c r="B170" s="19"/>
      <c r="C170" s="15">
        <v>1.25</v>
      </c>
      <c r="D170" s="14"/>
      <c r="E170" s="15">
        <f t="shared" si="13"/>
        <v>84.631</v>
      </c>
      <c r="F170" s="14"/>
      <c r="G170" s="15">
        <f t="shared" si="12"/>
        <v>1.25</v>
      </c>
      <c r="H170" s="14"/>
      <c r="I170" s="15">
        <f t="shared" si="14"/>
        <v>127.458</v>
      </c>
      <c r="J170" s="14"/>
      <c r="K170" s="13"/>
    </row>
    <row r="171" spans="1:11" ht="12.6" customHeight="1" x14ac:dyDescent="0.2">
      <c r="A171" s="13"/>
      <c r="B171" s="19" t="s">
        <v>47</v>
      </c>
      <c r="C171" s="15"/>
      <c r="D171" s="14"/>
      <c r="E171" s="15">
        <f t="shared" si="13"/>
        <v>84.631</v>
      </c>
      <c r="F171" s="14"/>
      <c r="G171" s="15">
        <f t="shared" si="12"/>
        <v>0</v>
      </c>
      <c r="H171" s="34">
        <v>1</v>
      </c>
      <c r="I171" s="15">
        <f t="shared" si="14"/>
        <v>126.458</v>
      </c>
      <c r="J171" s="14"/>
      <c r="K171" s="16" t="s">
        <v>642</v>
      </c>
    </row>
    <row r="172" spans="1:11" ht="12.6" customHeight="1" x14ac:dyDescent="0.2">
      <c r="A172" s="13">
        <v>39453</v>
      </c>
      <c r="B172" s="19"/>
      <c r="C172" s="15">
        <v>2.5</v>
      </c>
      <c r="D172" s="14"/>
      <c r="E172" s="15">
        <f t="shared" si="13"/>
        <v>87.131</v>
      </c>
      <c r="F172" s="14"/>
      <c r="G172" s="15">
        <f t="shared" si="12"/>
        <v>2.5</v>
      </c>
      <c r="H172" s="34"/>
      <c r="I172" s="15">
        <f t="shared" si="14"/>
        <v>128.958</v>
      </c>
      <c r="J172" s="14"/>
      <c r="K172" s="13"/>
    </row>
    <row r="173" spans="1:11" ht="12.6" customHeight="1" x14ac:dyDescent="0.2">
      <c r="A173" s="13"/>
      <c r="B173" s="19" t="s">
        <v>52</v>
      </c>
      <c r="C173" s="15"/>
      <c r="D173" s="14"/>
      <c r="E173" s="15">
        <f t="shared" si="13"/>
        <v>87.131</v>
      </c>
      <c r="F173" s="14"/>
      <c r="G173" s="15">
        <f t="shared" si="12"/>
        <v>0</v>
      </c>
      <c r="H173" s="35">
        <v>2</v>
      </c>
      <c r="I173" s="15">
        <f t="shared" si="14"/>
        <v>126.958</v>
      </c>
      <c r="J173" s="14"/>
      <c r="K173" s="13" t="s">
        <v>643</v>
      </c>
    </row>
    <row r="174" spans="1:11" ht="12.6" customHeight="1" x14ac:dyDescent="0.2">
      <c r="A174" s="13"/>
      <c r="B174" s="19" t="s">
        <v>52</v>
      </c>
      <c r="C174" s="15"/>
      <c r="D174" s="14"/>
      <c r="E174" s="15">
        <f t="shared" si="13"/>
        <v>87.131</v>
      </c>
      <c r="F174" s="22"/>
      <c r="G174" s="15">
        <f t="shared" si="12"/>
        <v>0</v>
      </c>
      <c r="H174" s="14">
        <v>2</v>
      </c>
      <c r="I174" s="15">
        <f t="shared" si="14"/>
        <v>124.958</v>
      </c>
      <c r="J174" s="14"/>
      <c r="K174" s="13" t="s">
        <v>644</v>
      </c>
    </row>
    <row r="175" spans="1:11" ht="12.6" customHeight="1" x14ac:dyDescent="0.2">
      <c r="A175" s="13">
        <v>39454</v>
      </c>
      <c r="B175" s="19"/>
      <c r="C175" s="15">
        <v>1.25</v>
      </c>
      <c r="D175" s="14"/>
      <c r="E175" s="15">
        <f t="shared" si="13"/>
        <v>88.381</v>
      </c>
      <c r="F175" s="22"/>
      <c r="G175" s="15">
        <f t="shared" si="12"/>
        <v>1.25</v>
      </c>
      <c r="H175" s="34"/>
      <c r="I175" s="15">
        <f t="shared" si="14"/>
        <v>126.208</v>
      </c>
      <c r="J175" s="14"/>
      <c r="K175" s="13"/>
    </row>
    <row r="176" spans="1:11" ht="12.6" customHeight="1" x14ac:dyDescent="0.2">
      <c r="A176" s="13"/>
      <c r="B176" s="19" t="s">
        <v>47</v>
      </c>
      <c r="C176" s="15"/>
      <c r="D176" s="14"/>
      <c r="E176" s="15">
        <f t="shared" si="13"/>
        <v>88.381</v>
      </c>
      <c r="F176" s="14"/>
      <c r="G176" s="15">
        <f t="shared" si="12"/>
        <v>0</v>
      </c>
      <c r="H176" s="32">
        <v>1</v>
      </c>
      <c r="I176" s="15">
        <f t="shared" si="14"/>
        <v>125.208</v>
      </c>
      <c r="J176" s="14"/>
      <c r="K176" s="16" t="s">
        <v>645</v>
      </c>
    </row>
    <row r="177" spans="1:11" ht="12.6" customHeight="1" x14ac:dyDescent="0.2">
      <c r="A177" s="13">
        <v>39456</v>
      </c>
      <c r="B177" s="19"/>
      <c r="C177" s="15">
        <v>2.5</v>
      </c>
      <c r="D177" s="14"/>
      <c r="E177" s="15">
        <f t="shared" si="13"/>
        <v>90.881</v>
      </c>
      <c r="F177" s="14"/>
      <c r="G177" s="15">
        <f t="shared" si="12"/>
        <v>2.5</v>
      </c>
      <c r="H177" s="34"/>
      <c r="I177" s="15">
        <f t="shared" si="14"/>
        <v>127.708</v>
      </c>
      <c r="J177" s="14"/>
      <c r="K177" s="16"/>
    </row>
    <row r="178" spans="1:11" ht="12.6" customHeight="1" x14ac:dyDescent="0.2">
      <c r="A178" s="13"/>
      <c r="B178" s="19" t="s">
        <v>648</v>
      </c>
      <c r="C178" s="15"/>
      <c r="D178" s="14"/>
      <c r="E178" s="15">
        <f t="shared" si="13"/>
        <v>90.881</v>
      </c>
      <c r="F178" s="14"/>
      <c r="G178" s="15">
        <f t="shared" si="12"/>
        <v>0</v>
      </c>
      <c r="H178" s="34">
        <v>24</v>
      </c>
      <c r="I178" s="15">
        <f t="shared" si="14"/>
        <v>103.708</v>
      </c>
      <c r="J178" s="14"/>
      <c r="K178" s="13" t="s">
        <v>646</v>
      </c>
    </row>
    <row r="179" spans="1:11" ht="12.6" customHeight="1" x14ac:dyDescent="0.2">
      <c r="A179" s="13"/>
      <c r="B179" s="19" t="s">
        <v>47</v>
      </c>
      <c r="C179" s="15"/>
      <c r="D179" s="14"/>
      <c r="E179" s="15">
        <f t="shared" si="13"/>
        <v>90.881</v>
      </c>
      <c r="F179" s="14"/>
      <c r="G179" s="15">
        <f t="shared" si="12"/>
        <v>0</v>
      </c>
      <c r="H179" s="34">
        <v>1</v>
      </c>
      <c r="I179" s="15">
        <f t="shared" si="14"/>
        <v>102.708</v>
      </c>
      <c r="J179" s="14"/>
      <c r="K179" s="16" t="s">
        <v>647</v>
      </c>
    </row>
    <row r="180" spans="1:11" ht="12.6" customHeight="1" x14ac:dyDescent="0.2">
      <c r="A180" s="13">
        <v>39459</v>
      </c>
      <c r="B180" s="19"/>
      <c r="C180" s="15">
        <v>3.75</v>
      </c>
      <c r="D180" s="14"/>
      <c r="E180" s="15">
        <f t="shared" si="13"/>
        <v>94.631</v>
      </c>
      <c r="F180" s="14"/>
      <c r="G180" s="15">
        <f t="shared" si="12"/>
        <v>3.75</v>
      </c>
      <c r="H180" s="34"/>
      <c r="I180" s="15">
        <f t="shared" si="14"/>
        <v>106.458</v>
      </c>
      <c r="J180" s="14"/>
      <c r="K180" s="13"/>
    </row>
    <row r="181" spans="1:11" ht="12.6" customHeight="1" x14ac:dyDescent="0.2">
      <c r="A181" s="13"/>
      <c r="B181" s="19" t="s">
        <v>52</v>
      </c>
      <c r="C181" s="15"/>
      <c r="D181" s="14"/>
      <c r="E181" s="15">
        <f t="shared" si="13"/>
        <v>94.631</v>
      </c>
      <c r="F181" s="14"/>
      <c r="G181" s="15">
        <f t="shared" si="12"/>
        <v>0</v>
      </c>
      <c r="H181" s="34">
        <v>2</v>
      </c>
      <c r="I181" s="15">
        <f t="shared" si="14"/>
        <v>104.458</v>
      </c>
      <c r="J181" s="14"/>
      <c r="K181" s="13" t="s">
        <v>649</v>
      </c>
    </row>
    <row r="182" spans="1:11" ht="12.6" customHeight="1" x14ac:dyDescent="0.2">
      <c r="A182" s="19"/>
      <c r="B182" s="19"/>
      <c r="C182" s="15">
        <f>SUM(C156:C181)</f>
        <v>18.75</v>
      </c>
      <c r="D182" s="15">
        <f>SUM(D156:D181)</f>
        <v>12.067</v>
      </c>
      <c r="E182" s="36"/>
      <c r="F182" s="37"/>
      <c r="G182" s="15">
        <f>SUM(G156:G181)</f>
        <v>18.75</v>
      </c>
      <c r="H182" s="15">
        <f>SUM(H156:H181)</f>
        <v>46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CATAPANG, CRISPIN JR. D.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AUGUST 02, 1995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>
        <v>39814</v>
      </c>
      <c r="B191" s="19"/>
      <c r="C191" s="15">
        <v>1.25</v>
      </c>
      <c r="D191" s="14"/>
      <c r="E191" s="15">
        <f>E181+C191-D191</f>
        <v>95.881</v>
      </c>
      <c r="F191" s="14"/>
      <c r="G191" s="15">
        <f>C191</f>
        <v>1.25</v>
      </c>
      <c r="H191" s="34"/>
      <c r="I191" s="15">
        <f>I181+G191-H191</f>
        <v>105.708</v>
      </c>
      <c r="J191" s="14"/>
      <c r="K191" s="13"/>
    </row>
    <row r="192" spans="1:11" ht="12.6" customHeight="1" x14ac:dyDescent="0.2">
      <c r="A192" s="13"/>
      <c r="B192" s="19" t="s">
        <v>651</v>
      </c>
      <c r="C192" s="15"/>
      <c r="D192" s="14">
        <v>0.121</v>
      </c>
      <c r="E192" s="15">
        <f>E191+C192-D192</f>
        <v>95.76</v>
      </c>
      <c r="F192" s="14"/>
      <c r="G192" s="15">
        <f t="shared" ref="G192:G216" si="15">C192</f>
        <v>0</v>
      </c>
      <c r="H192" s="34"/>
      <c r="I192" s="15">
        <f>I191+G192-H192</f>
        <v>105.708</v>
      </c>
      <c r="J192" s="14"/>
      <c r="K192" s="13" t="s">
        <v>650</v>
      </c>
    </row>
    <row r="193" spans="1:11" ht="12.6" customHeight="1" x14ac:dyDescent="0.2">
      <c r="A193" s="13">
        <v>39815</v>
      </c>
      <c r="B193" s="19"/>
      <c r="C193" s="15">
        <v>1.25</v>
      </c>
      <c r="D193" s="14"/>
      <c r="E193" s="15">
        <f t="shared" ref="E193:E216" si="16">E192+C193-D193</f>
        <v>97.01</v>
      </c>
      <c r="F193" s="22"/>
      <c r="G193" s="15">
        <f t="shared" si="15"/>
        <v>1.25</v>
      </c>
      <c r="H193" s="34"/>
      <c r="I193" s="15">
        <f t="shared" ref="I193:I216" si="17">I192+G193-H193</f>
        <v>106.958</v>
      </c>
      <c r="J193" s="14"/>
      <c r="K193" s="38"/>
    </row>
    <row r="194" spans="1:11" ht="12.6" customHeight="1" x14ac:dyDescent="0.2">
      <c r="A194" s="13"/>
      <c r="B194" s="19" t="s">
        <v>45</v>
      </c>
      <c r="C194" s="15"/>
      <c r="D194" s="14"/>
      <c r="E194" s="15">
        <f t="shared" si="16"/>
        <v>97.01</v>
      </c>
      <c r="F194" s="14"/>
      <c r="G194" s="15">
        <f t="shared" si="15"/>
        <v>0</v>
      </c>
      <c r="H194" s="34"/>
      <c r="I194" s="15">
        <f t="shared" si="17"/>
        <v>106.958</v>
      </c>
      <c r="J194" s="14"/>
      <c r="K194" s="13">
        <v>40058</v>
      </c>
    </row>
    <row r="195" spans="1:11" ht="12.6" customHeight="1" x14ac:dyDescent="0.2">
      <c r="A195" s="13">
        <v>39816</v>
      </c>
      <c r="B195" s="19"/>
      <c r="C195" s="15">
        <v>1.25</v>
      </c>
      <c r="D195" s="14"/>
      <c r="E195" s="15">
        <f t="shared" si="16"/>
        <v>98.26</v>
      </c>
      <c r="F195" s="14"/>
      <c r="G195" s="15">
        <f t="shared" si="15"/>
        <v>1.25</v>
      </c>
      <c r="H195" s="34"/>
      <c r="I195" s="15">
        <f t="shared" si="17"/>
        <v>108.208</v>
      </c>
      <c r="J195" s="14"/>
      <c r="K195" s="13"/>
    </row>
    <row r="196" spans="1:11" ht="12.6" customHeight="1" x14ac:dyDescent="0.2">
      <c r="A196" s="13"/>
      <c r="B196" s="19" t="s">
        <v>47</v>
      </c>
      <c r="C196" s="15"/>
      <c r="D196" s="14"/>
      <c r="E196" s="15">
        <f t="shared" si="16"/>
        <v>98.26</v>
      </c>
      <c r="F196" s="14"/>
      <c r="G196" s="15">
        <f t="shared" si="15"/>
        <v>0</v>
      </c>
      <c r="H196" s="34">
        <v>1</v>
      </c>
      <c r="I196" s="15">
        <f t="shared" si="17"/>
        <v>107.208</v>
      </c>
      <c r="J196" s="14"/>
      <c r="K196" s="13">
        <v>39847</v>
      </c>
    </row>
    <row r="197" spans="1:11" ht="12.6" customHeight="1" x14ac:dyDescent="0.2">
      <c r="A197" s="13"/>
      <c r="B197" s="19" t="s">
        <v>166</v>
      </c>
      <c r="C197" s="15"/>
      <c r="D197" s="14"/>
      <c r="E197" s="15">
        <f t="shared" si="16"/>
        <v>98.26</v>
      </c>
      <c r="F197" s="14"/>
      <c r="G197" s="15">
        <f t="shared" si="15"/>
        <v>0</v>
      </c>
      <c r="H197" s="34"/>
      <c r="I197" s="15">
        <f t="shared" si="17"/>
        <v>107.208</v>
      </c>
      <c r="J197" s="14"/>
      <c r="K197" s="13" t="s">
        <v>652</v>
      </c>
    </row>
    <row r="198" spans="1:11" ht="12.6" customHeight="1" x14ac:dyDescent="0.2">
      <c r="A198" s="13">
        <v>39817</v>
      </c>
      <c r="B198" s="19"/>
      <c r="C198" s="15">
        <v>1.25</v>
      </c>
      <c r="D198" s="22"/>
      <c r="E198" s="15">
        <f t="shared" si="16"/>
        <v>99.51</v>
      </c>
      <c r="F198" s="22"/>
      <c r="G198" s="15">
        <f t="shared" si="15"/>
        <v>1.25</v>
      </c>
      <c r="H198" s="34"/>
      <c r="I198" s="15">
        <f t="shared" si="17"/>
        <v>108.458</v>
      </c>
      <c r="J198" s="14"/>
      <c r="K198" s="16"/>
    </row>
    <row r="199" spans="1:11" ht="12.6" customHeight="1" x14ac:dyDescent="0.2">
      <c r="A199" s="13"/>
      <c r="B199" s="19" t="s">
        <v>248</v>
      </c>
      <c r="C199" s="15"/>
      <c r="D199" s="22"/>
      <c r="E199" s="15">
        <f t="shared" si="16"/>
        <v>99.51</v>
      </c>
      <c r="F199" s="14"/>
      <c r="G199" s="15">
        <f t="shared" si="15"/>
        <v>0</v>
      </c>
      <c r="H199" s="35">
        <v>2.5</v>
      </c>
      <c r="I199" s="15">
        <f t="shared" si="17"/>
        <v>105.958</v>
      </c>
      <c r="J199" s="14"/>
      <c r="K199" s="16" t="s">
        <v>653</v>
      </c>
    </row>
    <row r="200" spans="1:11" ht="12.6" customHeight="1" x14ac:dyDescent="0.2">
      <c r="A200" s="13">
        <v>39818</v>
      </c>
      <c r="B200" s="19"/>
      <c r="C200" s="15">
        <v>1.25</v>
      </c>
      <c r="D200" s="14"/>
      <c r="E200" s="15">
        <f t="shared" si="16"/>
        <v>100.76</v>
      </c>
      <c r="F200" s="14"/>
      <c r="G200" s="15">
        <f t="shared" si="15"/>
        <v>1.25</v>
      </c>
      <c r="H200" s="34"/>
      <c r="I200" s="15">
        <f t="shared" si="17"/>
        <v>107.208</v>
      </c>
      <c r="J200" s="14"/>
      <c r="K200" s="13"/>
    </row>
    <row r="201" spans="1:11" ht="12.6" customHeight="1" x14ac:dyDescent="0.2">
      <c r="A201" s="13"/>
      <c r="B201" s="19" t="s">
        <v>129</v>
      </c>
      <c r="C201" s="15"/>
      <c r="D201" s="22"/>
      <c r="E201" s="15">
        <f t="shared" si="16"/>
        <v>100.76</v>
      </c>
      <c r="F201" s="22"/>
      <c r="G201" s="15">
        <f t="shared" si="15"/>
        <v>0</v>
      </c>
      <c r="H201" s="35">
        <v>0.5</v>
      </c>
      <c r="I201" s="15">
        <f t="shared" si="17"/>
        <v>106.708</v>
      </c>
      <c r="J201" s="14"/>
      <c r="K201" s="13" t="s">
        <v>654</v>
      </c>
    </row>
    <row r="202" spans="1:11" ht="12.6" customHeight="1" x14ac:dyDescent="0.2">
      <c r="A202" s="13">
        <v>39819</v>
      </c>
      <c r="B202" s="19"/>
      <c r="C202" s="15">
        <v>1.25</v>
      </c>
      <c r="D202" s="14"/>
      <c r="E202" s="15">
        <f t="shared" si="16"/>
        <v>102.01</v>
      </c>
      <c r="F202" s="22"/>
      <c r="G202" s="15">
        <f t="shared" si="15"/>
        <v>1.25</v>
      </c>
      <c r="H202" s="34"/>
      <c r="I202" s="15">
        <f t="shared" si="17"/>
        <v>107.958</v>
      </c>
      <c r="J202" s="14"/>
      <c r="K202" s="13"/>
    </row>
    <row r="203" spans="1:11" ht="12.6" customHeight="1" x14ac:dyDescent="0.2">
      <c r="A203" s="13"/>
      <c r="B203" s="19" t="s">
        <v>47</v>
      </c>
      <c r="C203" s="15"/>
      <c r="D203" s="14"/>
      <c r="E203" s="15">
        <f t="shared" si="16"/>
        <v>102.01</v>
      </c>
      <c r="F203" s="14"/>
      <c r="G203" s="15">
        <f t="shared" si="15"/>
        <v>0</v>
      </c>
      <c r="H203" s="34">
        <v>1</v>
      </c>
      <c r="I203" s="15">
        <f t="shared" si="17"/>
        <v>106.958</v>
      </c>
      <c r="J203" s="14"/>
      <c r="K203" s="13">
        <v>39819</v>
      </c>
    </row>
    <row r="204" spans="1:11" ht="12.6" customHeight="1" x14ac:dyDescent="0.2">
      <c r="A204" s="13">
        <v>39820</v>
      </c>
      <c r="B204" s="19"/>
      <c r="C204" s="15">
        <v>1.25</v>
      </c>
      <c r="D204" s="14"/>
      <c r="E204" s="15">
        <f t="shared" si="16"/>
        <v>103.26</v>
      </c>
      <c r="F204" s="22"/>
      <c r="G204" s="15">
        <f t="shared" si="15"/>
        <v>1.25</v>
      </c>
      <c r="H204" s="34"/>
      <c r="I204" s="15">
        <f t="shared" si="17"/>
        <v>108.208</v>
      </c>
      <c r="J204" s="14"/>
      <c r="K204" s="13"/>
    </row>
    <row r="205" spans="1:11" ht="12.6" customHeight="1" x14ac:dyDescent="0.2">
      <c r="A205" s="13"/>
      <c r="B205" s="19" t="s">
        <v>47</v>
      </c>
      <c r="C205" s="15"/>
      <c r="D205" s="14"/>
      <c r="E205" s="15">
        <f t="shared" si="16"/>
        <v>103.26</v>
      </c>
      <c r="F205" s="14"/>
      <c r="G205" s="15">
        <f t="shared" si="15"/>
        <v>0</v>
      </c>
      <c r="H205" s="34">
        <v>1</v>
      </c>
      <c r="I205" s="15">
        <f t="shared" si="17"/>
        <v>107.208</v>
      </c>
      <c r="J205" s="14"/>
      <c r="K205" s="16" t="s">
        <v>655</v>
      </c>
    </row>
    <row r="206" spans="1:11" ht="12.6" customHeight="1" x14ac:dyDescent="0.2">
      <c r="A206" s="13">
        <v>39822</v>
      </c>
      <c r="B206" s="19"/>
      <c r="C206" s="15">
        <v>2.5</v>
      </c>
      <c r="D206" s="22"/>
      <c r="E206" s="15">
        <f t="shared" si="16"/>
        <v>105.76</v>
      </c>
      <c r="F206" s="14"/>
      <c r="G206" s="15">
        <f t="shared" si="15"/>
        <v>2.5</v>
      </c>
      <c r="H206" s="34"/>
      <c r="I206" s="15">
        <f t="shared" si="17"/>
        <v>109.708</v>
      </c>
      <c r="J206" s="14"/>
      <c r="K206" s="16"/>
    </row>
    <row r="207" spans="1:11" ht="12.6" customHeight="1" x14ac:dyDescent="0.2">
      <c r="A207" s="13"/>
      <c r="B207" s="19" t="s">
        <v>47</v>
      </c>
      <c r="C207" s="15"/>
      <c r="D207" s="22"/>
      <c r="E207" s="15">
        <f t="shared" si="16"/>
        <v>105.76</v>
      </c>
      <c r="F207" s="14"/>
      <c r="G207" s="15">
        <f t="shared" si="15"/>
        <v>0</v>
      </c>
      <c r="H207" s="34">
        <v>1</v>
      </c>
      <c r="I207" s="15">
        <f t="shared" si="17"/>
        <v>108.708</v>
      </c>
      <c r="J207" s="14"/>
      <c r="K207" s="13">
        <v>40034</v>
      </c>
    </row>
    <row r="208" spans="1:11" ht="12.6" customHeight="1" x14ac:dyDescent="0.2">
      <c r="A208" s="13"/>
      <c r="B208" s="19" t="s">
        <v>52</v>
      </c>
      <c r="C208" s="15"/>
      <c r="D208" s="14"/>
      <c r="E208" s="15">
        <f t="shared" si="16"/>
        <v>105.76</v>
      </c>
      <c r="F208" s="14"/>
      <c r="G208" s="15">
        <f t="shared" si="15"/>
        <v>0</v>
      </c>
      <c r="H208" s="34">
        <v>2</v>
      </c>
      <c r="I208" s="15">
        <f t="shared" si="17"/>
        <v>106.708</v>
      </c>
      <c r="J208" s="14"/>
      <c r="K208" s="16" t="s">
        <v>656</v>
      </c>
    </row>
    <row r="209" spans="1:11" ht="12.6" customHeight="1" x14ac:dyDescent="0.2">
      <c r="A209" s="13">
        <v>39825</v>
      </c>
      <c r="B209" s="19"/>
      <c r="C209" s="15">
        <v>3.75</v>
      </c>
      <c r="D209" s="14"/>
      <c r="E209" s="15">
        <f t="shared" si="16"/>
        <v>109.51</v>
      </c>
      <c r="F209" s="22"/>
      <c r="G209" s="15">
        <f t="shared" si="15"/>
        <v>3.75</v>
      </c>
      <c r="H209" s="34"/>
      <c r="I209" s="15">
        <f t="shared" si="17"/>
        <v>110.458</v>
      </c>
      <c r="J209" s="14"/>
      <c r="K209" s="16"/>
    </row>
    <row r="210" spans="1:11" ht="12.6" customHeight="1" x14ac:dyDescent="0.2">
      <c r="A210" s="13"/>
      <c r="B210" s="19" t="s">
        <v>52</v>
      </c>
      <c r="C210" s="15"/>
      <c r="D210" s="14"/>
      <c r="E210" s="15">
        <f t="shared" si="16"/>
        <v>109.51</v>
      </c>
      <c r="F210" s="22"/>
      <c r="G210" s="15">
        <f t="shared" si="15"/>
        <v>0</v>
      </c>
      <c r="H210" s="34">
        <v>2</v>
      </c>
      <c r="I210" s="15">
        <f t="shared" si="17"/>
        <v>108.458</v>
      </c>
      <c r="J210" s="14"/>
      <c r="K210" s="13" t="s">
        <v>657</v>
      </c>
    </row>
    <row r="211" spans="1:11" ht="12.6" customHeight="1" x14ac:dyDescent="0.2">
      <c r="A211" s="13"/>
      <c r="B211" s="19" t="s">
        <v>76</v>
      </c>
      <c r="C211" s="15"/>
      <c r="D211" s="14">
        <v>2</v>
      </c>
      <c r="E211" s="15">
        <f t="shared" si="16"/>
        <v>107.51</v>
      </c>
      <c r="F211" s="14"/>
      <c r="G211" s="15">
        <f t="shared" si="15"/>
        <v>0</v>
      </c>
      <c r="H211" s="34"/>
      <c r="I211" s="15">
        <f t="shared" si="17"/>
        <v>108.458</v>
      </c>
      <c r="J211" s="14"/>
      <c r="K211" s="16" t="s">
        <v>658</v>
      </c>
    </row>
    <row r="212" spans="1:11" ht="12.6" customHeight="1" x14ac:dyDescent="0.2">
      <c r="A212" s="13">
        <v>40180</v>
      </c>
      <c r="B212" s="19"/>
      <c r="C212" s="15">
        <v>2.5</v>
      </c>
      <c r="D212" s="14"/>
      <c r="E212" s="15">
        <f t="shared" si="16"/>
        <v>110.01</v>
      </c>
      <c r="F212" s="14"/>
      <c r="G212" s="15">
        <f t="shared" si="15"/>
        <v>2.5</v>
      </c>
      <c r="H212" s="34"/>
      <c r="I212" s="15">
        <f t="shared" si="17"/>
        <v>110.958</v>
      </c>
      <c r="J212" s="14"/>
      <c r="K212" s="13"/>
    </row>
    <row r="213" spans="1:11" ht="12.6" customHeight="1" x14ac:dyDescent="0.2">
      <c r="A213" s="13"/>
      <c r="B213" s="19" t="s">
        <v>52</v>
      </c>
      <c r="C213" s="15"/>
      <c r="D213" s="14"/>
      <c r="E213" s="15">
        <f t="shared" si="16"/>
        <v>110.01</v>
      </c>
      <c r="F213" s="14"/>
      <c r="G213" s="15">
        <f t="shared" si="15"/>
        <v>0</v>
      </c>
      <c r="H213" s="34">
        <v>2</v>
      </c>
      <c r="I213" s="15">
        <f t="shared" si="17"/>
        <v>108.958</v>
      </c>
      <c r="J213" s="14"/>
      <c r="K213" s="13" t="s">
        <v>659</v>
      </c>
    </row>
    <row r="214" spans="1:11" ht="12.6" customHeight="1" x14ac:dyDescent="0.2">
      <c r="A214" s="13">
        <v>40183</v>
      </c>
      <c r="B214" s="19"/>
      <c r="C214" s="15">
        <v>3.75</v>
      </c>
      <c r="D214" s="14"/>
      <c r="E214" s="15">
        <f t="shared" si="16"/>
        <v>113.76</v>
      </c>
      <c r="F214" s="14"/>
      <c r="G214" s="15">
        <f t="shared" si="15"/>
        <v>3.75</v>
      </c>
      <c r="H214" s="14"/>
      <c r="I214" s="15">
        <f t="shared" si="17"/>
        <v>112.708</v>
      </c>
      <c r="J214" s="14"/>
      <c r="K214" s="16"/>
    </row>
    <row r="215" spans="1:11" ht="12.6" customHeight="1" x14ac:dyDescent="0.2">
      <c r="A215" s="13"/>
      <c r="B215" s="19" t="s">
        <v>45</v>
      </c>
      <c r="C215" s="15"/>
      <c r="D215" s="14"/>
      <c r="E215" s="15">
        <f t="shared" si="16"/>
        <v>113.76</v>
      </c>
      <c r="F215" s="14"/>
      <c r="G215" s="15">
        <f t="shared" si="15"/>
        <v>0</v>
      </c>
      <c r="H215" s="14"/>
      <c r="I215" s="15">
        <f t="shared" si="17"/>
        <v>112.708</v>
      </c>
      <c r="J215" s="14"/>
      <c r="K215" s="13">
        <v>40273</v>
      </c>
    </row>
    <row r="216" spans="1:11" ht="12.6" customHeight="1" x14ac:dyDescent="0.2">
      <c r="A216" s="13">
        <v>40185</v>
      </c>
      <c r="B216" s="19"/>
      <c r="C216" s="15">
        <v>2.5</v>
      </c>
      <c r="D216" s="14"/>
      <c r="E216" s="15">
        <f t="shared" si="16"/>
        <v>116.26</v>
      </c>
      <c r="F216" s="14"/>
      <c r="G216" s="15">
        <f t="shared" si="15"/>
        <v>2.5</v>
      </c>
      <c r="H216" s="14"/>
      <c r="I216" s="15">
        <f t="shared" si="17"/>
        <v>115.208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23.75</v>
      </c>
      <c r="D217" s="15">
        <f>SUM(D191:D216)</f>
        <v>2.121</v>
      </c>
      <c r="E217" s="36"/>
      <c r="F217" s="39"/>
      <c r="G217" s="15">
        <f>SUM(G191:G216)</f>
        <v>23.75</v>
      </c>
      <c r="H217" s="15">
        <f>SUM(H191:H216)</f>
        <v>13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CATAPANG, CRISPIN JR. D.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AUGUST 02, 1995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 t="s">
        <v>47</v>
      </c>
      <c r="C230" s="15"/>
      <c r="D230" s="14"/>
      <c r="E230" s="15">
        <f>E216+C230-D230</f>
        <v>116.26</v>
      </c>
      <c r="F230" s="14"/>
      <c r="G230" s="15">
        <f>C230</f>
        <v>0</v>
      </c>
      <c r="H230" s="14">
        <v>1</v>
      </c>
      <c r="I230" s="15">
        <f>I216+G230-H230</f>
        <v>114.208</v>
      </c>
      <c r="J230" s="14"/>
      <c r="K230" s="13">
        <v>40336</v>
      </c>
    </row>
    <row r="231" spans="1:11" ht="12.6" customHeight="1" x14ac:dyDescent="0.2">
      <c r="A231" s="13">
        <v>40187</v>
      </c>
      <c r="B231" s="19"/>
      <c r="C231" s="15">
        <v>2.5</v>
      </c>
      <c r="D231" s="14"/>
      <c r="E231" s="15">
        <f>E230+C231-D231</f>
        <v>118.76</v>
      </c>
      <c r="F231" s="14"/>
      <c r="G231" s="15">
        <f t="shared" ref="G231:G255" si="18">C231</f>
        <v>2.5</v>
      </c>
      <c r="H231" s="14"/>
      <c r="I231" s="15">
        <f>I230+G231-H231</f>
        <v>116.708</v>
      </c>
      <c r="J231" s="14"/>
      <c r="K231" s="13"/>
    </row>
    <row r="232" spans="1:11" ht="12.6" customHeight="1" x14ac:dyDescent="0.2">
      <c r="A232" s="13"/>
      <c r="B232" s="19" t="s">
        <v>52</v>
      </c>
      <c r="C232" s="15"/>
      <c r="D232" s="14"/>
      <c r="E232" s="15">
        <f t="shared" ref="E232:E255" si="19">E231+C232-D232</f>
        <v>118.76</v>
      </c>
      <c r="F232" s="14"/>
      <c r="G232" s="15">
        <f t="shared" si="18"/>
        <v>0</v>
      </c>
      <c r="H232" s="14">
        <v>2</v>
      </c>
      <c r="I232" s="15">
        <f t="shared" ref="I232:I255" si="20">I231+G232-H232</f>
        <v>114.708</v>
      </c>
      <c r="J232" s="14"/>
      <c r="K232" s="13" t="s">
        <v>660</v>
      </c>
    </row>
    <row r="233" spans="1:11" ht="12.6" customHeight="1" x14ac:dyDescent="0.2">
      <c r="A233" s="13">
        <v>40188</v>
      </c>
      <c r="B233" s="19"/>
      <c r="C233" s="15">
        <v>1.25</v>
      </c>
      <c r="D233" s="14"/>
      <c r="E233" s="15">
        <f t="shared" si="19"/>
        <v>120.01</v>
      </c>
      <c r="F233" s="14"/>
      <c r="G233" s="15">
        <f t="shared" si="18"/>
        <v>1.25</v>
      </c>
      <c r="H233" s="14"/>
      <c r="I233" s="15">
        <f t="shared" si="20"/>
        <v>115.958</v>
      </c>
      <c r="J233" s="14"/>
      <c r="K233" s="16"/>
    </row>
    <row r="234" spans="1:11" ht="12.6" customHeight="1" x14ac:dyDescent="0.2">
      <c r="A234" s="13"/>
      <c r="B234" s="19" t="s">
        <v>52</v>
      </c>
      <c r="C234" s="15"/>
      <c r="D234" s="14"/>
      <c r="E234" s="15">
        <f t="shared" si="19"/>
        <v>120.01</v>
      </c>
      <c r="F234" s="14"/>
      <c r="G234" s="15">
        <f t="shared" si="18"/>
        <v>0</v>
      </c>
      <c r="H234" s="14">
        <v>2</v>
      </c>
      <c r="I234" s="15">
        <f t="shared" si="20"/>
        <v>113.958</v>
      </c>
      <c r="J234" s="14"/>
      <c r="K234" s="13" t="s">
        <v>661</v>
      </c>
    </row>
    <row r="235" spans="1:11" ht="12.6" customHeight="1" x14ac:dyDescent="0.2">
      <c r="A235" s="13"/>
      <c r="B235" s="19" t="s">
        <v>47</v>
      </c>
      <c r="C235" s="15"/>
      <c r="D235" s="14"/>
      <c r="E235" s="15">
        <f t="shared" si="19"/>
        <v>120.01</v>
      </c>
      <c r="F235" s="14"/>
      <c r="G235" s="15">
        <f t="shared" si="18"/>
        <v>0</v>
      </c>
      <c r="H235" s="14">
        <v>1</v>
      </c>
      <c r="I235" s="15">
        <f t="shared" si="20"/>
        <v>112.958</v>
      </c>
      <c r="J235" s="14"/>
      <c r="K235" s="13">
        <v>40522</v>
      </c>
    </row>
    <row r="236" spans="1:11" ht="12.6" customHeight="1" x14ac:dyDescent="0.2">
      <c r="A236" s="13"/>
      <c r="B236" s="19" t="s">
        <v>125</v>
      </c>
      <c r="C236" s="15"/>
      <c r="D236" s="14"/>
      <c r="E236" s="15">
        <f t="shared" si="19"/>
        <v>120.01</v>
      </c>
      <c r="F236" s="14"/>
      <c r="G236" s="15">
        <f t="shared" si="18"/>
        <v>0</v>
      </c>
      <c r="H236" s="14">
        <v>4</v>
      </c>
      <c r="I236" s="15">
        <f t="shared" si="20"/>
        <v>108.958</v>
      </c>
      <c r="J236" s="14"/>
      <c r="K236" s="13" t="s">
        <v>662</v>
      </c>
    </row>
    <row r="237" spans="1:11" ht="12.6" customHeight="1" x14ac:dyDescent="0.2">
      <c r="A237" s="13">
        <v>40189</v>
      </c>
      <c r="B237" s="19"/>
      <c r="C237" s="15">
        <v>1.25</v>
      </c>
      <c r="D237" s="14"/>
      <c r="E237" s="15">
        <f t="shared" si="19"/>
        <v>121.26</v>
      </c>
      <c r="F237" s="14"/>
      <c r="G237" s="15">
        <f t="shared" si="18"/>
        <v>1.25</v>
      </c>
      <c r="H237" s="14"/>
      <c r="I237" s="15">
        <f t="shared" si="20"/>
        <v>110.208</v>
      </c>
      <c r="J237" s="14"/>
      <c r="K237" s="13"/>
    </row>
    <row r="238" spans="1:11" ht="12.6" customHeight="1" x14ac:dyDescent="0.2">
      <c r="A238" s="13"/>
      <c r="B238" s="19" t="s">
        <v>45</v>
      </c>
      <c r="C238" s="15"/>
      <c r="D238" s="14"/>
      <c r="E238" s="15">
        <f t="shared" si="19"/>
        <v>121.26</v>
      </c>
      <c r="F238" s="14"/>
      <c r="G238" s="15">
        <f t="shared" si="18"/>
        <v>0</v>
      </c>
      <c r="H238" s="14"/>
      <c r="I238" s="15">
        <f t="shared" si="20"/>
        <v>110.208</v>
      </c>
      <c r="J238" s="14"/>
      <c r="K238" s="13">
        <v>40220</v>
      </c>
    </row>
    <row r="239" spans="1:11" ht="12.6" customHeight="1" x14ac:dyDescent="0.2">
      <c r="A239" s="13"/>
      <c r="B239" s="19" t="s">
        <v>74</v>
      </c>
      <c r="C239" s="15"/>
      <c r="D239" s="14">
        <v>1</v>
      </c>
      <c r="E239" s="15">
        <f t="shared" si="19"/>
        <v>120.26</v>
      </c>
      <c r="F239" s="14"/>
      <c r="G239" s="15">
        <f t="shared" si="18"/>
        <v>0</v>
      </c>
      <c r="H239" s="14"/>
      <c r="I239" s="15">
        <f t="shared" si="20"/>
        <v>110.208</v>
      </c>
      <c r="J239" s="14"/>
      <c r="K239" s="16" t="s">
        <v>663</v>
      </c>
    </row>
    <row r="240" spans="1:11" ht="12.6" customHeight="1" x14ac:dyDescent="0.2">
      <c r="A240" s="13">
        <v>40190</v>
      </c>
      <c r="B240" s="19"/>
      <c r="C240" s="15">
        <v>1.25</v>
      </c>
      <c r="D240" s="14"/>
      <c r="E240" s="15">
        <f t="shared" si="19"/>
        <v>121.51</v>
      </c>
      <c r="F240" s="14"/>
      <c r="G240" s="15">
        <f t="shared" si="18"/>
        <v>1.25</v>
      </c>
      <c r="H240" s="14"/>
      <c r="I240" s="15">
        <f t="shared" si="20"/>
        <v>111.458</v>
      </c>
      <c r="J240" s="14"/>
      <c r="K240" s="16"/>
    </row>
    <row r="241" spans="1:11" ht="12.6" customHeight="1" x14ac:dyDescent="0.2">
      <c r="A241" s="13"/>
      <c r="B241" s="19" t="s">
        <v>125</v>
      </c>
      <c r="C241" s="15"/>
      <c r="D241" s="14"/>
      <c r="E241" s="15">
        <f t="shared" si="19"/>
        <v>121.51</v>
      </c>
      <c r="F241" s="14"/>
      <c r="G241" s="15">
        <f t="shared" si="18"/>
        <v>0</v>
      </c>
      <c r="H241" s="14">
        <v>4</v>
      </c>
      <c r="I241" s="15">
        <f t="shared" si="20"/>
        <v>107.458</v>
      </c>
      <c r="J241" s="14"/>
      <c r="K241" s="13" t="s">
        <v>664</v>
      </c>
    </row>
    <row r="242" spans="1:11" ht="12.6" customHeight="1" x14ac:dyDescent="0.2">
      <c r="A242" s="13"/>
      <c r="B242" s="19" t="s">
        <v>56</v>
      </c>
      <c r="C242" s="15"/>
      <c r="D242" s="14">
        <v>4</v>
      </c>
      <c r="E242" s="15">
        <f t="shared" si="19"/>
        <v>117.51</v>
      </c>
      <c r="F242" s="14"/>
      <c r="G242" s="15">
        <f t="shared" si="18"/>
        <v>0</v>
      </c>
      <c r="H242" s="14"/>
      <c r="I242" s="15">
        <f t="shared" si="20"/>
        <v>107.458</v>
      </c>
      <c r="J242" s="14"/>
      <c r="K242" s="13" t="s">
        <v>665</v>
      </c>
    </row>
    <row r="243" spans="1:11" ht="12.6" customHeight="1" x14ac:dyDescent="0.2">
      <c r="A243" s="13">
        <v>40547</v>
      </c>
      <c r="B243" s="19"/>
      <c r="C243" s="15">
        <v>5</v>
      </c>
      <c r="D243" s="14"/>
      <c r="E243" s="15">
        <f t="shared" si="19"/>
        <v>122.51</v>
      </c>
      <c r="F243" s="14"/>
      <c r="G243" s="15">
        <f t="shared" si="18"/>
        <v>5</v>
      </c>
      <c r="H243" s="14"/>
      <c r="I243" s="15">
        <f t="shared" si="20"/>
        <v>112.458</v>
      </c>
      <c r="J243" s="14"/>
      <c r="K243" s="13"/>
    </row>
    <row r="244" spans="1:11" ht="12.6" customHeight="1" x14ac:dyDescent="0.2">
      <c r="A244" s="13"/>
      <c r="B244" s="19" t="s">
        <v>74</v>
      </c>
      <c r="C244" s="15"/>
      <c r="D244" s="14">
        <v>1</v>
      </c>
      <c r="E244" s="15">
        <f t="shared" si="19"/>
        <v>121.51</v>
      </c>
      <c r="F244" s="14"/>
      <c r="G244" s="15">
        <f t="shared" si="18"/>
        <v>0</v>
      </c>
      <c r="H244" s="14"/>
      <c r="I244" s="15">
        <f t="shared" si="20"/>
        <v>112.458</v>
      </c>
      <c r="J244" s="14"/>
      <c r="K244" s="13">
        <v>40637</v>
      </c>
    </row>
    <row r="245" spans="1:11" ht="12.6" customHeight="1" x14ac:dyDescent="0.2">
      <c r="A245" s="13">
        <v>40548</v>
      </c>
      <c r="B245" s="19"/>
      <c r="C245" s="15">
        <v>1.25</v>
      </c>
      <c r="D245" s="14"/>
      <c r="E245" s="15">
        <f t="shared" si="19"/>
        <v>122.76</v>
      </c>
      <c r="F245" s="14"/>
      <c r="G245" s="15">
        <f t="shared" si="18"/>
        <v>1.25</v>
      </c>
      <c r="H245" s="14"/>
      <c r="I245" s="15">
        <f t="shared" si="20"/>
        <v>113.708</v>
      </c>
      <c r="J245" s="14"/>
      <c r="K245" s="13"/>
    </row>
    <row r="246" spans="1:11" ht="12.6" customHeight="1" x14ac:dyDescent="0.2">
      <c r="A246" s="16"/>
      <c r="B246" s="19" t="s">
        <v>271</v>
      </c>
      <c r="C246" s="15"/>
      <c r="D246" s="14"/>
      <c r="E246" s="15">
        <f t="shared" si="19"/>
        <v>122.76</v>
      </c>
      <c r="F246" s="14"/>
      <c r="G246" s="15">
        <f t="shared" si="18"/>
        <v>0</v>
      </c>
      <c r="H246" s="14">
        <v>5</v>
      </c>
      <c r="I246" s="15">
        <f t="shared" si="20"/>
        <v>108.708</v>
      </c>
      <c r="J246" s="14"/>
      <c r="K246" s="13" t="s">
        <v>666</v>
      </c>
    </row>
    <row r="247" spans="1:11" ht="12.6" customHeight="1" x14ac:dyDescent="0.2">
      <c r="A247" s="13">
        <v>40551</v>
      </c>
      <c r="B247" s="19"/>
      <c r="C247" s="15">
        <v>3.75</v>
      </c>
      <c r="D247" s="15"/>
      <c r="E247" s="15">
        <f t="shared" si="19"/>
        <v>126.51</v>
      </c>
      <c r="F247" s="14"/>
      <c r="G247" s="15">
        <f t="shared" si="18"/>
        <v>3.75</v>
      </c>
      <c r="H247" s="14"/>
      <c r="I247" s="15">
        <f t="shared" si="20"/>
        <v>112.458</v>
      </c>
      <c r="J247" s="14"/>
      <c r="K247" s="13"/>
    </row>
    <row r="248" spans="1:11" ht="12.6" customHeight="1" x14ac:dyDescent="0.2">
      <c r="A248" s="13"/>
      <c r="B248" s="19" t="s">
        <v>248</v>
      </c>
      <c r="C248" s="15"/>
      <c r="D248" s="14"/>
      <c r="E248" s="15">
        <f t="shared" si="19"/>
        <v>126.51</v>
      </c>
      <c r="F248" s="14"/>
      <c r="G248" s="15">
        <f t="shared" si="18"/>
        <v>0</v>
      </c>
      <c r="H248" s="14">
        <v>2.5</v>
      </c>
      <c r="I248" s="15">
        <f t="shared" si="20"/>
        <v>109.958</v>
      </c>
      <c r="J248" s="14"/>
      <c r="K248" s="13" t="s">
        <v>667</v>
      </c>
    </row>
    <row r="249" spans="1:11" ht="12.6" customHeight="1" x14ac:dyDescent="0.2">
      <c r="A249" s="16"/>
      <c r="B249" s="19" t="s">
        <v>67</v>
      </c>
      <c r="C249" s="15"/>
      <c r="D249" s="15"/>
      <c r="E249" s="15">
        <f t="shared" si="19"/>
        <v>126.51</v>
      </c>
      <c r="F249" s="14"/>
      <c r="G249" s="15">
        <f t="shared" si="18"/>
        <v>0</v>
      </c>
      <c r="H249" s="14">
        <v>3</v>
      </c>
      <c r="I249" s="15">
        <f t="shared" si="20"/>
        <v>106.958</v>
      </c>
      <c r="J249" s="14"/>
      <c r="K249" s="13" t="s">
        <v>668</v>
      </c>
    </row>
    <row r="250" spans="1:11" ht="12.6" customHeight="1" x14ac:dyDescent="0.2">
      <c r="A250" s="13">
        <v>40552</v>
      </c>
      <c r="B250" s="19"/>
      <c r="C250" s="15">
        <v>1.25</v>
      </c>
      <c r="D250" s="14"/>
      <c r="E250" s="15">
        <f t="shared" si="19"/>
        <v>127.76</v>
      </c>
      <c r="F250" s="14"/>
      <c r="G250" s="15">
        <f t="shared" si="18"/>
        <v>1.25</v>
      </c>
      <c r="H250" s="14"/>
      <c r="I250" s="15">
        <f t="shared" si="20"/>
        <v>108.208</v>
      </c>
      <c r="J250" s="14"/>
      <c r="K250" s="16"/>
    </row>
    <row r="251" spans="1:11" ht="12.6" customHeight="1" x14ac:dyDescent="0.2">
      <c r="A251" s="13"/>
      <c r="B251" s="19" t="s">
        <v>52</v>
      </c>
      <c r="C251" s="15"/>
      <c r="D251" s="14"/>
      <c r="E251" s="15">
        <f t="shared" si="19"/>
        <v>127.76</v>
      </c>
      <c r="F251" s="14"/>
      <c r="G251" s="15">
        <f t="shared" si="18"/>
        <v>0</v>
      </c>
      <c r="H251" s="14">
        <v>2</v>
      </c>
      <c r="I251" s="15">
        <f t="shared" si="20"/>
        <v>106.208</v>
      </c>
      <c r="J251" s="14"/>
      <c r="K251" s="13" t="s">
        <v>669</v>
      </c>
    </row>
    <row r="252" spans="1:11" ht="12.6" customHeight="1" x14ac:dyDescent="0.2">
      <c r="A252" s="13"/>
      <c r="B252" s="19" t="s">
        <v>47</v>
      </c>
      <c r="C252" s="15"/>
      <c r="D252" s="14"/>
      <c r="E252" s="15">
        <f t="shared" si="19"/>
        <v>127.76</v>
      </c>
      <c r="F252" s="14"/>
      <c r="G252" s="15">
        <f t="shared" si="18"/>
        <v>0</v>
      </c>
      <c r="H252" s="14">
        <v>1</v>
      </c>
      <c r="I252" s="15">
        <f t="shared" si="20"/>
        <v>105.208</v>
      </c>
      <c r="J252" s="14"/>
      <c r="K252" s="13" t="s">
        <v>670</v>
      </c>
    </row>
    <row r="253" spans="1:11" ht="12.6" customHeight="1" x14ac:dyDescent="0.2">
      <c r="A253" s="13">
        <v>40553</v>
      </c>
      <c r="B253" s="19"/>
      <c r="C253" s="15">
        <v>1.25</v>
      </c>
      <c r="D253" s="14"/>
      <c r="E253" s="15">
        <f t="shared" si="19"/>
        <v>129.01</v>
      </c>
      <c r="F253" s="14"/>
      <c r="G253" s="15">
        <f t="shared" si="18"/>
        <v>1.25</v>
      </c>
      <c r="H253" s="14"/>
      <c r="I253" s="15">
        <f t="shared" si="20"/>
        <v>106.458</v>
      </c>
      <c r="J253" s="14"/>
      <c r="K253" s="13"/>
    </row>
    <row r="254" spans="1:11" ht="12.6" customHeight="1" x14ac:dyDescent="0.2">
      <c r="A254" s="13"/>
      <c r="B254" s="19" t="s">
        <v>52</v>
      </c>
      <c r="C254" s="15"/>
      <c r="D254" s="14"/>
      <c r="E254" s="15">
        <f t="shared" si="19"/>
        <v>129.01</v>
      </c>
      <c r="F254" s="14"/>
      <c r="G254" s="15">
        <f t="shared" si="18"/>
        <v>0</v>
      </c>
      <c r="H254" s="14">
        <v>2</v>
      </c>
      <c r="I254" s="15">
        <f t="shared" si="20"/>
        <v>104.458</v>
      </c>
      <c r="J254" s="14"/>
      <c r="K254" s="16" t="s">
        <v>671</v>
      </c>
    </row>
    <row r="255" spans="1:11" ht="12.6" customHeight="1" x14ac:dyDescent="0.2">
      <c r="A255" s="13"/>
      <c r="B255" s="19" t="s">
        <v>673</v>
      </c>
      <c r="C255" s="15"/>
      <c r="D255" s="14">
        <v>6</v>
      </c>
      <c r="E255" s="15">
        <f t="shared" si="19"/>
        <v>123.00999999999999</v>
      </c>
      <c r="F255" s="14"/>
      <c r="G255" s="15">
        <f t="shared" si="18"/>
        <v>0</v>
      </c>
      <c r="H255" s="14"/>
      <c r="I255" s="15">
        <f t="shared" si="20"/>
        <v>104.458</v>
      </c>
      <c r="J255" s="14"/>
      <c r="K255" s="16" t="s">
        <v>672</v>
      </c>
    </row>
    <row r="256" spans="1:11" ht="12.6" customHeight="1" x14ac:dyDescent="0.2">
      <c r="A256" s="19"/>
      <c r="B256" s="19"/>
      <c r="C256" s="36">
        <f>SUM(C230:C255)</f>
        <v>18.75</v>
      </c>
      <c r="D256" s="36">
        <f>SUM(D230:D255)</f>
        <v>12</v>
      </c>
      <c r="E256" s="36"/>
      <c r="F256" s="37"/>
      <c r="G256" s="36">
        <f>SUM(G230:G255)</f>
        <v>18.75</v>
      </c>
      <c r="H256" s="36">
        <f>SUM(H230:H255)</f>
        <v>29.5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CATAPANG, CRISPIN JR. D.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AUGUST 02, 1995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>
        <v>40910</v>
      </c>
      <c r="B265" s="19"/>
      <c r="C265" s="15">
        <v>5</v>
      </c>
      <c r="D265" s="14"/>
      <c r="E265" s="15">
        <f>E255+C265-D265</f>
        <v>128.01</v>
      </c>
      <c r="F265" s="14"/>
      <c r="G265" s="15">
        <f>C265</f>
        <v>5</v>
      </c>
      <c r="H265" s="14"/>
      <c r="I265" s="15">
        <f>I255+G265-H265</f>
        <v>109.458</v>
      </c>
      <c r="J265" s="14"/>
      <c r="K265" s="16"/>
    </row>
    <row r="266" spans="1:11" ht="12.6" customHeight="1" x14ac:dyDescent="0.2">
      <c r="A266" s="13"/>
      <c r="B266" s="19" t="s">
        <v>47</v>
      </c>
      <c r="C266" s="15"/>
      <c r="D266" s="14"/>
      <c r="E266" s="15">
        <f>E265+C266-D266</f>
        <v>128.01</v>
      </c>
      <c r="F266" s="14"/>
      <c r="G266" s="15">
        <f t="shared" ref="G266:G290" si="21">C266</f>
        <v>0</v>
      </c>
      <c r="H266" s="14">
        <v>1</v>
      </c>
      <c r="I266" s="15">
        <f>I265+G266-H266</f>
        <v>108.458</v>
      </c>
      <c r="J266" s="14"/>
      <c r="K266" s="13">
        <v>41062</v>
      </c>
    </row>
    <row r="267" spans="1:11" ht="12.6" customHeight="1" x14ac:dyDescent="0.2">
      <c r="A267" s="13">
        <v>40911</v>
      </c>
      <c r="B267" s="19"/>
      <c r="C267" s="15">
        <v>1.25</v>
      </c>
      <c r="D267" s="14"/>
      <c r="E267" s="15">
        <f t="shared" ref="E267:E290" si="22">E266+C267-D267</f>
        <v>129.26</v>
      </c>
      <c r="F267" s="14"/>
      <c r="G267" s="15">
        <f t="shared" si="21"/>
        <v>1.25</v>
      </c>
      <c r="H267" s="14"/>
      <c r="I267" s="15">
        <f t="shared" ref="I267:I290" si="23">I266+G267-H267</f>
        <v>109.708</v>
      </c>
      <c r="J267" s="14"/>
      <c r="K267" s="13"/>
    </row>
    <row r="268" spans="1:11" ht="12.6" customHeight="1" x14ac:dyDescent="0.2">
      <c r="A268" s="13"/>
      <c r="B268" s="19" t="s">
        <v>67</v>
      </c>
      <c r="C268" s="15"/>
      <c r="D268" s="14"/>
      <c r="E268" s="15">
        <f t="shared" si="22"/>
        <v>129.26</v>
      </c>
      <c r="F268" s="14"/>
      <c r="G268" s="15">
        <f t="shared" si="21"/>
        <v>0</v>
      </c>
      <c r="H268" s="14">
        <v>3</v>
      </c>
      <c r="I268" s="15">
        <f t="shared" si="23"/>
        <v>106.708</v>
      </c>
      <c r="J268" s="14"/>
      <c r="K268" s="16" t="s">
        <v>674</v>
      </c>
    </row>
    <row r="269" spans="1:11" ht="12.6" customHeight="1" x14ac:dyDescent="0.2">
      <c r="A269" s="13"/>
      <c r="B269" s="19" t="s">
        <v>52</v>
      </c>
      <c r="C269" s="15"/>
      <c r="D269" s="14"/>
      <c r="E269" s="15">
        <f t="shared" si="22"/>
        <v>129.26</v>
      </c>
      <c r="F269" s="14"/>
      <c r="G269" s="15">
        <f t="shared" si="21"/>
        <v>0</v>
      </c>
      <c r="H269" s="14">
        <v>2</v>
      </c>
      <c r="I269" s="15">
        <f t="shared" si="23"/>
        <v>104.708</v>
      </c>
      <c r="J269" s="14"/>
      <c r="K269" s="13" t="s">
        <v>675</v>
      </c>
    </row>
    <row r="270" spans="1:11" ht="12.6" customHeight="1" x14ac:dyDescent="0.2">
      <c r="A270" s="13">
        <v>40913</v>
      </c>
      <c r="B270" s="19"/>
      <c r="C270" s="15">
        <v>2.5</v>
      </c>
      <c r="D270" s="14"/>
      <c r="E270" s="15">
        <f t="shared" si="22"/>
        <v>131.76</v>
      </c>
      <c r="F270" s="14"/>
      <c r="G270" s="15">
        <f t="shared" si="21"/>
        <v>2.5</v>
      </c>
      <c r="H270" s="14"/>
      <c r="I270" s="15">
        <f t="shared" si="23"/>
        <v>107.208</v>
      </c>
      <c r="J270" s="14"/>
      <c r="K270" s="16"/>
    </row>
    <row r="271" spans="1:11" ht="12.6" customHeight="1" x14ac:dyDescent="0.2">
      <c r="A271" s="13"/>
      <c r="B271" s="19" t="s">
        <v>67</v>
      </c>
      <c r="C271" s="15"/>
      <c r="D271" s="14"/>
      <c r="E271" s="15">
        <f t="shared" si="22"/>
        <v>131.76</v>
      </c>
      <c r="F271" s="14"/>
      <c r="G271" s="15">
        <f t="shared" si="21"/>
        <v>0</v>
      </c>
      <c r="H271" s="14">
        <v>3</v>
      </c>
      <c r="I271" s="15">
        <f t="shared" si="23"/>
        <v>104.208</v>
      </c>
      <c r="J271" s="14"/>
      <c r="K271" s="13" t="s">
        <v>676</v>
      </c>
    </row>
    <row r="272" spans="1:11" ht="12.6" customHeight="1" x14ac:dyDescent="0.2">
      <c r="A272" s="13">
        <v>40914</v>
      </c>
      <c r="B272" s="19"/>
      <c r="C272" s="15">
        <v>1.25</v>
      </c>
      <c r="D272" s="14"/>
      <c r="E272" s="15">
        <f t="shared" si="22"/>
        <v>133.01</v>
      </c>
      <c r="F272" s="14"/>
      <c r="G272" s="15">
        <f t="shared" si="21"/>
        <v>1.25</v>
      </c>
      <c r="H272" s="14"/>
      <c r="I272" s="15">
        <f t="shared" si="23"/>
        <v>105.458</v>
      </c>
      <c r="J272" s="14"/>
      <c r="K272" s="13"/>
    </row>
    <row r="273" spans="1:11" ht="12.6" customHeight="1" x14ac:dyDescent="0.2">
      <c r="A273" s="13"/>
      <c r="B273" s="19" t="s">
        <v>52</v>
      </c>
      <c r="C273" s="15"/>
      <c r="D273" s="14"/>
      <c r="E273" s="15">
        <f t="shared" si="22"/>
        <v>133.01</v>
      </c>
      <c r="F273" s="14"/>
      <c r="G273" s="15">
        <f t="shared" si="21"/>
        <v>0</v>
      </c>
      <c r="H273" s="14">
        <v>2</v>
      </c>
      <c r="I273" s="15">
        <f t="shared" si="23"/>
        <v>103.458</v>
      </c>
      <c r="J273" s="14"/>
      <c r="K273" s="16" t="s">
        <v>677</v>
      </c>
    </row>
    <row r="274" spans="1:11" ht="12.6" customHeight="1" x14ac:dyDescent="0.2">
      <c r="A274" s="13">
        <v>40915</v>
      </c>
      <c r="B274" s="19"/>
      <c r="C274" s="15">
        <v>1.25</v>
      </c>
      <c r="D274" s="14"/>
      <c r="E274" s="15">
        <f t="shared" si="22"/>
        <v>134.26</v>
      </c>
      <c r="F274" s="14"/>
      <c r="G274" s="15">
        <f t="shared" si="21"/>
        <v>1.25</v>
      </c>
      <c r="H274" s="14"/>
      <c r="I274" s="15">
        <f t="shared" si="23"/>
        <v>104.708</v>
      </c>
      <c r="J274" s="14"/>
      <c r="K274" s="16"/>
    </row>
    <row r="275" spans="1:11" ht="12.6" customHeight="1" x14ac:dyDescent="0.2">
      <c r="A275" s="13"/>
      <c r="B275" s="19" t="s">
        <v>52</v>
      </c>
      <c r="C275" s="15"/>
      <c r="D275" s="14"/>
      <c r="E275" s="15">
        <f t="shared" si="22"/>
        <v>134.26</v>
      </c>
      <c r="F275" s="14"/>
      <c r="G275" s="15">
        <f t="shared" si="21"/>
        <v>0</v>
      </c>
      <c r="H275" s="14">
        <v>2</v>
      </c>
      <c r="I275" s="15">
        <f t="shared" si="23"/>
        <v>102.708</v>
      </c>
      <c r="J275" s="14"/>
      <c r="K275" s="13" t="s">
        <v>678</v>
      </c>
    </row>
    <row r="276" spans="1:11" ht="12.6" customHeight="1" x14ac:dyDescent="0.2">
      <c r="A276" s="13"/>
      <c r="B276" s="19" t="s">
        <v>129</v>
      </c>
      <c r="C276" s="15"/>
      <c r="D276" s="14"/>
      <c r="E276" s="15">
        <f t="shared" si="22"/>
        <v>134.26</v>
      </c>
      <c r="F276" s="14"/>
      <c r="G276" s="15">
        <f t="shared" si="21"/>
        <v>0</v>
      </c>
      <c r="H276" s="14">
        <v>0.5</v>
      </c>
      <c r="I276" s="15">
        <f t="shared" si="23"/>
        <v>102.208</v>
      </c>
      <c r="J276" s="14"/>
      <c r="K276" s="13" t="s">
        <v>679</v>
      </c>
    </row>
    <row r="277" spans="1:11" ht="12.6" customHeight="1" x14ac:dyDescent="0.2">
      <c r="A277" s="13">
        <v>40918</v>
      </c>
      <c r="B277" s="19"/>
      <c r="C277" s="15">
        <v>3.75</v>
      </c>
      <c r="D277" s="14"/>
      <c r="E277" s="15">
        <f t="shared" si="22"/>
        <v>138.01</v>
      </c>
      <c r="F277" s="14"/>
      <c r="G277" s="15">
        <f t="shared" si="21"/>
        <v>3.75</v>
      </c>
      <c r="H277" s="14"/>
      <c r="I277" s="15">
        <f t="shared" si="23"/>
        <v>105.958</v>
      </c>
      <c r="J277" s="14"/>
      <c r="K277" s="13"/>
    </row>
    <row r="278" spans="1:11" ht="12.6" customHeight="1" x14ac:dyDescent="0.2">
      <c r="A278" s="13"/>
      <c r="B278" s="19" t="s">
        <v>45</v>
      </c>
      <c r="C278" s="15"/>
      <c r="D278" s="14"/>
      <c r="E278" s="15">
        <f t="shared" si="22"/>
        <v>138.01</v>
      </c>
      <c r="F278" s="14"/>
      <c r="G278" s="15">
        <f t="shared" si="21"/>
        <v>0</v>
      </c>
      <c r="H278" s="14"/>
      <c r="I278" s="15">
        <f t="shared" si="23"/>
        <v>105.958</v>
      </c>
      <c r="J278" s="14"/>
      <c r="K278" s="13" t="s">
        <v>680</v>
      </c>
    </row>
    <row r="279" spans="1:11" ht="12.6" customHeight="1" x14ac:dyDescent="0.2">
      <c r="A279" s="13">
        <v>41275</v>
      </c>
      <c r="B279" s="19"/>
      <c r="C279" s="15">
        <v>3.75</v>
      </c>
      <c r="D279" s="14"/>
      <c r="E279" s="15">
        <f t="shared" si="22"/>
        <v>141.76</v>
      </c>
      <c r="F279" s="14"/>
      <c r="G279" s="15">
        <f t="shared" si="21"/>
        <v>3.75</v>
      </c>
      <c r="H279" s="14"/>
      <c r="I279" s="15">
        <f t="shared" si="23"/>
        <v>109.708</v>
      </c>
      <c r="J279" s="14"/>
      <c r="K279" s="13"/>
    </row>
    <row r="280" spans="1:11" s="63" customFormat="1" ht="12.6" customHeight="1" x14ac:dyDescent="0.2">
      <c r="A280" s="58"/>
      <c r="B280" s="67" t="s">
        <v>65</v>
      </c>
      <c r="C280" s="60"/>
      <c r="D280" s="61">
        <v>5</v>
      </c>
      <c r="E280" s="60">
        <f t="shared" si="22"/>
        <v>136.76</v>
      </c>
      <c r="F280" s="61"/>
      <c r="G280" s="60">
        <f t="shared" si="21"/>
        <v>0</v>
      </c>
      <c r="H280" s="61"/>
      <c r="I280" s="60">
        <f t="shared" si="23"/>
        <v>109.708</v>
      </c>
      <c r="J280" s="61"/>
      <c r="K280" s="58" t="s">
        <v>161</v>
      </c>
    </row>
    <row r="281" spans="1:11" ht="12.6" customHeight="1" x14ac:dyDescent="0.2">
      <c r="A281" s="13"/>
      <c r="B281" s="19" t="s">
        <v>166</v>
      </c>
      <c r="C281" s="15"/>
      <c r="D281" s="14"/>
      <c r="E281" s="15">
        <f t="shared" si="22"/>
        <v>136.76</v>
      </c>
      <c r="F281" s="14"/>
      <c r="G281" s="15">
        <f t="shared" si="21"/>
        <v>0</v>
      </c>
      <c r="H281" s="14"/>
      <c r="I281" s="15">
        <f t="shared" si="23"/>
        <v>109.708</v>
      </c>
      <c r="J281" s="14"/>
      <c r="K281" s="13" t="s">
        <v>681</v>
      </c>
    </row>
    <row r="282" spans="1:11" ht="12.6" customHeight="1" x14ac:dyDescent="0.2">
      <c r="A282" s="13"/>
      <c r="B282" s="19" t="s">
        <v>67</v>
      </c>
      <c r="C282" s="15"/>
      <c r="D282" s="15"/>
      <c r="E282" s="15">
        <f t="shared" si="22"/>
        <v>136.76</v>
      </c>
      <c r="F282" s="14"/>
      <c r="G282" s="15">
        <f t="shared" si="21"/>
        <v>0</v>
      </c>
      <c r="H282" s="14">
        <v>3</v>
      </c>
      <c r="I282" s="15">
        <f t="shared" si="23"/>
        <v>106.708</v>
      </c>
      <c r="J282" s="14"/>
      <c r="K282" s="13" t="s">
        <v>682</v>
      </c>
    </row>
    <row r="283" spans="1:11" ht="12.6" customHeight="1" x14ac:dyDescent="0.2">
      <c r="A283" s="13">
        <v>41276</v>
      </c>
      <c r="B283" s="19"/>
      <c r="C283" s="15">
        <v>1.25</v>
      </c>
      <c r="D283" s="14"/>
      <c r="E283" s="15">
        <f t="shared" si="22"/>
        <v>138.01</v>
      </c>
      <c r="F283" s="14"/>
      <c r="G283" s="15">
        <f t="shared" si="21"/>
        <v>1.25</v>
      </c>
      <c r="H283" s="14"/>
      <c r="I283" s="15">
        <f t="shared" si="23"/>
        <v>107.958</v>
      </c>
      <c r="J283" s="14"/>
      <c r="K283" s="16"/>
    </row>
    <row r="284" spans="1:11" ht="12.6" customHeight="1" x14ac:dyDescent="0.2">
      <c r="A284" s="13"/>
      <c r="B284" s="19" t="s">
        <v>67</v>
      </c>
      <c r="C284" s="15"/>
      <c r="D284" s="34">
        <v>3</v>
      </c>
      <c r="E284" s="15">
        <f t="shared" si="22"/>
        <v>135.01</v>
      </c>
      <c r="F284" s="14"/>
      <c r="G284" s="15">
        <f t="shared" si="21"/>
        <v>0</v>
      </c>
      <c r="H284" s="14"/>
      <c r="I284" s="15">
        <f t="shared" si="23"/>
        <v>107.958</v>
      </c>
      <c r="J284" s="14"/>
      <c r="K284" s="13" t="s">
        <v>683</v>
      </c>
    </row>
    <row r="285" spans="1:11" ht="12.6" customHeight="1" x14ac:dyDescent="0.2">
      <c r="A285" s="13"/>
      <c r="B285" s="19" t="s">
        <v>76</v>
      </c>
      <c r="C285" s="15"/>
      <c r="D285" s="14">
        <v>2</v>
      </c>
      <c r="E285" s="15">
        <f t="shared" si="22"/>
        <v>133.01</v>
      </c>
      <c r="F285" s="14"/>
      <c r="G285" s="15">
        <f t="shared" si="21"/>
        <v>0</v>
      </c>
      <c r="H285" s="14"/>
      <c r="I285" s="15">
        <f t="shared" si="23"/>
        <v>107.958</v>
      </c>
      <c r="J285" s="14"/>
      <c r="K285" s="16" t="s">
        <v>684</v>
      </c>
    </row>
    <row r="286" spans="1:11" ht="12.6" customHeight="1" x14ac:dyDescent="0.2">
      <c r="A286" s="13"/>
      <c r="B286" s="19" t="s">
        <v>52</v>
      </c>
      <c r="C286" s="15"/>
      <c r="D286" s="14"/>
      <c r="E286" s="15">
        <f t="shared" si="22"/>
        <v>133.01</v>
      </c>
      <c r="F286" s="14"/>
      <c r="G286" s="15">
        <f t="shared" si="21"/>
        <v>0</v>
      </c>
      <c r="H286" s="14">
        <v>2</v>
      </c>
      <c r="I286" s="15">
        <f t="shared" si="23"/>
        <v>105.958</v>
      </c>
      <c r="J286" s="14"/>
      <c r="K286" s="13" t="s">
        <v>685</v>
      </c>
    </row>
    <row r="287" spans="1:11" ht="12.6" customHeight="1" x14ac:dyDescent="0.2">
      <c r="A287" s="13">
        <v>41277</v>
      </c>
      <c r="B287" s="19"/>
      <c r="C287" s="15">
        <v>1.25</v>
      </c>
      <c r="D287" s="14"/>
      <c r="E287" s="15">
        <f t="shared" si="22"/>
        <v>134.26</v>
      </c>
      <c r="F287" s="14"/>
      <c r="G287" s="15">
        <f t="shared" si="21"/>
        <v>1.25</v>
      </c>
      <c r="H287" s="14"/>
      <c r="I287" s="15">
        <f t="shared" si="23"/>
        <v>107.208</v>
      </c>
      <c r="J287" s="14"/>
      <c r="K287" s="13"/>
    </row>
    <row r="288" spans="1:11" ht="12.6" customHeight="1" x14ac:dyDescent="0.2">
      <c r="A288" s="13"/>
      <c r="B288" s="19" t="s">
        <v>125</v>
      </c>
      <c r="C288" s="15"/>
      <c r="D288" s="14"/>
      <c r="E288" s="15">
        <f t="shared" si="22"/>
        <v>134.26</v>
      </c>
      <c r="F288" s="14"/>
      <c r="G288" s="15">
        <f t="shared" si="21"/>
        <v>0</v>
      </c>
      <c r="H288" s="14">
        <v>4</v>
      </c>
      <c r="I288" s="15">
        <f t="shared" si="23"/>
        <v>103.208</v>
      </c>
      <c r="J288" s="14"/>
      <c r="K288" s="13" t="s">
        <v>686</v>
      </c>
    </row>
    <row r="289" spans="1:11" ht="12.6" customHeight="1" x14ac:dyDescent="0.2">
      <c r="A289" s="13"/>
      <c r="B289" s="19" t="s">
        <v>248</v>
      </c>
      <c r="C289" s="15"/>
      <c r="D289" s="14"/>
      <c r="E289" s="15">
        <f t="shared" si="22"/>
        <v>134.26</v>
      </c>
      <c r="F289" s="14"/>
      <c r="G289" s="15">
        <f t="shared" si="21"/>
        <v>0</v>
      </c>
      <c r="H289" s="14">
        <v>2.5</v>
      </c>
      <c r="I289" s="15">
        <f t="shared" si="23"/>
        <v>100.708</v>
      </c>
      <c r="J289" s="14"/>
      <c r="K289" s="13" t="s">
        <v>687</v>
      </c>
    </row>
    <row r="290" spans="1:11" ht="12.6" customHeight="1" x14ac:dyDescent="0.2">
      <c r="A290" s="13">
        <v>41281</v>
      </c>
      <c r="B290" s="19"/>
      <c r="C290" s="15">
        <v>5</v>
      </c>
      <c r="D290" s="14"/>
      <c r="E290" s="15">
        <f t="shared" si="22"/>
        <v>139.26</v>
      </c>
      <c r="F290" s="14"/>
      <c r="G290" s="15">
        <f t="shared" si="21"/>
        <v>5</v>
      </c>
      <c r="H290" s="14"/>
      <c r="I290" s="15">
        <f t="shared" si="23"/>
        <v>105.708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26.25</v>
      </c>
      <c r="D291" s="36">
        <f>SUM(D265:D290)</f>
        <v>10</v>
      </c>
      <c r="E291" s="36"/>
      <c r="F291" s="37"/>
      <c r="G291" s="36">
        <f>SUM(G265:G290)</f>
        <v>26.25</v>
      </c>
      <c r="H291" s="36">
        <f>SUM(H265:H290)</f>
        <v>25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CATAPANG, CRISPIN JR. D.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AUGUST 02, 1995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 t="s">
        <v>689</v>
      </c>
      <c r="C304" s="15"/>
      <c r="D304" s="14"/>
      <c r="E304" s="15">
        <f>E290+C304-D304</f>
        <v>139.26</v>
      </c>
      <c r="F304" s="14"/>
      <c r="G304" s="15">
        <f>C304</f>
        <v>0</v>
      </c>
      <c r="H304" s="14">
        <v>6</v>
      </c>
      <c r="I304" s="15">
        <f>I290+G304-H304</f>
        <v>99.707999999999998</v>
      </c>
      <c r="J304" s="14"/>
      <c r="K304" s="16" t="s">
        <v>688</v>
      </c>
    </row>
    <row r="305" spans="1:11" ht="12.6" customHeight="1" x14ac:dyDescent="0.2">
      <c r="A305" s="13">
        <v>41282</v>
      </c>
      <c r="B305" s="19"/>
      <c r="C305" s="15">
        <v>1.25</v>
      </c>
      <c r="D305" s="14"/>
      <c r="E305" s="15">
        <f>E304+C305-D305</f>
        <v>140.51</v>
      </c>
      <c r="F305" s="14"/>
      <c r="G305" s="15">
        <f t="shared" ref="G305:G329" si="24">C305</f>
        <v>1.25</v>
      </c>
      <c r="H305" s="14"/>
      <c r="I305" s="15">
        <f>I304+G305-H305</f>
        <v>100.958</v>
      </c>
      <c r="J305" s="14"/>
      <c r="K305" s="13"/>
    </row>
    <row r="306" spans="1:11" ht="12.6" customHeight="1" x14ac:dyDescent="0.2">
      <c r="A306" s="13"/>
      <c r="B306" s="19" t="s">
        <v>47</v>
      </c>
      <c r="C306" s="15"/>
      <c r="D306" s="14"/>
      <c r="E306" s="15">
        <f t="shared" ref="E306:E329" si="25">E305+C306-D306</f>
        <v>140.51</v>
      </c>
      <c r="F306" s="14"/>
      <c r="G306" s="15">
        <f t="shared" si="24"/>
        <v>0</v>
      </c>
      <c r="H306" s="14">
        <v>1</v>
      </c>
      <c r="I306" s="15">
        <f t="shared" ref="I306:I329" si="26">I305+G306-H306</f>
        <v>99.957999999999998</v>
      </c>
      <c r="J306" s="14"/>
      <c r="K306" s="13">
        <v>41616</v>
      </c>
    </row>
    <row r="307" spans="1:11" ht="12.6" customHeight="1" x14ac:dyDescent="0.2">
      <c r="A307" s="13"/>
      <c r="B307" s="19" t="s">
        <v>52</v>
      </c>
      <c r="C307" s="15"/>
      <c r="D307" s="14"/>
      <c r="E307" s="15">
        <f t="shared" si="25"/>
        <v>140.51</v>
      </c>
      <c r="F307" s="14"/>
      <c r="G307" s="15">
        <f t="shared" si="24"/>
        <v>0</v>
      </c>
      <c r="H307" s="14">
        <v>2</v>
      </c>
      <c r="I307" s="15">
        <f t="shared" si="26"/>
        <v>97.957999999999998</v>
      </c>
      <c r="J307" s="14"/>
      <c r="K307" s="16" t="s">
        <v>690</v>
      </c>
    </row>
    <row r="308" spans="1:11" ht="12.6" customHeight="1" x14ac:dyDescent="0.2">
      <c r="A308" s="13">
        <v>41283</v>
      </c>
      <c r="B308" s="19"/>
      <c r="C308" s="15">
        <v>1.25</v>
      </c>
      <c r="D308" s="14"/>
      <c r="E308" s="15">
        <f t="shared" si="25"/>
        <v>141.76</v>
      </c>
      <c r="F308" s="14"/>
      <c r="G308" s="15">
        <f t="shared" si="24"/>
        <v>1.25</v>
      </c>
      <c r="H308" s="14"/>
      <c r="I308" s="15">
        <f t="shared" si="26"/>
        <v>99.207999999999998</v>
      </c>
      <c r="J308" s="14"/>
      <c r="K308" s="13"/>
    </row>
    <row r="309" spans="1:11" ht="12.6" customHeight="1" x14ac:dyDescent="0.2">
      <c r="A309" s="13"/>
      <c r="B309" s="19" t="s">
        <v>47</v>
      </c>
      <c r="C309" s="15"/>
      <c r="D309" s="14"/>
      <c r="E309" s="15">
        <f t="shared" si="25"/>
        <v>141.76</v>
      </c>
      <c r="F309" s="14"/>
      <c r="G309" s="15">
        <f t="shared" si="24"/>
        <v>0</v>
      </c>
      <c r="H309" s="14">
        <v>1</v>
      </c>
      <c r="I309" s="15">
        <f t="shared" si="26"/>
        <v>98.207999999999998</v>
      </c>
      <c r="J309" s="14"/>
      <c r="K309" s="13" t="s">
        <v>691</v>
      </c>
    </row>
    <row r="310" spans="1:11" ht="12.6" customHeight="1" x14ac:dyDescent="0.2">
      <c r="A310" s="13">
        <v>41284</v>
      </c>
      <c r="B310" s="19"/>
      <c r="C310" s="15">
        <v>1.25</v>
      </c>
      <c r="D310" s="14"/>
      <c r="E310" s="15">
        <f t="shared" si="25"/>
        <v>143.01</v>
      </c>
      <c r="F310" s="14"/>
      <c r="G310" s="15">
        <f t="shared" si="24"/>
        <v>1.25</v>
      </c>
      <c r="H310" s="14"/>
      <c r="I310" s="15">
        <f t="shared" si="26"/>
        <v>99.457999999999998</v>
      </c>
      <c r="J310" s="14"/>
      <c r="K310" s="13"/>
    </row>
    <row r="311" spans="1:11" ht="12.6" customHeight="1" x14ac:dyDescent="0.2">
      <c r="A311" s="13"/>
      <c r="B311" s="19" t="s">
        <v>47</v>
      </c>
      <c r="C311" s="15"/>
      <c r="D311" s="14"/>
      <c r="E311" s="15">
        <f t="shared" si="25"/>
        <v>143.01</v>
      </c>
      <c r="F311" s="14"/>
      <c r="G311" s="15">
        <f t="shared" si="24"/>
        <v>0</v>
      </c>
      <c r="H311" s="14">
        <v>1</v>
      </c>
      <c r="I311" s="15">
        <f t="shared" si="26"/>
        <v>98.457999999999998</v>
      </c>
      <c r="J311" s="14"/>
      <c r="K311" s="13" t="s">
        <v>692</v>
      </c>
    </row>
    <row r="312" spans="1:11" ht="12.6" customHeight="1" x14ac:dyDescent="0.2">
      <c r="A312" s="13">
        <v>41286</v>
      </c>
      <c r="B312" s="19"/>
      <c r="C312" s="15">
        <v>2.5</v>
      </c>
      <c r="D312" s="14"/>
      <c r="E312" s="15">
        <f t="shared" si="25"/>
        <v>145.51</v>
      </c>
      <c r="F312" s="14"/>
      <c r="G312" s="15">
        <f t="shared" si="24"/>
        <v>2.5</v>
      </c>
      <c r="H312" s="14"/>
      <c r="I312" s="15">
        <f t="shared" si="26"/>
        <v>100.958</v>
      </c>
      <c r="J312" s="14"/>
      <c r="K312" s="16"/>
    </row>
    <row r="313" spans="1:11" ht="12.6" customHeight="1" x14ac:dyDescent="0.2">
      <c r="A313" s="13"/>
      <c r="B313" s="19" t="s">
        <v>52</v>
      </c>
      <c r="C313" s="15"/>
      <c r="D313" s="14"/>
      <c r="E313" s="15">
        <f t="shared" si="25"/>
        <v>145.51</v>
      </c>
      <c r="F313" s="14"/>
      <c r="G313" s="15">
        <f t="shared" si="24"/>
        <v>0</v>
      </c>
      <c r="H313" s="14">
        <v>2</v>
      </c>
      <c r="I313" s="15">
        <f t="shared" si="26"/>
        <v>98.957999999999998</v>
      </c>
      <c r="J313" s="14"/>
      <c r="K313" s="16" t="s">
        <v>693</v>
      </c>
    </row>
    <row r="314" spans="1:11" ht="12.6" customHeight="1" x14ac:dyDescent="0.2">
      <c r="A314" s="13">
        <v>41642</v>
      </c>
      <c r="B314" s="19"/>
      <c r="C314" s="15">
        <v>3.75</v>
      </c>
      <c r="D314" s="14"/>
      <c r="E314" s="15">
        <f t="shared" si="25"/>
        <v>149.26</v>
      </c>
      <c r="F314" s="14"/>
      <c r="G314" s="15">
        <f t="shared" si="24"/>
        <v>3.75</v>
      </c>
      <c r="H314" s="14"/>
      <c r="I314" s="15">
        <f t="shared" si="26"/>
        <v>102.708</v>
      </c>
      <c r="J314" s="14"/>
      <c r="K314" s="16"/>
    </row>
    <row r="315" spans="1:11" ht="12.6" customHeight="1" x14ac:dyDescent="0.2">
      <c r="A315" s="13"/>
      <c r="B315" s="19" t="s">
        <v>166</v>
      </c>
      <c r="C315" s="15"/>
      <c r="D315" s="14"/>
      <c r="E315" s="15">
        <f t="shared" si="25"/>
        <v>149.26</v>
      </c>
      <c r="F315" s="14"/>
      <c r="G315" s="15">
        <f t="shared" si="24"/>
        <v>0</v>
      </c>
      <c r="H315" s="14"/>
      <c r="I315" s="15">
        <f t="shared" si="26"/>
        <v>102.708</v>
      </c>
      <c r="J315" s="14"/>
      <c r="K315" s="13" t="s">
        <v>695</v>
      </c>
    </row>
    <row r="316" spans="1:11" ht="12.6" customHeight="1" x14ac:dyDescent="0.2">
      <c r="A316" s="13">
        <v>41645</v>
      </c>
      <c r="B316" s="19"/>
      <c r="C316" s="15">
        <v>3.75</v>
      </c>
      <c r="D316" s="14"/>
      <c r="E316" s="15">
        <f t="shared" si="25"/>
        <v>153.01</v>
      </c>
      <c r="F316" s="14"/>
      <c r="G316" s="15">
        <f t="shared" si="24"/>
        <v>3.75</v>
      </c>
      <c r="H316" s="14"/>
      <c r="I316" s="15">
        <f t="shared" si="26"/>
        <v>106.458</v>
      </c>
      <c r="J316" s="14"/>
      <c r="K316" s="13"/>
    </row>
    <row r="317" spans="1:11" ht="12.6" customHeight="1" x14ac:dyDescent="0.2">
      <c r="A317" s="13"/>
      <c r="B317" s="19" t="s">
        <v>47</v>
      </c>
      <c r="C317" s="15"/>
      <c r="D317" s="14"/>
      <c r="E317" s="15">
        <f t="shared" si="25"/>
        <v>153.01</v>
      </c>
      <c r="F317" s="14"/>
      <c r="G317" s="15">
        <f t="shared" si="24"/>
        <v>0</v>
      </c>
      <c r="H317" s="14">
        <v>1</v>
      </c>
      <c r="I317" s="15">
        <f t="shared" si="26"/>
        <v>105.458</v>
      </c>
      <c r="J317" s="14"/>
      <c r="K317" s="13" t="s">
        <v>694</v>
      </c>
    </row>
    <row r="318" spans="1:11" ht="12.6" customHeight="1" x14ac:dyDescent="0.2">
      <c r="A318" s="13">
        <v>42005</v>
      </c>
      <c r="B318" s="19"/>
      <c r="C318" s="15">
        <v>8.75</v>
      </c>
      <c r="D318" s="14"/>
      <c r="E318" s="15">
        <f t="shared" si="25"/>
        <v>161.76</v>
      </c>
      <c r="F318" s="14"/>
      <c r="G318" s="15">
        <f t="shared" si="24"/>
        <v>8.75</v>
      </c>
      <c r="H318" s="14"/>
      <c r="I318" s="15">
        <f t="shared" si="26"/>
        <v>114.208</v>
      </c>
      <c r="J318" s="14"/>
      <c r="K318" s="13"/>
    </row>
    <row r="319" spans="1:11" s="63" customFormat="1" ht="12.6" customHeight="1" x14ac:dyDescent="0.2">
      <c r="A319" s="58"/>
      <c r="B319" s="67" t="s">
        <v>65</v>
      </c>
      <c r="C319" s="60"/>
      <c r="D319" s="61">
        <v>5</v>
      </c>
      <c r="E319" s="60">
        <f t="shared" si="25"/>
        <v>156.76</v>
      </c>
      <c r="F319" s="61"/>
      <c r="G319" s="60">
        <f t="shared" si="24"/>
        <v>0</v>
      </c>
      <c r="H319" s="61"/>
      <c r="I319" s="60">
        <f t="shared" si="26"/>
        <v>114.208</v>
      </c>
      <c r="J319" s="61"/>
      <c r="K319" s="58" t="s">
        <v>171</v>
      </c>
    </row>
    <row r="320" spans="1:11" ht="12.6" customHeight="1" x14ac:dyDescent="0.2">
      <c r="A320" s="13">
        <v>42007</v>
      </c>
      <c r="B320" s="19"/>
      <c r="C320" s="15">
        <v>2.5</v>
      </c>
      <c r="D320" s="14"/>
      <c r="E320" s="15">
        <f t="shared" si="25"/>
        <v>159.26</v>
      </c>
      <c r="F320" s="14"/>
      <c r="G320" s="15">
        <f t="shared" si="24"/>
        <v>2.5</v>
      </c>
      <c r="H320" s="14"/>
      <c r="I320" s="15">
        <f t="shared" si="26"/>
        <v>116.708</v>
      </c>
      <c r="J320" s="14"/>
      <c r="K320" s="13"/>
    </row>
    <row r="321" spans="1:11" ht="12.6" customHeight="1" x14ac:dyDescent="0.2">
      <c r="A321" s="13"/>
      <c r="B321" s="19" t="s">
        <v>52</v>
      </c>
      <c r="C321" s="15"/>
      <c r="D321" s="15"/>
      <c r="E321" s="15">
        <f t="shared" si="25"/>
        <v>159.26</v>
      </c>
      <c r="F321" s="14"/>
      <c r="G321" s="15">
        <f t="shared" si="24"/>
        <v>0</v>
      </c>
      <c r="H321" s="14">
        <v>2</v>
      </c>
      <c r="I321" s="15">
        <f t="shared" si="26"/>
        <v>114.708</v>
      </c>
      <c r="J321" s="14"/>
      <c r="K321" s="13" t="s">
        <v>696</v>
      </c>
    </row>
    <row r="322" spans="1:11" ht="12.6" customHeight="1" x14ac:dyDescent="0.2">
      <c r="A322" s="13"/>
      <c r="B322" s="19" t="s">
        <v>45</v>
      </c>
      <c r="C322" s="15"/>
      <c r="D322" s="14"/>
      <c r="E322" s="15">
        <f t="shared" si="25"/>
        <v>159.26</v>
      </c>
      <c r="F322" s="14"/>
      <c r="G322" s="15">
        <f t="shared" si="24"/>
        <v>0</v>
      </c>
      <c r="H322" s="14"/>
      <c r="I322" s="15">
        <f t="shared" si="26"/>
        <v>114.708</v>
      </c>
      <c r="J322" s="14"/>
      <c r="K322" s="16" t="s">
        <v>697</v>
      </c>
    </row>
    <row r="323" spans="1:11" ht="12.6" customHeight="1" x14ac:dyDescent="0.2">
      <c r="A323" s="13">
        <v>42008</v>
      </c>
      <c r="B323" s="19"/>
      <c r="C323" s="15">
        <v>1.25</v>
      </c>
      <c r="D323" s="15"/>
      <c r="E323" s="15">
        <f t="shared" si="25"/>
        <v>160.51</v>
      </c>
      <c r="F323" s="14"/>
      <c r="G323" s="15">
        <f t="shared" si="24"/>
        <v>1.25</v>
      </c>
      <c r="H323" s="14"/>
      <c r="I323" s="15">
        <f t="shared" si="26"/>
        <v>115.958</v>
      </c>
      <c r="J323" s="14"/>
      <c r="K323" s="13"/>
    </row>
    <row r="324" spans="1:11" ht="12.6" customHeight="1" x14ac:dyDescent="0.2">
      <c r="A324" s="13"/>
      <c r="B324" s="19" t="s">
        <v>67</v>
      </c>
      <c r="C324" s="15"/>
      <c r="D324" s="14"/>
      <c r="E324" s="15">
        <f t="shared" si="25"/>
        <v>160.51</v>
      </c>
      <c r="F324" s="14"/>
      <c r="G324" s="15">
        <f t="shared" si="24"/>
        <v>0</v>
      </c>
      <c r="H324" s="14">
        <v>3</v>
      </c>
      <c r="I324" s="15">
        <f t="shared" si="26"/>
        <v>112.958</v>
      </c>
      <c r="J324" s="14"/>
      <c r="K324" s="16" t="s">
        <v>698</v>
      </c>
    </row>
    <row r="325" spans="1:11" ht="12.6" customHeight="1" x14ac:dyDescent="0.2">
      <c r="A325" s="13"/>
      <c r="B325" s="19" t="s">
        <v>52</v>
      </c>
      <c r="C325" s="15"/>
      <c r="D325" s="14"/>
      <c r="E325" s="15">
        <f t="shared" si="25"/>
        <v>160.51</v>
      </c>
      <c r="F325" s="14"/>
      <c r="G325" s="15">
        <f t="shared" si="24"/>
        <v>0</v>
      </c>
      <c r="H325" s="14">
        <v>2</v>
      </c>
      <c r="I325" s="15">
        <f t="shared" si="26"/>
        <v>110.958</v>
      </c>
      <c r="J325" s="14"/>
      <c r="K325" s="13" t="s">
        <v>699</v>
      </c>
    </row>
    <row r="326" spans="1:11" ht="12.6" customHeight="1" x14ac:dyDescent="0.2">
      <c r="A326" s="13">
        <v>42010</v>
      </c>
      <c r="B326" s="19"/>
      <c r="C326" s="15">
        <v>2.5</v>
      </c>
      <c r="D326" s="14"/>
      <c r="E326" s="15">
        <f t="shared" si="25"/>
        <v>163.01</v>
      </c>
      <c r="F326" s="14"/>
      <c r="G326" s="15">
        <f t="shared" si="24"/>
        <v>2.5</v>
      </c>
      <c r="H326" s="14"/>
      <c r="I326" s="15">
        <f t="shared" si="26"/>
        <v>113.458</v>
      </c>
      <c r="J326" s="14"/>
      <c r="K326" s="13"/>
    </row>
    <row r="327" spans="1:11" ht="12.6" customHeight="1" x14ac:dyDescent="0.2">
      <c r="A327" s="13"/>
      <c r="B327" s="19" t="s">
        <v>47</v>
      </c>
      <c r="C327" s="15"/>
      <c r="D327" s="14"/>
      <c r="E327" s="15">
        <f t="shared" si="25"/>
        <v>163.01</v>
      </c>
      <c r="F327" s="14"/>
      <c r="G327" s="15">
        <f t="shared" si="24"/>
        <v>0</v>
      </c>
      <c r="H327" s="14">
        <v>1</v>
      </c>
      <c r="I327" s="15">
        <f t="shared" si="26"/>
        <v>112.458</v>
      </c>
      <c r="J327" s="14"/>
      <c r="K327" s="13" t="s">
        <v>700</v>
      </c>
    </row>
    <row r="328" spans="1:11" ht="12.6" customHeight="1" x14ac:dyDescent="0.2">
      <c r="A328" s="13"/>
      <c r="B328" s="19" t="s">
        <v>125</v>
      </c>
      <c r="C328" s="15"/>
      <c r="D328" s="14"/>
      <c r="E328" s="15">
        <f t="shared" si="25"/>
        <v>163.01</v>
      </c>
      <c r="F328" s="14"/>
      <c r="G328" s="15">
        <f t="shared" si="24"/>
        <v>0</v>
      </c>
      <c r="H328" s="14">
        <v>4</v>
      </c>
      <c r="I328" s="15">
        <f t="shared" si="26"/>
        <v>108.458</v>
      </c>
      <c r="J328" s="14"/>
      <c r="K328" s="13" t="s">
        <v>701</v>
      </c>
    </row>
    <row r="329" spans="1:11" ht="12.6" customHeight="1" x14ac:dyDescent="0.2">
      <c r="A329" s="13"/>
      <c r="B329" s="19" t="s">
        <v>47</v>
      </c>
      <c r="C329" s="15"/>
      <c r="D329" s="14"/>
      <c r="E329" s="15">
        <f t="shared" si="25"/>
        <v>163.01</v>
      </c>
      <c r="F329" s="14"/>
      <c r="G329" s="15">
        <f t="shared" si="24"/>
        <v>0</v>
      </c>
      <c r="H329" s="14">
        <v>1</v>
      </c>
      <c r="I329" s="15">
        <f t="shared" si="26"/>
        <v>107.458</v>
      </c>
      <c r="J329" s="14"/>
      <c r="K329" s="16" t="s">
        <v>702</v>
      </c>
    </row>
    <row r="330" spans="1:11" ht="12.6" customHeight="1" x14ac:dyDescent="0.2">
      <c r="A330" s="19"/>
      <c r="B330" s="19"/>
      <c r="C330" s="36">
        <f>SUM(C304:C329)</f>
        <v>28.75</v>
      </c>
      <c r="D330" s="36">
        <f>SUM(D304:D329)</f>
        <v>5</v>
      </c>
      <c r="E330" s="36"/>
      <c r="F330" s="37"/>
      <c r="G330" s="36">
        <f>SUM(G304:G329)</f>
        <v>28.75</v>
      </c>
      <c r="H330" s="36">
        <f>SUM(H304:H329)</f>
        <v>27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CATAPANG, CRISPIN JR. D.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AUGUST 02, 1995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>
        <v>42011</v>
      </c>
      <c r="B339" s="19"/>
      <c r="C339" s="15">
        <v>1.25</v>
      </c>
      <c r="D339" s="14"/>
      <c r="E339" s="15">
        <f>E329+C339-D339</f>
        <v>164.26</v>
      </c>
      <c r="F339" s="14"/>
      <c r="G339" s="15">
        <f>C339</f>
        <v>1.25</v>
      </c>
      <c r="H339" s="14"/>
      <c r="I339" s="15">
        <f>I329+G339-H339</f>
        <v>108.708</v>
      </c>
      <c r="J339" s="14"/>
      <c r="K339" s="16"/>
    </row>
    <row r="340" spans="1:11" ht="12.6" customHeight="1" x14ac:dyDescent="0.2">
      <c r="A340" s="13"/>
      <c r="B340" s="19" t="s">
        <v>47</v>
      </c>
      <c r="C340" s="15"/>
      <c r="D340" s="14"/>
      <c r="E340" s="15">
        <f>E339+C340-D340</f>
        <v>164.26</v>
      </c>
      <c r="F340" s="14"/>
      <c r="G340" s="15">
        <f t="shared" ref="G340:G364" si="27">C340</f>
        <v>0</v>
      </c>
      <c r="H340" s="14">
        <v>1</v>
      </c>
      <c r="I340" s="15">
        <f>I339+G340-H340</f>
        <v>107.708</v>
      </c>
      <c r="J340" s="14"/>
      <c r="K340" s="13">
        <v>42284</v>
      </c>
    </row>
    <row r="341" spans="1:11" ht="12.6" customHeight="1" x14ac:dyDescent="0.2">
      <c r="A341" s="13">
        <v>42012</v>
      </c>
      <c r="B341" s="19"/>
      <c r="C341" s="15">
        <v>1.25</v>
      </c>
      <c r="D341" s="14"/>
      <c r="E341" s="15">
        <f t="shared" ref="E341:E364" si="28">E340+C341-D341</f>
        <v>165.51</v>
      </c>
      <c r="F341" s="14"/>
      <c r="G341" s="15">
        <f t="shared" si="27"/>
        <v>1.25</v>
      </c>
      <c r="H341" s="14"/>
      <c r="I341" s="15">
        <f t="shared" ref="I341:I364" si="29">I340+G341-H341</f>
        <v>108.958</v>
      </c>
      <c r="J341" s="14"/>
      <c r="K341" s="13"/>
    </row>
    <row r="342" spans="1:11" ht="12.6" customHeight="1" x14ac:dyDescent="0.2">
      <c r="A342" s="13"/>
      <c r="B342" s="19" t="s">
        <v>47</v>
      </c>
      <c r="C342" s="15"/>
      <c r="D342" s="14"/>
      <c r="E342" s="15">
        <f t="shared" si="28"/>
        <v>165.51</v>
      </c>
      <c r="F342" s="14"/>
      <c r="G342" s="15">
        <f t="shared" si="27"/>
        <v>0</v>
      </c>
      <c r="H342" s="14">
        <v>1</v>
      </c>
      <c r="I342" s="15">
        <f t="shared" si="29"/>
        <v>107.958</v>
      </c>
      <c r="J342" s="14"/>
      <c r="K342" s="13" t="s">
        <v>703</v>
      </c>
    </row>
    <row r="343" spans="1:11" ht="12.6" customHeight="1" x14ac:dyDescent="0.2">
      <c r="A343" s="13">
        <v>42014</v>
      </c>
      <c r="B343" s="19"/>
      <c r="C343" s="15">
        <v>2.5</v>
      </c>
      <c r="D343" s="14"/>
      <c r="E343" s="15">
        <f t="shared" si="28"/>
        <v>168.01</v>
      </c>
      <c r="F343" s="14"/>
      <c r="G343" s="15">
        <f t="shared" si="27"/>
        <v>2.5</v>
      </c>
      <c r="H343" s="14"/>
      <c r="I343" s="15">
        <f t="shared" si="29"/>
        <v>110.458</v>
      </c>
      <c r="J343" s="14"/>
      <c r="K343" s="13"/>
    </row>
    <row r="344" spans="1:11" ht="12.6" customHeight="1" x14ac:dyDescent="0.2">
      <c r="A344" s="13"/>
      <c r="B344" s="19" t="s">
        <v>52</v>
      </c>
      <c r="C344" s="15"/>
      <c r="D344" s="14"/>
      <c r="E344" s="15">
        <f t="shared" si="28"/>
        <v>168.01</v>
      </c>
      <c r="F344" s="14"/>
      <c r="G344" s="15">
        <f t="shared" si="27"/>
        <v>0</v>
      </c>
      <c r="H344" s="14">
        <v>2</v>
      </c>
      <c r="I344" s="15">
        <f t="shared" si="29"/>
        <v>108.458</v>
      </c>
      <c r="J344" s="14"/>
      <c r="K344" s="13" t="s">
        <v>704</v>
      </c>
    </row>
    <row r="345" spans="1:11" ht="12.6" customHeight="1" x14ac:dyDescent="0.2">
      <c r="A345" s="13"/>
      <c r="B345" s="19" t="s">
        <v>47</v>
      </c>
      <c r="C345" s="15"/>
      <c r="D345" s="14"/>
      <c r="E345" s="15">
        <f t="shared" si="28"/>
        <v>168.01</v>
      </c>
      <c r="F345" s="14"/>
      <c r="G345" s="15">
        <f t="shared" si="27"/>
        <v>0</v>
      </c>
      <c r="H345" s="14">
        <v>1</v>
      </c>
      <c r="I345" s="15">
        <f t="shared" si="29"/>
        <v>107.458</v>
      </c>
      <c r="J345" s="14"/>
      <c r="K345" s="13">
        <v>42348</v>
      </c>
    </row>
    <row r="346" spans="1:11" ht="12.6" customHeight="1" x14ac:dyDescent="0.2">
      <c r="A346" s="13"/>
      <c r="B346" s="19" t="s">
        <v>706</v>
      </c>
      <c r="C346" s="15"/>
      <c r="D346" s="14">
        <v>12</v>
      </c>
      <c r="E346" s="15">
        <f t="shared" si="28"/>
        <v>156.01</v>
      </c>
      <c r="F346" s="14"/>
      <c r="G346" s="15">
        <f t="shared" si="27"/>
        <v>0</v>
      </c>
      <c r="H346" s="14"/>
      <c r="I346" s="15">
        <f t="shared" si="29"/>
        <v>107.458</v>
      </c>
      <c r="J346" s="14"/>
      <c r="K346" s="13" t="s">
        <v>705</v>
      </c>
    </row>
    <row r="347" spans="1:11" ht="12.6" customHeight="1" x14ac:dyDescent="0.2">
      <c r="A347" s="13">
        <v>42015</v>
      </c>
      <c r="B347" s="19"/>
      <c r="C347" s="15">
        <v>1.25</v>
      </c>
      <c r="D347" s="14"/>
      <c r="E347" s="15">
        <f t="shared" si="28"/>
        <v>157.26</v>
      </c>
      <c r="F347" s="14"/>
      <c r="G347" s="15">
        <f t="shared" si="27"/>
        <v>1.25</v>
      </c>
      <c r="H347" s="14"/>
      <c r="I347" s="15">
        <f t="shared" si="29"/>
        <v>108.708</v>
      </c>
      <c r="J347" s="14"/>
      <c r="K347" s="13"/>
    </row>
    <row r="348" spans="1:11" ht="12.6" customHeight="1" x14ac:dyDescent="0.2">
      <c r="A348" s="13"/>
      <c r="B348" s="19" t="s">
        <v>144</v>
      </c>
      <c r="C348" s="15"/>
      <c r="D348" s="14"/>
      <c r="E348" s="15">
        <f t="shared" si="28"/>
        <v>157.26</v>
      </c>
      <c r="F348" s="14"/>
      <c r="G348" s="15">
        <f t="shared" si="27"/>
        <v>0</v>
      </c>
      <c r="H348" s="14">
        <v>1.5</v>
      </c>
      <c r="I348" s="15">
        <f t="shared" si="29"/>
        <v>107.208</v>
      </c>
      <c r="J348" s="14"/>
      <c r="K348" s="16" t="s">
        <v>707</v>
      </c>
    </row>
    <row r="349" spans="1:11" ht="12.6" customHeight="1" x14ac:dyDescent="0.2">
      <c r="A349" s="13">
        <v>42016</v>
      </c>
      <c r="B349" s="19"/>
      <c r="C349" s="15">
        <v>1.25</v>
      </c>
      <c r="D349" s="14"/>
      <c r="E349" s="15">
        <f t="shared" si="28"/>
        <v>158.51</v>
      </c>
      <c r="F349" s="14"/>
      <c r="G349" s="15">
        <f t="shared" si="27"/>
        <v>1.25</v>
      </c>
      <c r="H349" s="14"/>
      <c r="I349" s="15">
        <f t="shared" si="29"/>
        <v>108.458</v>
      </c>
      <c r="J349" s="14"/>
      <c r="K349" s="13"/>
    </row>
    <row r="350" spans="1:11" ht="12.6" customHeight="1" x14ac:dyDescent="0.2">
      <c r="A350" s="13"/>
      <c r="B350" s="19" t="s">
        <v>245</v>
      </c>
      <c r="C350" s="15"/>
      <c r="D350" s="14">
        <v>7</v>
      </c>
      <c r="E350" s="15">
        <f t="shared" si="28"/>
        <v>151.51</v>
      </c>
      <c r="F350" s="14"/>
      <c r="G350" s="15">
        <f t="shared" si="27"/>
        <v>0</v>
      </c>
      <c r="H350" s="14"/>
      <c r="I350" s="15">
        <f t="shared" si="29"/>
        <v>108.458</v>
      </c>
      <c r="J350" s="14"/>
      <c r="K350" s="13" t="s">
        <v>708</v>
      </c>
    </row>
    <row r="351" spans="1:11" ht="12.6" customHeight="1" x14ac:dyDescent="0.2">
      <c r="A351" s="13"/>
      <c r="B351" s="19" t="s">
        <v>60</v>
      </c>
      <c r="C351" s="15"/>
      <c r="D351" s="14">
        <v>5</v>
      </c>
      <c r="E351" s="15">
        <f t="shared" si="28"/>
        <v>146.51</v>
      </c>
      <c r="F351" s="14"/>
      <c r="G351" s="15">
        <f t="shared" si="27"/>
        <v>0</v>
      </c>
      <c r="H351" s="14"/>
      <c r="I351" s="15">
        <f t="shared" si="29"/>
        <v>108.458</v>
      </c>
      <c r="J351" s="14"/>
      <c r="K351" s="13" t="s">
        <v>709</v>
      </c>
    </row>
    <row r="352" spans="1:11" ht="12.6" customHeight="1" x14ac:dyDescent="0.2">
      <c r="A352" s="13">
        <v>42370</v>
      </c>
      <c r="B352" s="19"/>
      <c r="C352" s="15">
        <v>1.25</v>
      </c>
      <c r="D352" s="14"/>
      <c r="E352" s="15">
        <f t="shared" si="28"/>
        <v>147.76</v>
      </c>
      <c r="F352" s="14"/>
      <c r="G352" s="15">
        <f t="shared" si="27"/>
        <v>1.25</v>
      </c>
      <c r="H352" s="14"/>
      <c r="I352" s="15">
        <f t="shared" si="29"/>
        <v>109.708</v>
      </c>
      <c r="J352" s="14"/>
      <c r="K352" s="13"/>
    </row>
    <row r="353" spans="1:11" ht="12.6" customHeight="1" x14ac:dyDescent="0.2">
      <c r="A353" s="13"/>
      <c r="B353" s="19" t="s">
        <v>166</v>
      </c>
      <c r="C353" s="15"/>
      <c r="D353" s="14"/>
      <c r="E353" s="15">
        <f t="shared" si="28"/>
        <v>147.76</v>
      </c>
      <c r="F353" s="14"/>
      <c r="G353" s="15">
        <f t="shared" si="27"/>
        <v>0</v>
      </c>
      <c r="H353" s="14"/>
      <c r="I353" s="15">
        <f t="shared" si="29"/>
        <v>109.708</v>
      </c>
      <c r="J353" s="14"/>
      <c r="K353" s="13" t="s">
        <v>710</v>
      </c>
    </row>
    <row r="354" spans="1:11" ht="12.6" customHeight="1" x14ac:dyDescent="0.2">
      <c r="A354" s="13"/>
      <c r="B354" s="19" t="s">
        <v>52</v>
      </c>
      <c r="C354" s="15"/>
      <c r="D354" s="14"/>
      <c r="E354" s="15">
        <f t="shared" si="28"/>
        <v>147.76</v>
      </c>
      <c r="F354" s="14"/>
      <c r="G354" s="15">
        <f t="shared" si="27"/>
        <v>0</v>
      </c>
      <c r="H354" s="14">
        <v>2</v>
      </c>
      <c r="I354" s="15">
        <f t="shared" si="29"/>
        <v>107.708</v>
      </c>
      <c r="J354" s="14"/>
      <c r="K354" s="13" t="s">
        <v>711</v>
      </c>
    </row>
    <row r="355" spans="1:11" ht="12.6" customHeight="1" x14ac:dyDescent="0.2">
      <c r="A355" s="13"/>
      <c r="B355" s="19" t="s">
        <v>712</v>
      </c>
      <c r="C355" s="15"/>
      <c r="D355" s="14">
        <v>2.85</v>
      </c>
      <c r="E355" s="15">
        <f t="shared" si="28"/>
        <v>144.91</v>
      </c>
      <c r="F355" s="14"/>
      <c r="G355" s="15">
        <f t="shared" si="27"/>
        <v>0</v>
      </c>
      <c r="H355" s="14"/>
      <c r="I355" s="15">
        <f t="shared" si="29"/>
        <v>107.708</v>
      </c>
      <c r="J355" s="14"/>
      <c r="K355" s="13" t="s">
        <v>488</v>
      </c>
    </row>
    <row r="356" spans="1:11" ht="12.6" customHeight="1" x14ac:dyDescent="0.2">
      <c r="A356" s="13">
        <v>42371</v>
      </c>
      <c r="B356" s="19"/>
      <c r="C356" s="15">
        <v>1.25</v>
      </c>
      <c r="D356" s="15"/>
      <c r="E356" s="15">
        <f t="shared" si="28"/>
        <v>146.16</v>
      </c>
      <c r="F356" s="14"/>
      <c r="G356" s="15">
        <f t="shared" si="27"/>
        <v>1.25</v>
      </c>
      <c r="H356" s="14"/>
      <c r="I356" s="15">
        <f t="shared" si="29"/>
        <v>108.958</v>
      </c>
      <c r="J356" s="14"/>
      <c r="K356" s="13"/>
    </row>
    <row r="357" spans="1:11" ht="12.6" customHeight="1" x14ac:dyDescent="0.2">
      <c r="A357" s="13"/>
      <c r="B357" s="19" t="s">
        <v>67</v>
      </c>
      <c r="C357" s="15"/>
      <c r="D357" s="14"/>
      <c r="E357" s="15">
        <f t="shared" si="28"/>
        <v>146.16</v>
      </c>
      <c r="F357" s="14"/>
      <c r="G357" s="15">
        <f t="shared" si="27"/>
        <v>0</v>
      </c>
      <c r="H357" s="14">
        <v>3</v>
      </c>
      <c r="I357" s="15">
        <f t="shared" si="29"/>
        <v>105.958</v>
      </c>
      <c r="J357" s="14"/>
      <c r="K357" s="16" t="s">
        <v>713</v>
      </c>
    </row>
    <row r="358" spans="1:11" ht="12.6" customHeight="1" x14ac:dyDescent="0.2">
      <c r="A358" s="13">
        <v>42372</v>
      </c>
      <c r="B358" s="19"/>
      <c r="C358" s="15">
        <v>1.25</v>
      </c>
      <c r="D358" s="15"/>
      <c r="E358" s="15">
        <f t="shared" si="28"/>
        <v>147.41</v>
      </c>
      <c r="F358" s="14"/>
      <c r="G358" s="15">
        <f t="shared" si="27"/>
        <v>1.25</v>
      </c>
      <c r="H358" s="14"/>
      <c r="I358" s="15">
        <f t="shared" si="29"/>
        <v>107.208</v>
      </c>
      <c r="J358" s="14"/>
      <c r="K358" s="13"/>
    </row>
    <row r="359" spans="1:11" ht="12.6" customHeight="1" x14ac:dyDescent="0.2">
      <c r="A359" s="13"/>
      <c r="B359" s="19" t="s">
        <v>47</v>
      </c>
      <c r="C359" s="15"/>
      <c r="D359" s="14"/>
      <c r="E359" s="15">
        <f t="shared" si="28"/>
        <v>147.41</v>
      </c>
      <c r="F359" s="14"/>
      <c r="G359" s="15">
        <f t="shared" si="27"/>
        <v>0</v>
      </c>
      <c r="H359" s="14">
        <v>1</v>
      </c>
      <c r="I359" s="15">
        <f t="shared" si="29"/>
        <v>106.208</v>
      </c>
      <c r="J359" s="14"/>
      <c r="K359" s="13">
        <v>42403</v>
      </c>
    </row>
    <row r="360" spans="1:11" ht="12.6" customHeight="1" x14ac:dyDescent="0.2">
      <c r="A360" s="13"/>
      <c r="B360" s="19" t="s">
        <v>47</v>
      </c>
      <c r="C360" s="15"/>
      <c r="D360" s="14"/>
      <c r="E360" s="15">
        <f t="shared" si="28"/>
        <v>147.41</v>
      </c>
      <c r="F360" s="14"/>
      <c r="G360" s="15">
        <f t="shared" si="27"/>
        <v>0</v>
      </c>
      <c r="H360" s="14">
        <v>1</v>
      </c>
      <c r="I360" s="15">
        <f t="shared" si="29"/>
        <v>105.208</v>
      </c>
      <c r="J360" s="14"/>
      <c r="K360" s="13" t="s">
        <v>714</v>
      </c>
    </row>
    <row r="361" spans="1:11" ht="12.6" customHeight="1" x14ac:dyDescent="0.2">
      <c r="A361" s="13">
        <v>42373</v>
      </c>
      <c r="B361" s="19"/>
      <c r="C361" s="15">
        <v>1.25</v>
      </c>
      <c r="D361" s="14"/>
      <c r="E361" s="15">
        <f t="shared" si="28"/>
        <v>148.66</v>
      </c>
      <c r="F361" s="14"/>
      <c r="G361" s="15">
        <f t="shared" si="27"/>
        <v>1.25</v>
      </c>
      <c r="H361" s="14"/>
      <c r="I361" s="15">
        <f t="shared" si="29"/>
        <v>106.458</v>
      </c>
      <c r="J361" s="14"/>
      <c r="K361" s="13"/>
    </row>
    <row r="362" spans="1:11" ht="12.6" customHeight="1" x14ac:dyDescent="0.2">
      <c r="A362" s="13"/>
      <c r="B362" s="19" t="s">
        <v>52</v>
      </c>
      <c r="C362" s="15"/>
      <c r="D362" s="14"/>
      <c r="E362" s="15">
        <f t="shared" si="28"/>
        <v>148.66</v>
      </c>
      <c r="F362" s="14"/>
      <c r="G362" s="15">
        <f t="shared" si="27"/>
        <v>0</v>
      </c>
      <c r="H362" s="14">
        <v>2</v>
      </c>
      <c r="I362" s="15">
        <f t="shared" si="29"/>
        <v>104.458</v>
      </c>
      <c r="J362" s="14"/>
      <c r="K362" s="13" t="s">
        <v>715</v>
      </c>
    </row>
    <row r="363" spans="1:11" ht="12.6" customHeight="1" x14ac:dyDescent="0.2">
      <c r="A363" s="13"/>
      <c r="B363" s="19" t="s">
        <v>125</v>
      </c>
      <c r="C363" s="15"/>
      <c r="D363" s="14"/>
      <c r="E363" s="15">
        <f t="shared" si="28"/>
        <v>148.66</v>
      </c>
      <c r="F363" s="14"/>
      <c r="G363" s="15">
        <f t="shared" si="27"/>
        <v>0</v>
      </c>
      <c r="H363" s="14">
        <v>4</v>
      </c>
      <c r="I363" s="15">
        <f t="shared" si="29"/>
        <v>100.458</v>
      </c>
      <c r="J363" s="14"/>
      <c r="K363" s="13" t="s">
        <v>716</v>
      </c>
    </row>
    <row r="364" spans="1:11" ht="12.6" customHeight="1" x14ac:dyDescent="0.2">
      <c r="A364" s="13">
        <v>42374</v>
      </c>
      <c r="B364" s="19"/>
      <c r="C364" s="15">
        <v>1.25</v>
      </c>
      <c r="D364" s="14"/>
      <c r="E364" s="15">
        <f t="shared" si="28"/>
        <v>149.91</v>
      </c>
      <c r="F364" s="14"/>
      <c r="G364" s="15">
        <f t="shared" si="27"/>
        <v>1.25</v>
      </c>
      <c r="H364" s="14"/>
      <c r="I364" s="15">
        <f t="shared" si="29"/>
        <v>101.708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13.75</v>
      </c>
      <c r="D365" s="36">
        <f>SUM(D339:D364)</f>
        <v>26.85</v>
      </c>
      <c r="E365" s="36"/>
      <c r="F365" s="37"/>
      <c r="G365" s="36">
        <f>SUM(G339:G364)</f>
        <v>13.75</v>
      </c>
      <c r="H365" s="36">
        <f>SUM(H339:H364)</f>
        <v>19.5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CATAPANG, CRISPIN JR. D.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AUGUST 02, 1995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 t="s">
        <v>47</v>
      </c>
      <c r="C378" s="15"/>
      <c r="D378" s="14"/>
      <c r="E378" s="15">
        <f>E364+C378-D378</f>
        <v>149.91</v>
      </c>
      <c r="F378" s="14"/>
      <c r="G378" s="15">
        <f>C378</f>
        <v>0</v>
      </c>
      <c r="H378" s="14">
        <v>1</v>
      </c>
      <c r="I378" s="15">
        <f>I364+G378-H378</f>
        <v>100.708</v>
      </c>
      <c r="J378" s="14"/>
      <c r="K378" s="13">
        <v>42405</v>
      </c>
    </row>
    <row r="379" spans="1:11" ht="12.6" customHeight="1" x14ac:dyDescent="0.2">
      <c r="A379" s="13"/>
      <c r="B379" s="19" t="s">
        <v>56</v>
      </c>
      <c r="C379" s="15"/>
      <c r="D379" s="14">
        <v>4</v>
      </c>
      <c r="E379" s="15">
        <f>E378+C379-D379</f>
        <v>145.91</v>
      </c>
      <c r="F379" s="14"/>
      <c r="G379" s="15">
        <f t="shared" ref="G379:G403" si="30">C379</f>
        <v>0</v>
      </c>
      <c r="H379" s="14"/>
      <c r="I379" s="15">
        <f>I378+G379-H379</f>
        <v>100.708</v>
      </c>
      <c r="J379" s="14"/>
      <c r="K379" s="13" t="s">
        <v>717</v>
      </c>
    </row>
    <row r="380" spans="1:11" ht="12.6" customHeight="1" x14ac:dyDescent="0.2">
      <c r="A380" s="13"/>
      <c r="B380" s="19" t="s">
        <v>67</v>
      </c>
      <c r="C380" s="15"/>
      <c r="D380" s="14"/>
      <c r="E380" s="15">
        <f t="shared" ref="E380:E403" si="31">E379+C380-D380</f>
        <v>145.91</v>
      </c>
      <c r="F380" s="14"/>
      <c r="G380" s="15">
        <f t="shared" si="30"/>
        <v>0</v>
      </c>
      <c r="H380" s="14">
        <v>3</v>
      </c>
      <c r="I380" s="15">
        <f t="shared" ref="I380:I403" si="32">I379+G380-H380</f>
        <v>97.707999999999998</v>
      </c>
      <c r="J380" s="14"/>
      <c r="K380" s="13" t="s">
        <v>718</v>
      </c>
    </row>
    <row r="381" spans="1:11" ht="12.6" customHeight="1" x14ac:dyDescent="0.2">
      <c r="A381" s="13">
        <v>42376</v>
      </c>
      <c r="B381" s="19"/>
      <c r="C381" s="15">
        <v>2.5</v>
      </c>
      <c r="D381" s="14"/>
      <c r="E381" s="15">
        <f t="shared" si="31"/>
        <v>148.41</v>
      </c>
      <c r="F381" s="14"/>
      <c r="G381" s="15">
        <f t="shared" si="30"/>
        <v>2.5</v>
      </c>
      <c r="H381" s="14"/>
      <c r="I381" s="15">
        <f t="shared" si="32"/>
        <v>100.208</v>
      </c>
      <c r="J381" s="14"/>
      <c r="K381" s="16"/>
    </row>
    <row r="382" spans="1:11" ht="12.6" customHeight="1" x14ac:dyDescent="0.2">
      <c r="A382" s="13"/>
      <c r="B382" s="19" t="s">
        <v>47</v>
      </c>
      <c r="C382" s="15"/>
      <c r="D382" s="14"/>
      <c r="E382" s="15">
        <f t="shared" si="31"/>
        <v>148.41</v>
      </c>
      <c r="F382" s="14"/>
      <c r="G382" s="15">
        <f t="shared" si="30"/>
        <v>0</v>
      </c>
      <c r="H382" s="14">
        <v>1</v>
      </c>
      <c r="I382" s="15">
        <f t="shared" si="32"/>
        <v>99.207999999999998</v>
      </c>
      <c r="J382" s="14"/>
      <c r="K382" s="13" t="s">
        <v>719</v>
      </c>
    </row>
    <row r="383" spans="1:11" ht="12.6" customHeight="1" x14ac:dyDescent="0.2">
      <c r="A383" s="13"/>
      <c r="B383" s="19" t="s">
        <v>52</v>
      </c>
      <c r="C383" s="15"/>
      <c r="D383" s="14"/>
      <c r="E383" s="15">
        <f t="shared" si="31"/>
        <v>148.41</v>
      </c>
      <c r="F383" s="14"/>
      <c r="G383" s="15">
        <f t="shared" si="30"/>
        <v>0</v>
      </c>
      <c r="H383" s="14">
        <v>2</v>
      </c>
      <c r="I383" s="15">
        <f t="shared" si="32"/>
        <v>97.207999999999998</v>
      </c>
      <c r="J383" s="14"/>
      <c r="K383" s="16" t="s">
        <v>720</v>
      </c>
    </row>
    <row r="384" spans="1:11" ht="12.6" customHeight="1" x14ac:dyDescent="0.2">
      <c r="A384" s="13">
        <v>42377</v>
      </c>
      <c r="B384" s="19"/>
      <c r="C384" s="15">
        <v>1.25</v>
      </c>
      <c r="D384" s="14"/>
      <c r="E384" s="15">
        <f t="shared" si="31"/>
        <v>149.66</v>
      </c>
      <c r="F384" s="14"/>
      <c r="G384" s="15">
        <f t="shared" si="30"/>
        <v>1.25</v>
      </c>
      <c r="H384" s="14"/>
      <c r="I384" s="15">
        <f t="shared" si="32"/>
        <v>98.457999999999998</v>
      </c>
      <c r="J384" s="14"/>
      <c r="K384" s="13"/>
    </row>
    <row r="385" spans="1:11" ht="12.6" customHeight="1" x14ac:dyDescent="0.2">
      <c r="A385" s="13"/>
      <c r="B385" s="19" t="s">
        <v>52</v>
      </c>
      <c r="C385" s="15"/>
      <c r="D385" s="14"/>
      <c r="E385" s="15">
        <f t="shared" si="31"/>
        <v>149.66</v>
      </c>
      <c r="F385" s="14"/>
      <c r="G385" s="15">
        <f t="shared" si="30"/>
        <v>0</v>
      </c>
      <c r="H385" s="14">
        <v>2</v>
      </c>
      <c r="I385" s="15">
        <f t="shared" si="32"/>
        <v>96.457999999999998</v>
      </c>
      <c r="J385" s="14"/>
      <c r="K385" s="13" t="s">
        <v>721</v>
      </c>
    </row>
    <row r="386" spans="1:11" ht="12.6" customHeight="1" x14ac:dyDescent="0.2">
      <c r="A386" s="13">
        <v>42378</v>
      </c>
      <c r="B386" s="19"/>
      <c r="C386" s="15">
        <v>1.25</v>
      </c>
      <c r="D386" s="14"/>
      <c r="E386" s="15">
        <f t="shared" si="31"/>
        <v>150.91</v>
      </c>
      <c r="F386" s="14"/>
      <c r="G386" s="15">
        <f t="shared" si="30"/>
        <v>1.25</v>
      </c>
      <c r="H386" s="14"/>
      <c r="I386" s="15">
        <f t="shared" si="32"/>
        <v>97.707999999999998</v>
      </c>
      <c r="J386" s="14"/>
      <c r="K386" s="16"/>
    </row>
    <row r="387" spans="1:11" ht="12.6" customHeight="1" x14ac:dyDescent="0.2">
      <c r="A387" s="13"/>
      <c r="B387" s="19" t="s">
        <v>47</v>
      </c>
      <c r="C387" s="15"/>
      <c r="D387" s="14"/>
      <c r="E387" s="15">
        <f t="shared" si="31"/>
        <v>150.91</v>
      </c>
      <c r="F387" s="14"/>
      <c r="G387" s="15">
        <f t="shared" si="30"/>
        <v>0</v>
      </c>
      <c r="H387" s="14">
        <v>1</v>
      </c>
      <c r="I387" s="15">
        <f t="shared" si="32"/>
        <v>96.707999999999998</v>
      </c>
      <c r="J387" s="14"/>
      <c r="K387" s="13">
        <v>42560</v>
      </c>
    </row>
    <row r="388" spans="1:11" ht="12.6" customHeight="1" x14ac:dyDescent="0.2">
      <c r="A388" s="13"/>
      <c r="B388" s="19" t="s">
        <v>125</v>
      </c>
      <c r="C388" s="15"/>
      <c r="D388" s="14"/>
      <c r="E388" s="15">
        <f t="shared" si="31"/>
        <v>150.91</v>
      </c>
      <c r="F388" s="14"/>
      <c r="G388" s="15">
        <f t="shared" si="30"/>
        <v>0</v>
      </c>
      <c r="H388" s="14">
        <v>4</v>
      </c>
      <c r="I388" s="15">
        <f t="shared" si="32"/>
        <v>92.707999999999998</v>
      </c>
      <c r="J388" s="14"/>
      <c r="K388" s="16" t="s">
        <v>722</v>
      </c>
    </row>
    <row r="389" spans="1:11" ht="12.6" customHeight="1" x14ac:dyDescent="0.2">
      <c r="A389" s="13">
        <v>42379</v>
      </c>
      <c r="B389" s="19"/>
      <c r="C389" s="15">
        <v>1.25</v>
      </c>
      <c r="D389" s="14"/>
      <c r="E389" s="15">
        <f t="shared" si="31"/>
        <v>152.16</v>
      </c>
      <c r="F389" s="14"/>
      <c r="G389" s="15">
        <f t="shared" si="30"/>
        <v>1.25</v>
      </c>
      <c r="H389" s="14"/>
      <c r="I389" s="15">
        <f t="shared" si="32"/>
        <v>93.957999999999998</v>
      </c>
      <c r="J389" s="14"/>
      <c r="K389" s="13"/>
    </row>
    <row r="390" spans="1:11" ht="12.6" customHeight="1" x14ac:dyDescent="0.2">
      <c r="A390" s="13"/>
      <c r="B390" s="19" t="s">
        <v>47</v>
      </c>
      <c r="C390" s="15"/>
      <c r="D390" s="14"/>
      <c r="E390" s="15">
        <f t="shared" si="31"/>
        <v>152.16</v>
      </c>
      <c r="F390" s="14"/>
      <c r="G390" s="15">
        <f t="shared" si="30"/>
        <v>0</v>
      </c>
      <c r="H390" s="14">
        <v>1</v>
      </c>
      <c r="I390" s="15">
        <f t="shared" si="32"/>
        <v>92.957999999999998</v>
      </c>
      <c r="J390" s="14"/>
      <c r="K390" s="13">
        <v>42439</v>
      </c>
    </row>
    <row r="391" spans="1:11" ht="12.6" customHeight="1" x14ac:dyDescent="0.2">
      <c r="A391" s="13"/>
      <c r="B391" s="19" t="s">
        <v>271</v>
      </c>
      <c r="C391" s="15"/>
      <c r="D391" s="14"/>
      <c r="E391" s="15">
        <f t="shared" si="31"/>
        <v>152.16</v>
      </c>
      <c r="F391" s="14"/>
      <c r="G391" s="15">
        <f t="shared" si="30"/>
        <v>0</v>
      </c>
      <c r="H391" s="14">
        <v>5</v>
      </c>
      <c r="I391" s="15">
        <f t="shared" si="32"/>
        <v>87.957999999999998</v>
      </c>
      <c r="J391" s="14"/>
      <c r="K391" s="13" t="s">
        <v>723</v>
      </c>
    </row>
    <row r="392" spans="1:11" ht="12.6" customHeight="1" x14ac:dyDescent="0.2">
      <c r="A392" s="13"/>
      <c r="B392" s="19"/>
      <c r="C392" s="15"/>
      <c r="D392" s="14"/>
      <c r="E392" s="15">
        <f t="shared" si="31"/>
        <v>152.16</v>
      </c>
      <c r="F392" s="14"/>
      <c r="G392" s="15">
        <f t="shared" si="30"/>
        <v>0</v>
      </c>
      <c r="H392" s="14"/>
      <c r="I392" s="15">
        <f t="shared" si="32"/>
        <v>87.957999999999998</v>
      </c>
      <c r="J392" s="14"/>
      <c r="K392" s="13"/>
    </row>
    <row r="393" spans="1:11" ht="12.6" customHeight="1" x14ac:dyDescent="0.2">
      <c r="A393" s="13">
        <v>42380</v>
      </c>
      <c r="B393" s="19"/>
      <c r="C393" s="15">
        <v>1.25</v>
      </c>
      <c r="D393" s="14"/>
      <c r="E393" s="15">
        <f t="shared" si="31"/>
        <v>153.41</v>
      </c>
      <c r="F393" s="14"/>
      <c r="G393" s="15">
        <f t="shared" si="30"/>
        <v>1.25</v>
      </c>
      <c r="H393" s="14"/>
      <c r="I393" s="15">
        <f t="shared" si="32"/>
        <v>89.207999999999998</v>
      </c>
      <c r="J393" s="14"/>
      <c r="K393" s="13"/>
    </row>
    <row r="394" spans="1:11" ht="12.6" customHeight="1" x14ac:dyDescent="0.2">
      <c r="A394" s="13"/>
      <c r="B394" s="19" t="s">
        <v>47</v>
      </c>
      <c r="C394" s="15"/>
      <c r="D394" s="14"/>
      <c r="E394" s="15">
        <f t="shared" si="31"/>
        <v>153.41</v>
      </c>
      <c r="F394" s="14"/>
      <c r="G394" s="15">
        <f t="shared" si="30"/>
        <v>0</v>
      </c>
      <c r="H394" s="14">
        <v>1</v>
      </c>
      <c r="I394" s="15">
        <f t="shared" si="32"/>
        <v>88.207999999999998</v>
      </c>
      <c r="J394" s="14"/>
      <c r="K394" s="13" t="s">
        <v>724</v>
      </c>
    </row>
    <row r="395" spans="1:11" ht="12.6" customHeight="1" x14ac:dyDescent="0.2">
      <c r="A395" s="13">
        <v>42381</v>
      </c>
      <c r="B395" s="19"/>
      <c r="C395" s="15">
        <v>1.25</v>
      </c>
      <c r="D395" s="15"/>
      <c r="E395" s="15">
        <f t="shared" si="31"/>
        <v>154.66</v>
      </c>
      <c r="F395" s="14"/>
      <c r="G395" s="15">
        <f t="shared" si="30"/>
        <v>1.25</v>
      </c>
      <c r="H395" s="14"/>
      <c r="I395" s="15">
        <f t="shared" si="32"/>
        <v>89.457999999999998</v>
      </c>
      <c r="J395" s="14"/>
      <c r="K395" s="13"/>
    </row>
    <row r="396" spans="1:11" ht="12.6" customHeight="1" x14ac:dyDescent="0.2">
      <c r="A396" s="13"/>
      <c r="B396" s="19" t="s">
        <v>47</v>
      </c>
      <c r="C396" s="15"/>
      <c r="D396" s="14"/>
      <c r="E396" s="15">
        <f t="shared" si="31"/>
        <v>154.66</v>
      </c>
      <c r="F396" s="14"/>
      <c r="G396" s="15">
        <f t="shared" si="30"/>
        <v>0</v>
      </c>
      <c r="H396" s="14">
        <v>1</v>
      </c>
      <c r="I396" s="15">
        <f t="shared" si="32"/>
        <v>88.457999999999998</v>
      </c>
      <c r="J396" s="14"/>
      <c r="K396" s="13">
        <v>42502</v>
      </c>
    </row>
    <row r="397" spans="1:11" ht="12.6" customHeight="1" x14ac:dyDescent="0.2">
      <c r="A397" s="13">
        <v>42736</v>
      </c>
      <c r="B397" s="19"/>
      <c r="C397" s="15">
        <v>1.25</v>
      </c>
      <c r="D397" s="15"/>
      <c r="E397" s="15">
        <f t="shared" si="31"/>
        <v>155.91</v>
      </c>
      <c r="F397" s="14"/>
      <c r="G397" s="15">
        <f t="shared" si="30"/>
        <v>1.25</v>
      </c>
      <c r="H397" s="14"/>
      <c r="I397" s="15">
        <f t="shared" si="32"/>
        <v>89.707999999999998</v>
      </c>
      <c r="J397" s="14"/>
      <c r="K397" s="13"/>
    </row>
    <row r="398" spans="1:11" s="63" customFormat="1" ht="12.6" customHeight="1" x14ac:dyDescent="0.2">
      <c r="A398" s="58"/>
      <c r="B398" s="67" t="s">
        <v>57</v>
      </c>
      <c r="C398" s="60"/>
      <c r="D398" s="61">
        <v>1</v>
      </c>
      <c r="E398" s="60">
        <f t="shared" si="31"/>
        <v>154.91</v>
      </c>
      <c r="F398" s="61"/>
      <c r="G398" s="60">
        <f t="shared" si="30"/>
        <v>0</v>
      </c>
      <c r="H398" s="61"/>
      <c r="I398" s="60">
        <f t="shared" si="32"/>
        <v>89.707999999999998</v>
      </c>
      <c r="J398" s="61"/>
      <c r="K398" s="64" t="s">
        <v>725</v>
      </c>
    </row>
    <row r="399" spans="1:11" ht="12.6" customHeight="1" x14ac:dyDescent="0.2">
      <c r="A399" s="13"/>
      <c r="B399" s="19" t="s">
        <v>726</v>
      </c>
      <c r="C399" s="15"/>
      <c r="D399" s="14">
        <v>2.7130000000000001</v>
      </c>
      <c r="E399" s="15">
        <f t="shared" si="31"/>
        <v>152.197</v>
      </c>
      <c r="F399" s="14"/>
      <c r="G399" s="15">
        <f t="shared" si="30"/>
        <v>0</v>
      </c>
      <c r="H399" s="14"/>
      <c r="I399" s="15">
        <f t="shared" si="32"/>
        <v>89.707999999999998</v>
      </c>
      <c r="J399" s="14"/>
      <c r="K399" s="13" t="s">
        <v>498</v>
      </c>
    </row>
    <row r="400" spans="1:11" ht="12.6" customHeight="1" x14ac:dyDescent="0.2">
      <c r="A400" s="13">
        <v>42738</v>
      </c>
      <c r="B400" s="19"/>
      <c r="C400" s="15">
        <v>2.5</v>
      </c>
      <c r="D400" s="14"/>
      <c r="E400" s="15">
        <f t="shared" si="31"/>
        <v>154.697</v>
      </c>
      <c r="F400" s="14"/>
      <c r="G400" s="15">
        <f t="shared" si="30"/>
        <v>2.5</v>
      </c>
      <c r="H400" s="14"/>
      <c r="I400" s="15">
        <f t="shared" si="32"/>
        <v>92.207999999999998</v>
      </c>
      <c r="J400" s="14"/>
      <c r="K400" s="13"/>
    </row>
    <row r="401" spans="1:11" ht="12.6" customHeight="1" x14ac:dyDescent="0.2">
      <c r="A401" s="13"/>
      <c r="B401" s="19" t="s">
        <v>47</v>
      </c>
      <c r="C401" s="15"/>
      <c r="D401" s="14"/>
      <c r="E401" s="15">
        <f t="shared" si="31"/>
        <v>154.697</v>
      </c>
      <c r="F401" s="14"/>
      <c r="G401" s="15">
        <f t="shared" si="30"/>
        <v>0</v>
      </c>
      <c r="H401" s="14">
        <v>1</v>
      </c>
      <c r="I401" s="15">
        <f t="shared" si="32"/>
        <v>91.207999999999998</v>
      </c>
      <c r="J401" s="14"/>
      <c r="K401" s="13" t="s">
        <v>727</v>
      </c>
    </row>
    <row r="402" spans="1:11" ht="12.6" customHeight="1" x14ac:dyDescent="0.2">
      <c r="A402" s="13">
        <v>42742</v>
      </c>
      <c r="B402" s="19"/>
      <c r="C402" s="15">
        <v>5</v>
      </c>
      <c r="D402" s="14"/>
      <c r="E402" s="15">
        <f t="shared" si="31"/>
        <v>159.697</v>
      </c>
      <c r="F402" s="14"/>
      <c r="G402" s="15">
        <f t="shared" si="30"/>
        <v>5</v>
      </c>
      <c r="H402" s="14"/>
      <c r="I402" s="15">
        <f t="shared" si="32"/>
        <v>96.207999999999998</v>
      </c>
      <c r="J402" s="14"/>
      <c r="K402" s="16"/>
    </row>
    <row r="403" spans="1:11" ht="12.6" customHeight="1" x14ac:dyDescent="0.2">
      <c r="A403" s="13"/>
      <c r="B403" s="19" t="s">
        <v>52</v>
      </c>
      <c r="C403" s="15"/>
      <c r="D403" s="14"/>
      <c r="E403" s="15">
        <f t="shared" si="31"/>
        <v>159.697</v>
      </c>
      <c r="F403" s="14"/>
      <c r="G403" s="15">
        <f t="shared" si="30"/>
        <v>0</v>
      </c>
      <c r="H403" s="14">
        <v>2</v>
      </c>
      <c r="I403" s="15">
        <f t="shared" si="32"/>
        <v>94.207999999999998</v>
      </c>
      <c r="J403" s="14"/>
      <c r="K403" s="16" t="s">
        <v>728</v>
      </c>
    </row>
    <row r="404" spans="1:11" ht="12.6" customHeight="1" x14ac:dyDescent="0.2">
      <c r="A404" s="19"/>
      <c r="B404" s="19"/>
      <c r="C404" s="36">
        <f>SUM(C378:C403)</f>
        <v>17.5</v>
      </c>
      <c r="D404" s="36">
        <f>SUM(D378:D403)</f>
        <v>7.7130000000000001</v>
      </c>
      <c r="E404" s="36"/>
      <c r="F404" s="37"/>
      <c r="G404" s="36">
        <f>SUM(G378:G403)</f>
        <v>17.5</v>
      </c>
      <c r="H404" s="36">
        <f>SUM(H378:H403)</f>
        <v>25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CATAPANG, CRISPIN JR. D.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AUGUST 02, 1995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>
        <v>42743</v>
      </c>
      <c r="B413" s="19"/>
      <c r="C413" s="15">
        <v>1.25</v>
      </c>
      <c r="D413" s="14"/>
      <c r="E413" s="15">
        <f>E403+C413-D413</f>
        <v>160.947</v>
      </c>
      <c r="F413" s="14"/>
      <c r="G413" s="15">
        <f>C413</f>
        <v>1.25</v>
      </c>
      <c r="H413" s="14"/>
      <c r="I413" s="15">
        <f>I403+G413-H413</f>
        <v>95.457999999999998</v>
      </c>
      <c r="J413" s="14"/>
      <c r="K413" s="16"/>
    </row>
    <row r="414" spans="1:11" ht="12.6" customHeight="1" x14ac:dyDescent="0.2">
      <c r="A414" s="13"/>
      <c r="B414" s="19" t="s">
        <v>67</v>
      </c>
      <c r="C414" s="15"/>
      <c r="D414" s="14"/>
      <c r="E414" s="15">
        <f>E413+C414-D414</f>
        <v>160.947</v>
      </c>
      <c r="F414" s="14"/>
      <c r="G414" s="15">
        <f t="shared" ref="G414:G438" si="33">C414</f>
        <v>0</v>
      </c>
      <c r="H414" s="14">
        <v>3</v>
      </c>
      <c r="I414" s="15">
        <f>I413+G414-H414</f>
        <v>92.457999999999998</v>
      </c>
      <c r="J414" s="14"/>
      <c r="K414" s="13" t="s">
        <v>729</v>
      </c>
    </row>
    <row r="415" spans="1:11" ht="12.6" customHeight="1" x14ac:dyDescent="0.2">
      <c r="A415" s="13"/>
      <c r="B415" s="19" t="s">
        <v>90</v>
      </c>
      <c r="C415" s="15"/>
      <c r="D415" s="14"/>
      <c r="E415" s="15">
        <f t="shared" ref="E415:E438" si="34">E414+C415-D415</f>
        <v>160.947</v>
      </c>
      <c r="F415" s="14"/>
      <c r="G415" s="15">
        <f t="shared" si="33"/>
        <v>0</v>
      </c>
      <c r="H415" s="14"/>
      <c r="I415" s="15">
        <f t="shared" ref="I415:I438" si="35">I414+G415-H415</f>
        <v>92.457999999999998</v>
      </c>
      <c r="J415" s="14"/>
      <c r="K415" s="13" t="s">
        <v>730</v>
      </c>
    </row>
    <row r="416" spans="1:11" ht="12.6" customHeight="1" x14ac:dyDescent="0.2">
      <c r="A416" s="13">
        <v>42744</v>
      </c>
      <c r="B416" s="19"/>
      <c r="C416" s="15">
        <v>1.25</v>
      </c>
      <c r="D416" s="14"/>
      <c r="E416" s="15">
        <f t="shared" si="34"/>
        <v>162.197</v>
      </c>
      <c r="F416" s="14"/>
      <c r="G416" s="15">
        <f t="shared" si="33"/>
        <v>1.25</v>
      </c>
      <c r="H416" s="14"/>
      <c r="I416" s="15">
        <f t="shared" si="35"/>
        <v>93.707999999999998</v>
      </c>
      <c r="J416" s="14"/>
      <c r="K416" s="16"/>
    </row>
    <row r="417" spans="1:11" ht="12.6" customHeight="1" x14ac:dyDescent="0.2">
      <c r="A417" s="13"/>
      <c r="B417" s="19" t="s">
        <v>47</v>
      </c>
      <c r="C417" s="15"/>
      <c r="D417" s="14"/>
      <c r="E417" s="15">
        <f t="shared" si="34"/>
        <v>162.197</v>
      </c>
      <c r="F417" s="14"/>
      <c r="G417" s="15">
        <f t="shared" si="33"/>
        <v>0</v>
      </c>
      <c r="H417" s="14">
        <v>1</v>
      </c>
      <c r="I417" s="15">
        <f t="shared" si="35"/>
        <v>92.707999999999998</v>
      </c>
      <c r="J417" s="14"/>
      <c r="K417" s="13">
        <v>42834</v>
      </c>
    </row>
    <row r="418" spans="1:11" ht="12.6" customHeight="1" x14ac:dyDescent="0.2">
      <c r="A418" s="13"/>
      <c r="B418" s="19" t="s">
        <v>47</v>
      </c>
      <c r="C418" s="15"/>
      <c r="D418" s="14"/>
      <c r="E418" s="15">
        <f t="shared" si="34"/>
        <v>162.197</v>
      </c>
      <c r="F418" s="14"/>
      <c r="G418" s="15">
        <f t="shared" si="33"/>
        <v>0</v>
      </c>
      <c r="H418" s="14">
        <v>1</v>
      </c>
      <c r="I418" s="15">
        <f t="shared" si="35"/>
        <v>91.707999999999998</v>
      </c>
      <c r="J418" s="14"/>
      <c r="K418" s="16" t="s">
        <v>731</v>
      </c>
    </row>
    <row r="419" spans="1:11" ht="12.6" customHeight="1" x14ac:dyDescent="0.2">
      <c r="A419" s="13">
        <v>42746</v>
      </c>
      <c r="B419" s="19"/>
      <c r="C419" s="15">
        <v>2.5</v>
      </c>
      <c r="D419" s="14"/>
      <c r="E419" s="15">
        <f t="shared" si="34"/>
        <v>164.697</v>
      </c>
      <c r="F419" s="14"/>
      <c r="G419" s="15">
        <f t="shared" si="33"/>
        <v>2.5</v>
      </c>
      <c r="H419" s="14"/>
      <c r="I419" s="15">
        <f t="shared" si="35"/>
        <v>94.207999999999998</v>
      </c>
      <c r="J419" s="14"/>
      <c r="K419" s="13"/>
    </row>
    <row r="420" spans="1:11" ht="12.6" customHeight="1" x14ac:dyDescent="0.2">
      <c r="A420" s="13"/>
      <c r="B420" s="19" t="s">
        <v>56</v>
      </c>
      <c r="C420" s="15"/>
      <c r="D420" s="14">
        <v>4</v>
      </c>
      <c r="E420" s="15">
        <f t="shared" si="34"/>
        <v>160.697</v>
      </c>
      <c r="F420" s="14"/>
      <c r="G420" s="15">
        <f t="shared" si="33"/>
        <v>0</v>
      </c>
      <c r="H420" s="14"/>
      <c r="I420" s="15">
        <f t="shared" si="35"/>
        <v>94.207999999999998</v>
      </c>
      <c r="J420" s="14"/>
      <c r="K420" s="13" t="s">
        <v>732</v>
      </c>
    </row>
    <row r="421" spans="1:11" ht="12.6" customHeight="1" x14ac:dyDescent="0.2">
      <c r="A421" s="13"/>
      <c r="B421" s="19" t="s">
        <v>52</v>
      </c>
      <c r="C421" s="15"/>
      <c r="D421" s="14"/>
      <c r="E421" s="15">
        <f t="shared" si="34"/>
        <v>160.697</v>
      </c>
      <c r="F421" s="14"/>
      <c r="G421" s="15">
        <f t="shared" si="33"/>
        <v>0</v>
      </c>
      <c r="H421" s="14">
        <v>2</v>
      </c>
      <c r="I421" s="15">
        <f t="shared" si="35"/>
        <v>92.207999999999998</v>
      </c>
      <c r="J421" s="14"/>
      <c r="K421" s="16" t="s">
        <v>733</v>
      </c>
    </row>
    <row r="422" spans="1:11" ht="12.6" customHeight="1" x14ac:dyDescent="0.2">
      <c r="A422" s="13">
        <v>43101</v>
      </c>
      <c r="B422" s="19"/>
      <c r="C422" s="15">
        <v>2.5</v>
      </c>
      <c r="D422" s="14"/>
      <c r="E422" s="15">
        <f t="shared" si="34"/>
        <v>163.197</v>
      </c>
      <c r="F422" s="14"/>
      <c r="G422" s="15">
        <f t="shared" si="33"/>
        <v>2.5</v>
      </c>
      <c r="H422" s="14"/>
      <c r="I422" s="15">
        <f t="shared" si="35"/>
        <v>94.707999999999998</v>
      </c>
      <c r="J422" s="14"/>
      <c r="K422" s="16"/>
    </row>
    <row r="423" spans="1:11" s="63" customFormat="1" ht="12.6" customHeight="1" x14ac:dyDescent="0.2">
      <c r="A423" s="58"/>
      <c r="B423" s="67" t="s">
        <v>57</v>
      </c>
      <c r="C423" s="60"/>
      <c r="D423" s="61">
        <v>1</v>
      </c>
      <c r="E423" s="60">
        <f t="shared" si="34"/>
        <v>162.197</v>
      </c>
      <c r="F423" s="61"/>
      <c r="G423" s="60">
        <f t="shared" si="33"/>
        <v>0</v>
      </c>
      <c r="H423" s="61"/>
      <c r="I423" s="60">
        <f t="shared" si="35"/>
        <v>94.707999999999998</v>
      </c>
      <c r="J423" s="61"/>
      <c r="K423" s="64" t="s">
        <v>734</v>
      </c>
    </row>
    <row r="424" spans="1:11" ht="12.6" customHeight="1" x14ac:dyDescent="0.2">
      <c r="A424" s="13"/>
      <c r="B424" s="19" t="s">
        <v>735</v>
      </c>
      <c r="C424" s="15"/>
      <c r="D424" s="14">
        <v>0.54200000000000004</v>
      </c>
      <c r="E424" s="15">
        <f t="shared" si="34"/>
        <v>161.655</v>
      </c>
      <c r="F424" s="14"/>
      <c r="G424" s="15">
        <f t="shared" si="33"/>
        <v>0</v>
      </c>
      <c r="H424" s="14"/>
      <c r="I424" s="15">
        <f t="shared" si="35"/>
        <v>94.707999999999998</v>
      </c>
      <c r="J424" s="14"/>
      <c r="K424" s="13" t="s">
        <v>513</v>
      </c>
    </row>
    <row r="425" spans="1:11" ht="12.6" customHeight="1" x14ac:dyDescent="0.2">
      <c r="A425" s="13">
        <v>43102</v>
      </c>
      <c r="B425" s="19"/>
      <c r="C425" s="15">
        <v>1.25</v>
      </c>
      <c r="D425" s="14"/>
      <c r="E425" s="15">
        <f t="shared" si="34"/>
        <v>162.905</v>
      </c>
      <c r="F425" s="14"/>
      <c r="G425" s="15">
        <f t="shared" si="33"/>
        <v>1.25</v>
      </c>
      <c r="H425" s="14"/>
      <c r="I425" s="15">
        <f t="shared" si="35"/>
        <v>95.957999999999998</v>
      </c>
      <c r="J425" s="14"/>
      <c r="K425" s="13"/>
    </row>
    <row r="426" spans="1:11" ht="12.6" customHeight="1" x14ac:dyDescent="0.2">
      <c r="A426" s="13"/>
      <c r="B426" s="19" t="s">
        <v>47</v>
      </c>
      <c r="C426" s="15"/>
      <c r="D426" s="14"/>
      <c r="E426" s="15">
        <f t="shared" si="34"/>
        <v>162.905</v>
      </c>
      <c r="F426" s="14"/>
      <c r="G426" s="15">
        <f t="shared" si="33"/>
        <v>0</v>
      </c>
      <c r="H426" s="14">
        <v>1</v>
      </c>
      <c r="I426" s="15">
        <f t="shared" si="35"/>
        <v>94.957999999999998</v>
      </c>
      <c r="J426" s="14"/>
      <c r="K426" s="13">
        <v>43314</v>
      </c>
    </row>
    <row r="427" spans="1:11" ht="12.6" customHeight="1" x14ac:dyDescent="0.2">
      <c r="A427" s="13">
        <v>43103</v>
      </c>
      <c r="B427" s="19"/>
      <c r="C427" s="15">
        <v>1.25</v>
      </c>
      <c r="D427" s="14"/>
      <c r="E427" s="15">
        <f t="shared" si="34"/>
        <v>164.155</v>
      </c>
      <c r="F427" s="14"/>
      <c r="G427" s="15">
        <f t="shared" si="33"/>
        <v>1.25</v>
      </c>
      <c r="H427" s="14"/>
      <c r="I427" s="15">
        <f t="shared" si="35"/>
        <v>96.207999999999998</v>
      </c>
      <c r="J427" s="14"/>
      <c r="K427" s="13"/>
    </row>
    <row r="428" spans="1:11" ht="12.6" customHeight="1" x14ac:dyDescent="0.2">
      <c r="A428" s="13"/>
      <c r="B428" s="19" t="s">
        <v>52</v>
      </c>
      <c r="C428" s="15"/>
      <c r="D428" s="14"/>
      <c r="E428" s="15">
        <f t="shared" si="34"/>
        <v>164.155</v>
      </c>
      <c r="F428" s="14"/>
      <c r="G428" s="15">
        <f t="shared" si="33"/>
        <v>0</v>
      </c>
      <c r="H428" s="14">
        <v>2</v>
      </c>
      <c r="I428" s="15">
        <f t="shared" si="35"/>
        <v>94.207999999999998</v>
      </c>
      <c r="J428" s="14"/>
      <c r="K428" s="13" t="s">
        <v>736</v>
      </c>
    </row>
    <row r="429" spans="1:11" ht="12.6" customHeight="1" x14ac:dyDescent="0.2">
      <c r="A429" s="13">
        <v>43104</v>
      </c>
      <c r="B429" s="19"/>
      <c r="C429" s="15">
        <v>1.25</v>
      </c>
      <c r="D429" s="14"/>
      <c r="E429" s="15">
        <f t="shared" si="34"/>
        <v>165.405</v>
      </c>
      <c r="F429" s="14"/>
      <c r="G429" s="15">
        <f t="shared" si="33"/>
        <v>1.25</v>
      </c>
      <c r="H429" s="14"/>
      <c r="I429" s="15">
        <f t="shared" si="35"/>
        <v>95.457999999999998</v>
      </c>
      <c r="J429" s="14"/>
      <c r="K429" s="13"/>
    </row>
    <row r="430" spans="1:11" ht="12.6" customHeight="1" x14ac:dyDescent="0.2">
      <c r="A430" s="13"/>
      <c r="B430" s="19" t="s">
        <v>47</v>
      </c>
      <c r="C430" s="15"/>
      <c r="D430" s="15"/>
      <c r="E430" s="15">
        <f t="shared" si="34"/>
        <v>165.405</v>
      </c>
      <c r="F430" s="14"/>
      <c r="G430" s="15">
        <f t="shared" si="33"/>
        <v>0</v>
      </c>
      <c r="H430" s="14">
        <v>1</v>
      </c>
      <c r="I430" s="15">
        <f t="shared" si="35"/>
        <v>94.457999999999998</v>
      </c>
      <c r="J430" s="14"/>
      <c r="K430" s="13" t="s">
        <v>737</v>
      </c>
    </row>
    <row r="431" spans="1:11" ht="12.6" customHeight="1" x14ac:dyDescent="0.2">
      <c r="A431" s="13">
        <v>43105</v>
      </c>
      <c r="B431" s="19"/>
      <c r="C431" s="15">
        <v>1.25</v>
      </c>
      <c r="D431" s="14"/>
      <c r="E431" s="15">
        <f t="shared" si="34"/>
        <v>166.655</v>
      </c>
      <c r="F431" s="14"/>
      <c r="G431" s="15">
        <f t="shared" si="33"/>
        <v>1.25</v>
      </c>
      <c r="H431" s="14"/>
      <c r="I431" s="15">
        <f t="shared" si="35"/>
        <v>95.707999999999998</v>
      </c>
      <c r="J431" s="14"/>
      <c r="K431" s="16"/>
    </row>
    <row r="432" spans="1:11" ht="12.6" customHeight="1" x14ac:dyDescent="0.2">
      <c r="A432" s="13"/>
      <c r="B432" s="19" t="s">
        <v>47</v>
      </c>
      <c r="C432" s="15"/>
      <c r="D432" s="15"/>
      <c r="E432" s="15">
        <f t="shared" si="34"/>
        <v>166.655</v>
      </c>
      <c r="F432" s="14"/>
      <c r="G432" s="15">
        <f t="shared" si="33"/>
        <v>0</v>
      </c>
      <c r="H432" s="14">
        <v>1</v>
      </c>
      <c r="I432" s="15">
        <f t="shared" si="35"/>
        <v>94.707999999999998</v>
      </c>
      <c r="J432" s="14"/>
      <c r="K432" s="13" t="s">
        <v>738</v>
      </c>
    </row>
    <row r="433" spans="1:11" ht="12.6" customHeight="1" x14ac:dyDescent="0.2">
      <c r="A433" s="13">
        <v>43106</v>
      </c>
      <c r="B433" s="19"/>
      <c r="C433" s="15">
        <v>1.25</v>
      </c>
      <c r="D433" s="14"/>
      <c r="E433" s="15">
        <f t="shared" si="34"/>
        <v>167.905</v>
      </c>
      <c r="F433" s="14"/>
      <c r="G433" s="15">
        <f t="shared" si="33"/>
        <v>1.25</v>
      </c>
      <c r="H433" s="14"/>
      <c r="I433" s="15">
        <f t="shared" si="35"/>
        <v>95.957999999999998</v>
      </c>
      <c r="J433" s="14"/>
      <c r="K433" s="13"/>
    </row>
    <row r="434" spans="1:11" ht="12.6" customHeight="1" x14ac:dyDescent="0.2">
      <c r="A434" s="13"/>
      <c r="B434" s="19" t="s">
        <v>47</v>
      </c>
      <c r="C434" s="15"/>
      <c r="D434" s="14"/>
      <c r="E434" s="15">
        <f t="shared" si="34"/>
        <v>167.905</v>
      </c>
      <c r="F434" s="14"/>
      <c r="G434" s="15">
        <f t="shared" si="33"/>
        <v>0</v>
      </c>
      <c r="H434" s="14">
        <v>1</v>
      </c>
      <c r="I434" s="15">
        <f t="shared" si="35"/>
        <v>94.957999999999998</v>
      </c>
      <c r="J434" s="14"/>
      <c r="K434" s="13" t="s">
        <v>739</v>
      </c>
    </row>
    <row r="435" spans="1:11" ht="12.6" customHeight="1" x14ac:dyDescent="0.2">
      <c r="A435" s="13">
        <v>43107</v>
      </c>
      <c r="B435" s="19"/>
      <c r="C435" s="15">
        <v>1.25</v>
      </c>
      <c r="D435" s="14"/>
      <c r="E435" s="15">
        <f t="shared" si="34"/>
        <v>169.155</v>
      </c>
      <c r="F435" s="14"/>
      <c r="G435" s="15">
        <f t="shared" si="33"/>
        <v>1.25</v>
      </c>
      <c r="H435" s="14"/>
      <c r="I435" s="15">
        <f t="shared" si="35"/>
        <v>96.207999999999998</v>
      </c>
      <c r="J435" s="14"/>
      <c r="K435" s="13"/>
    </row>
    <row r="436" spans="1:11" ht="12.6" customHeight="1" x14ac:dyDescent="0.2">
      <c r="A436" s="13"/>
      <c r="B436" s="19" t="s">
        <v>47</v>
      </c>
      <c r="C436" s="15"/>
      <c r="D436" s="14"/>
      <c r="E436" s="15">
        <f t="shared" si="34"/>
        <v>169.155</v>
      </c>
      <c r="F436" s="14"/>
      <c r="G436" s="15">
        <f t="shared" si="33"/>
        <v>0</v>
      </c>
      <c r="H436" s="14">
        <v>1</v>
      </c>
      <c r="I436" s="15">
        <f t="shared" si="35"/>
        <v>95.207999999999998</v>
      </c>
      <c r="J436" s="14"/>
      <c r="K436" s="13">
        <v>43350</v>
      </c>
    </row>
    <row r="437" spans="1:11" ht="12.6" customHeight="1" x14ac:dyDescent="0.2">
      <c r="A437" s="13"/>
      <c r="B437" s="19" t="s">
        <v>271</v>
      </c>
      <c r="C437" s="15"/>
      <c r="D437" s="14"/>
      <c r="E437" s="15">
        <f t="shared" si="34"/>
        <v>169.155</v>
      </c>
      <c r="F437" s="14"/>
      <c r="G437" s="15">
        <f t="shared" si="33"/>
        <v>0</v>
      </c>
      <c r="H437" s="14">
        <v>5</v>
      </c>
      <c r="I437" s="15">
        <f t="shared" si="35"/>
        <v>90.207999999999998</v>
      </c>
      <c r="J437" s="14"/>
      <c r="K437" s="16" t="s">
        <v>740</v>
      </c>
    </row>
    <row r="438" spans="1:11" ht="12.6" customHeight="1" x14ac:dyDescent="0.2">
      <c r="A438" s="13">
        <v>43108</v>
      </c>
      <c r="B438" s="19"/>
      <c r="C438" s="15">
        <v>1.25</v>
      </c>
      <c r="D438" s="14"/>
      <c r="E438" s="15">
        <f t="shared" si="34"/>
        <v>170.405</v>
      </c>
      <c r="F438" s="14"/>
      <c r="G438" s="15">
        <f t="shared" si="33"/>
        <v>1.25</v>
      </c>
      <c r="H438" s="14"/>
      <c r="I438" s="15">
        <f t="shared" si="35"/>
        <v>91.457999999999998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16.25</v>
      </c>
      <c r="D439" s="36">
        <f>SUM(D413:D438)</f>
        <v>5.5419999999999998</v>
      </c>
      <c r="E439" s="36"/>
      <c r="F439" s="37"/>
      <c r="G439" s="36">
        <f>SUM(G413:G438)</f>
        <v>16.25</v>
      </c>
      <c r="H439" s="36">
        <f>SUM(H413:H438)</f>
        <v>19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CATAPANG, CRISPIN JR. D.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AUGUST 02, 1995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 t="s">
        <v>184</v>
      </c>
      <c r="C452" s="15"/>
      <c r="D452" s="14">
        <v>10</v>
      </c>
      <c r="E452" s="15">
        <f>E438+C452-D452</f>
        <v>160.405</v>
      </c>
      <c r="F452" s="14"/>
      <c r="G452" s="15">
        <f>C452</f>
        <v>0</v>
      </c>
      <c r="H452" s="14"/>
      <c r="I452" s="15">
        <f>I438+G452-H452</f>
        <v>91.457999999999998</v>
      </c>
      <c r="J452" s="14"/>
      <c r="K452" s="75" t="s">
        <v>741</v>
      </c>
    </row>
    <row r="453" spans="1:11" ht="12.6" customHeight="1" x14ac:dyDescent="0.2">
      <c r="A453" s="13"/>
      <c r="B453" s="19" t="s">
        <v>47</v>
      </c>
      <c r="C453" s="15"/>
      <c r="D453" s="14"/>
      <c r="E453" s="15">
        <f>E452+C453-D453</f>
        <v>160.405</v>
      </c>
      <c r="F453" s="14"/>
      <c r="G453" s="15">
        <f t="shared" ref="G453:G477" si="36">C453</f>
        <v>0</v>
      </c>
      <c r="H453" s="14">
        <v>1</v>
      </c>
      <c r="I453" s="15">
        <f>I452+G453-H453</f>
        <v>90.457999999999998</v>
      </c>
      <c r="J453" s="14"/>
      <c r="K453" s="13" t="s">
        <v>742</v>
      </c>
    </row>
    <row r="454" spans="1:11" ht="12.6" customHeight="1" x14ac:dyDescent="0.2">
      <c r="A454" s="13">
        <v>43110</v>
      </c>
      <c r="B454" s="19"/>
      <c r="C454" s="15">
        <v>2.5</v>
      </c>
      <c r="D454" s="14"/>
      <c r="E454" s="15">
        <f t="shared" ref="E454:E477" si="37">E453+C454-D454</f>
        <v>162.905</v>
      </c>
      <c r="F454" s="14"/>
      <c r="G454" s="15">
        <f t="shared" si="36"/>
        <v>2.5</v>
      </c>
      <c r="H454" s="14"/>
      <c r="I454" s="15">
        <f t="shared" ref="I454:I477" si="38">I453+G454-H454</f>
        <v>92.957999999999998</v>
      </c>
      <c r="J454" s="14"/>
      <c r="K454" s="13"/>
    </row>
    <row r="455" spans="1:11" ht="12.6" customHeight="1" x14ac:dyDescent="0.2">
      <c r="A455" s="13"/>
      <c r="B455" s="19" t="s">
        <v>52</v>
      </c>
      <c r="C455" s="15"/>
      <c r="D455" s="14"/>
      <c r="E455" s="15">
        <f t="shared" si="37"/>
        <v>162.905</v>
      </c>
      <c r="F455" s="14"/>
      <c r="G455" s="15">
        <f t="shared" si="36"/>
        <v>0</v>
      </c>
      <c r="H455" s="14">
        <v>2</v>
      </c>
      <c r="I455" s="15">
        <f t="shared" si="38"/>
        <v>90.957999999999998</v>
      </c>
      <c r="J455" s="14"/>
      <c r="K455" s="13" t="s">
        <v>743</v>
      </c>
    </row>
    <row r="456" spans="1:11" ht="12.6" customHeight="1" x14ac:dyDescent="0.2">
      <c r="A456" s="13">
        <v>43112</v>
      </c>
      <c r="B456" s="19"/>
      <c r="C456" s="15">
        <v>2.5</v>
      </c>
      <c r="D456" s="14"/>
      <c r="E456" s="15">
        <f t="shared" si="37"/>
        <v>165.405</v>
      </c>
      <c r="F456" s="14"/>
      <c r="G456" s="15">
        <f t="shared" si="36"/>
        <v>2.5</v>
      </c>
      <c r="H456" s="14"/>
      <c r="I456" s="15">
        <f t="shared" si="38"/>
        <v>93.457999999999998</v>
      </c>
      <c r="J456" s="14"/>
      <c r="K456" s="13"/>
    </row>
    <row r="457" spans="1:11" ht="12.6" customHeight="1" x14ac:dyDescent="0.2">
      <c r="A457" s="13"/>
      <c r="B457" s="19" t="s">
        <v>195</v>
      </c>
      <c r="C457" s="15"/>
      <c r="D457" s="14"/>
      <c r="E457" s="15">
        <f t="shared" si="37"/>
        <v>165.405</v>
      </c>
      <c r="F457" s="14"/>
      <c r="G457" s="15">
        <f t="shared" si="36"/>
        <v>0</v>
      </c>
      <c r="H457" s="14"/>
      <c r="I457" s="15">
        <f t="shared" si="38"/>
        <v>93.457999999999998</v>
      </c>
      <c r="J457" s="14"/>
      <c r="K457" s="16" t="s">
        <v>744</v>
      </c>
    </row>
    <row r="458" spans="1:11" ht="12.6" customHeight="1" x14ac:dyDescent="0.2">
      <c r="A458" s="13">
        <v>43466</v>
      </c>
      <c r="B458" s="19"/>
      <c r="C458" s="15">
        <v>1.25</v>
      </c>
      <c r="D458" s="14"/>
      <c r="E458" s="15">
        <f t="shared" si="37"/>
        <v>166.655</v>
      </c>
      <c r="F458" s="14"/>
      <c r="G458" s="15">
        <f t="shared" si="36"/>
        <v>1.25</v>
      </c>
      <c r="H458" s="14"/>
      <c r="I458" s="15">
        <f t="shared" si="38"/>
        <v>94.707999999999998</v>
      </c>
      <c r="J458" s="14"/>
      <c r="K458" s="13"/>
    </row>
    <row r="459" spans="1:11" ht="12.6" customHeight="1" x14ac:dyDescent="0.2">
      <c r="A459" s="13"/>
      <c r="B459" s="19" t="s">
        <v>47</v>
      </c>
      <c r="C459" s="15"/>
      <c r="D459" s="14"/>
      <c r="E459" s="15">
        <f t="shared" si="37"/>
        <v>166.655</v>
      </c>
      <c r="F459" s="14"/>
      <c r="G459" s="15">
        <f t="shared" si="36"/>
        <v>0</v>
      </c>
      <c r="H459" s="14">
        <v>1</v>
      </c>
      <c r="I459" s="15">
        <f t="shared" si="38"/>
        <v>93.707999999999998</v>
      </c>
      <c r="J459" s="14"/>
      <c r="K459" s="13" t="s">
        <v>745</v>
      </c>
    </row>
    <row r="460" spans="1:11" ht="12.6" customHeight="1" x14ac:dyDescent="0.2">
      <c r="A460" s="13"/>
      <c r="B460" s="19" t="s">
        <v>747</v>
      </c>
      <c r="C460" s="15"/>
      <c r="D460" s="14">
        <v>0.72899999999999998</v>
      </c>
      <c r="E460" s="15">
        <f t="shared" si="37"/>
        <v>165.92599999999999</v>
      </c>
      <c r="F460" s="14"/>
      <c r="G460" s="15">
        <f t="shared" si="36"/>
        <v>0</v>
      </c>
      <c r="H460" s="14"/>
      <c r="I460" s="15">
        <f t="shared" si="38"/>
        <v>93.707999999999998</v>
      </c>
      <c r="J460" s="14"/>
      <c r="K460" s="16" t="s">
        <v>746</v>
      </c>
    </row>
    <row r="461" spans="1:11" ht="12.6" customHeight="1" x14ac:dyDescent="0.2">
      <c r="A461" s="13">
        <v>43468</v>
      </c>
      <c r="B461" s="19"/>
      <c r="C461" s="15">
        <v>2.5</v>
      </c>
      <c r="D461" s="14"/>
      <c r="E461" s="15">
        <f t="shared" si="37"/>
        <v>168.42599999999999</v>
      </c>
      <c r="F461" s="14"/>
      <c r="G461" s="15">
        <f t="shared" si="36"/>
        <v>2.5</v>
      </c>
      <c r="H461" s="14"/>
      <c r="I461" s="15">
        <f t="shared" si="38"/>
        <v>96.207999999999998</v>
      </c>
      <c r="J461" s="14"/>
      <c r="K461" s="13"/>
    </row>
    <row r="462" spans="1:11" ht="12.6" customHeight="1" x14ac:dyDescent="0.2">
      <c r="A462" s="13"/>
      <c r="B462" s="19" t="s">
        <v>47</v>
      </c>
      <c r="C462" s="15"/>
      <c r="D462" s="14"/>
      <c r="E462" s="15">
        <f t="shared" si="37"/>
        <v>168.42599999999999</v>
      </c>
      <c r="F462" s="14"/>
      <c r="G462" s="15">
        <f t="shared" si="36"/>
        <v>0</v>
      </c>
      <c r="H462" s="14">
        <v>1</v>
      </c>
      <c r="I462" s="15">
        <f t="shared" si="38"/>
        <v>95.207999999999998</v>
      </c>
      <c r="J462" s="14"/>
      <c r="K462" s="13">
        <v>43772</v>
      </c>
    </row>
    <row r="463" spans="1:11" ht="12.6" customHeight="1" x14ac:dyDescent="0.2">
      <c r="A463" s="13">
        <v>43469</v>
      </c>
      <c r="B463" s="19"/>
      <c r="C463" s="15">
        <v>1.25</v>
      </c>
      <c r="D463" s="14"/>
      <c r="E463" s="15">
        <f t="shared" si="37"/>
        <v>169.67599999999999</v>
      </c>
      <c r="F463" s="14"/>
      <c r="G463" s="15">
        <f t="shared" si="36"/>
        <v>1.25</v>
      </c>
      <c r="H463" s="14"/>
      <c r="I463" s="15">
        <f t="shared" si="38"/>
        <v>96.457999999999998</v>
      </c>
      <c r="J463" s="14"/>
      <c r="K463" s="16"/>
    </row>
    <row r="464" spans="1:11" ht="12.6" customHeight="1" x14ac:dyDescent="0.2">
      <c r="A464" s="13"/>
      <c r="B464" s="19" t="s">
        <v>76</v>
      </c>
      <c r="C464" s="15"/>
      <c r="D464" s="14">
        <v>2</v>
      </c>
      <c r="E464" s="15">
        <f t="shared" si="37"/>
        <v>167.67599999999999</v>
      </c>
      <c r="F464" s="14"/>
      <c r="G464" s="15">
        <f t="shared" si="36"/>
        <v>0</v>
      </c>
      <c r="H464" s="14"/>
      <c r="I464" s="15">
        <f t="shared" si="38"/>
        <v>96.457999999999998</v>
      </c>
      <c r="J464" s="14"/>
      <c r="K464" s="16" t="s">
        <v>748</v>
      </c>
    </row>
    <row r="465" spans="1:11" ht="12.6" customHeight="1" x14ac:dyDescent="0.2">
      <c r="A465" s="13"/>
      <c r="B465" s="19" t="s">
        <v>47</v>
      </c>
      <c r="C465" s="15"/>
      <c r="D465" s="14"/>
      <c r="E465" s="15">
        <f t="shared" si="37"/>
        <v>167.67599999999999</v>
      </c>
      <c r="F465" s="14"/>
      <c r="G465" s="15">
        <f t="shared" si="36"/>
        <v>0</v>
      </c>
      <c r="H465" s="14">
        <v>1</v>
      </c>
      <c r="I465" s="15">
        <f t="shared" si="38"/>
        <v>95.457999999999998</v>
      </c>
      <c r="J465" s="14"/>
      <c r="K465" s="13" t="s">
        <v>749</v>
      </c>
    </row>
    <row r="466" spans="1:11" ht="12.6" customHeight="1" x14ac:dyDescent="0.2">
      <c r="A466" s="13">
        <v>43470</v>
      </c>
      <c r="B466" s="19"/>
      <c r="C466" s="15">
        <v>1.25</v>
      </c>
      <c r="D466" s="14"/>
      <c r="E466" s="15">
        <f t="shared" si="37"/>
        <v>168.92599999999999</v>
      </c>
      <c r="F466" s="14"/>
      <c r="G466" s="15">
        <f t="shared" si="36"/>
        <v>1.25</v>
      </c>
      <c r="H466" s="14"/>
      <c r="I466" s="15">
        <f t="shared" si="38"/>
        <v>96.707999999999998</v>
      </c>
      <c r="J466" s="14"/>
      <c r="K466" s="13"/>
    </row>
    <row r="467" spans="1:11" ht="12.6" customHeight="1" x14ac:dyDescent="0.2">
      <c r="A467" s="13"/>
      <c r="B467" s="19" t="s">
        <v>47</v>
      </c>
      <c r="C467" s="15"/>
      <c r="D467" s="14"/>
      <c r="E467" s="15">
        <f t="shared" si="37"/>
        <v>168.92599999999999</v>
      </c>
      <c r="F467" s="14"/>
      <c r="G467" s="15">
        <f t="shared" si="36"/>
        <v>0</v>
      </c>
      <c r="H467" s="14">
        <v>1</v>
      </c>
      <c r="I467" s="15">
        <f t="shared" si="38"/>
        <v>95.707999999999998</v>
      </c>
      <c r="J467" s="14"/>
      <c r="K467" s="13" t="s">
        <v>750</v>
      </c>
    </row>
    <row r="468" spans="1:11" ht="12.6" customHeight="1" x14ac:dyDescent="0.2">
      <c r="A468" s="13">
        <v>43471</v>
      </c>
      <c r="B468" s="19"/>
      <c r="C468" s="15">
        <v>1.25</v>
      </c>
      <c r="D468" s="14"/>
      <c r="E468" s="15">
        <f t="shared" si="37"/>
        <v>170.17599999999999</v>
      </c>
      <c r="F468" s="14"/>
      <c r="G468" s="15">
        <f t="shared" si="36"/>
        <v>1.25</v>
      </c>
      <c r="H468" s="14"/>
      <c r="I468" s="15">
        <f t="shared" si="38"/>
        <v>96.957999999999998</v>
      </c>
      <c r="J468" s="14"/>
      <c r="K468" s="13"/>
    </row>
    <row r="469" spans="1:11" ht="12.6" customHeight="1" x14ac:dyDescent="0.2">
      <c r="A469" s="13"/>
      <c r="B469" s="19" t="s">
        <v>47</v>
      </c>
      <c r="C469" s="15"/>
      <c r="D469" s="15"/>
      <c r="E469" s="15">
        <f t="shared" si="37"/>
        <v>170.17599999999999</v>
      </c>
      <c r="F469" s="14"/>
      <c r="G469" s="15">
        <f t="shared" si="36"/>
        <v>0</v>
      </c>
      <c r="H469" s="14">
        <v>1</v>
      </c>
      <c r="I469" s="15">
        <f t="shared" si="38"/>
        <v>95.957999999999998</v>
      </c>
      <c r="J469" s="14"/>
      <c r="K469" s="13">
        <v>43530</v>
      </c>
    </row>
    <row r="470" spans="1:11" ht="12.6" customHeight="1" x14ac:dyDescent="0.2">
      <c r="A470" s="13"/>
      <c r="B470" s="19" t="s">
        <v>52</v>
      </c>
      <c r="C470" s="15"/>
      <c r="D470" s="14"/>
      <c r="E470" s="15">
        <f t="shared" si="37"/>
        <v>170.17599999999999</v>
      </c>
      <c r="F470" s="14"/>
      <c r="G470" s="15">
        <f t="shared" si="36"/>
        <v>0</v>
      </c>
      <c r="H470" s="14">
        <v>2</v>
      </c>
      <c r="I470" s="15">
        <f t="shared" si="38"/>
        <v>93.957999999999998</v>
      </c>
      <c r="J470" s="14"/>
      <c r="K470" s="16" t="s">
        <v>751</v>
      </c>
    </row>
    <row r="471" spans="1:11" ht="12.6" customHeight="1" x14ac:dyDescent="0.2">
      <c r="A471" s="13">
        <v>43474</v>
      </c>
      <c r="B471" s="19"/>
      <c r="C471" s="15">
        <v>3.75</v>
      </c>
      <c r="D471" s="15"/>
      <c r="E471" s="15">
        <f t="shared" si="37"/>
        <v>173.92599999999999</v>
      </c>
      <c r="F471" s="14"/>
      <c r="G471" s="15">
        <f t="shared" si="36"/>
        <v>3.75</v>
      </c>
      <c r="H471" s="14"/>
      <c r="I471" s="15">
        <f t="shared" si="38"/>
        <v>97.707999999999998</v>
      </c>
      <c r="J471" s="14"/>
      <c r="K471" s="13"/>
    </row>
    <row r="472" spans="1:11" ht="12.6" customHeight="1" x14ac:dyDescent="0.2">
      <c r="A472" s="13"/>
      <c r="B472" s="19" t="s">
        <v>47</v>
      </c>
      <c r="C472" s="15"/>
      <c r="D472" s="14"/>
      <c r="E472" s="15">
        <f t="shared" si="37"/>
        <v>173.92599999999999</v>
      </c>
      <c r="F472" s="14"/>
      <c r="G472" s="15">
        <f t="shared" si="36"/>
        <v>0</v>
      </c>
      <c r="H472" s="14">
        <v>1</v>
      </c>
      <c r="I472" s="15">
        <f t="shared" si="38"/>
        <v>96.707999999999998</v>
      </c>
      <c r="J472" s="14"/>
      <c r="K472" s="13" t="s">
        <v>752</v>
      </c>
    </row>
    <row r="473" spans="1:11" ht="12.6" customHeight="1" x14ac:dyDescent="0.2">
      <c r="A473" s="13">
        <v>43475</v>
      </c>
      <c r="B473" s="19"/>
      <c r="C473" s="15">
        <v>1.25</v>
      </c>
      <c r="D473" s="14"/>
      <c r="E473" s="15">
        <f t="shared" si="37"/>
        <v>175.17599999999999</v>
      </c>
      <c r="F473" s="14"/>
      <c r="G473" s="15">
        <f t="shared" si="36"/>
        <v>1.25</v>
      </c>
      <c r="H473" s="14"/>
      <c r="I473" s="15">
        <f t="shared" si="38"/>
        <v>97.957999999999998</v>
      </c>
      <c r="J473" s="14"/>
      <c r="K473" s="13"/>
    </row>
    <row r="474" spans="1:11" ht="12.6" customHeight="1" x14ac:dyDescent="0.2">
      <c r="A474" s="13"/>
      <c r="B474" s="19" t="s">
        <v>52</v>
      </c>
      <c r="C474" s="15"/>
      <c r="D474" s="14"/>
      <c r="E474" s="15">
        <f t="shared" si="37"/>
        <v>175.17599999999999</v>
      </c>
      <c r="F474" s="14"/>
      <c r="G474" s="15">
        <f t="shared" si="36"/>
        <v>0</v>
      </c>
      <c r="H474" s="14">
        <v>2</v>
      </c>
      <c r="I474" s="15">
        <f t="shared" si="38"/>
        <v>95.957999999999998</v>
      </c>
      <c r="J474" s="14"/>
      <c r="K474" s="13" t="s">
        <v>753</v>
      </c>
    </row>
    <row r="475" spans="1:11" ht="12.6" customHeight="1" x14ac:dyDescent="0.2">
      <c r="A475" s="13">
        <v>43477</v>
      </c>
      <c r="B475" s="19"/>
      <c r="C475" s="15">
        <v>2.5</v>
      </c>
      <c r="D475" s="14"/>
      <c r="E475" s="15">
        <f t="shared" si="37"/>
        <v>177.67599999999999</v>
      </c>
      <c r="F475" s="14"/>
      <c r="G475" s="15">
        <f t="shared" si="36"/>
        <v>2.5</v>
      </c>
      <c r="H475" s="14"/>
      <c r="I475" s="15">
        <f t="shared" si="38"/>
        <v>98.457999999999998</v>
      </c>
      <c r="J475" s="14"/>
      <c r="K475" s="13"/>
    </row>
    <row r="476" spans="1:11" ht="12.6" customHeight="1" x14ac:dyDescent="0.2">
      <c r="A476" s="13"/>
      <c r="B476" s="19" t="s">
        <v>52</v>
      </c>
      <c r="C476" s="15"/>
      <c r="D476" s="14"/>
      <c r="E476" s="15">
        <f t="shared" si="37"/>
        <v>177.67599999999999</v>
      </c>
      <c r="F476" s="14"/>
      <c r="G476" s="15">
        <f t="shared" si="36"/>
        <v>0</v>
      </c>
      <c r="H476" s="14">
        <v>2</v>
      </c>
      <c r="I476" s="15">
        <f t="shared" si="38"/>
        <v>96.457999999999998</v>
      </c>
      <c r="J476" s="14"/>
      <c r="K476" s="16" t="s">
        <v>754</v>
      </c>
    </row>
    <row r="477" spans="1:11" ht="12.6" customHeight="1" x14ac:dyDescent="0.2">
      <c r="A477" s="13">
        <v>43831</v>
      </c>
      <c r="B477" s="19"/>
      <c r="C477" s="15">
        <v>1.25</v>
      </c>
      <c r="D477" s="14"/>
      <c r="E477" s="15">
        <f t="shared" si="37"/>
        <v>178.92599999999999</v>
      </c>
      <c r="F477" s="14"/>
      <c r="G477" s="15">
        <f t="shared" si="36"/>
        <v>1.25</v>
      </c>
      <c r="H477" s="14"/>
      <c r="I477" s="15">
        <f t="shared" si="38"/>
        <v>97.707999999999998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21.25</v>
      </c>
      <c r="D478" s="36">
        <f>SUM(D452:D477)</f>
        <v>12.728999999999999</v>
      </c>
      <c r="E478" s="36"/>
      <c r="F478" s="37"/>
      <c r="G478" s="36">
        <f>SUM(G452:G477)</f>
        <v>21.25</v>
      </c>
      <c r="H478" s="36">
        <f>SUM(H452:H477)</f>
        <v>15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CATAPANG, CRISPIN JR. D.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AUGUST 02, 1995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 t="s">
        <v>756</v>
      </c>
      <c r="C487" s="15"/>
      <c r="D487" s="14">
        <v>0.7</v>
      </c>
      <c r="E487" s="15">
        <f>E477+C487-D487</f>
        <v>178.226</v>
      </c>
      <c r="F487" s="14"/>
      <c r="G487" s="15">
        <f t="shared" ref="G487:G512" si="39">C487</f>
        <v>0</v>
      </c>
      <c r="H487" s="14"/>
      <c r="I487" s="15">
        <f>I477+G487-H487</f>
        <v>97.707999999999998</v>
      </c>
      <c r="J487" s="14"/>
      <c r="K487" s="16" t="s">
        <v>755</v>
      </c>
    </row>
    <row r="488" spans="1:11" ht="12.6" customHeight="1" x14ac:dyDescent="0.2">
      <c r="A488" s="13"/>
      <c r="B488" s="19" t="s">
        <v>87</v>
      </c>
      <c r="C488" s="15"/>
      <c r="D488" s="14">
        <v>3</v>
      </c>
      <c r="E488" s="15">
        <f>E487+C488-D488</f>
        <v>175.226</v>
      </c>
      <c r="F488" s="14"/>
      <c r="G488" s="15">
        <f t="shared" si="39"/>
        <v>0</v>
      </c>
      <c r="H488" s="14"/>
      <c r="I488" s="15">
        <f>I487+G488-H488</f>
        <v>97.707999999999998</v>
      </c>
      <c r="J488" s="14"/>
      <c r="K488" s="13" t="s">
        <v>537</v>
      </c>
    </row>
    <row r="489" spans="1:11" ht="12.6" customHeight="1" x14ac:dyDescent="0.2">
      <c r="A489" s="13"/>
      <c r="B489" s="19" t="s">
        <v>166</v>
      </c>
      <c r="C489" s="15"/>
      <c r="D489" s="14"/>
      <c r="E489" s="15">
        <f t="shared" ref="E489:E512" si="40">E488+C489-D489</f>
        <v>175.226</v>
      </c>
      <c r="F489" s="14"/>
      <c r="G489" s="15">
        <f t="shared" si="39"/>
        <v>0</v>
      </c>
      <c r="H489" s="14"/>
      <c r="I489" s="15">
        <f t="shared" ref="I489:I512" si="41">I488+G489-H489</f>
        <v>97.707999999999998</v>
      </c>
      <c r="J489" s="14"/>
      <c r="K489" s="13" t="s">
        <v>757</v>
      </c>
    </row>
    <row r="490" spans="1:11" ht="12.6" customHeight="1" x14ac:dyDescent="0.2">
      <c r="A490" s="13"/>
      <c r="B490" s="19" t="s">
        <v>52</v>
      </c>
      <c r="C490" s="15"/>
      <c r="D490" s="14"/>
      <c r="E490" s="15">
        <f t="shared" si="40"/>
        <v>175.226</v>
      </c>
      <c r="F490" s="14"/>
      <c r="G490" s="15">
        <f t="shared" si="39"/>
        <v>0</v>
      </c>
      <c r="H490" s="14">
        <v>2</v>
      </c>
      <c r="I490" s="15">
        <f t="shared" si="41"/>
        <v>95.707999999999998</v>
      </c>
      <c r="J490" s="14"/>
      <c r="K490" s="16" t="s">
        <v>758</v>
      </c>
    </row>
    <row r="491" spans="1:11" ht="12.6" customHeight="1" x14ac:dyDescent="0.2">
      <c r="A491" s="13">
        <v>43833</v>
      </c>
      <c r="B491" s="19"/>
      <c r="C491" s="15">
        <v>2.5</v>
      </c>
      <c r="D491" s="14"/>
      <c r="E491" s="15">
        <f t="shared" si="40"/>
        <v>177.726</v>
      </c>
      <c r="F491" s="14"/>
      <c r="G491" s="15">
        <f t="shared" si="39"/>
        <v>2.5</v>
      </c>
      <c r="H491" s="14"/>
      <c r="I491" s="15">
        <f t="shared" si="41"/>
        <v>98.207999999999998</v>
      </c>
      <c r="J491" s="14"/>
      <c r="K491" s="13"/>
    </row>
    <row r="492" spans="1:11" ht="12.6" customHeight="1" x14ac:dyDescent="0.2">
      <c r="A492" s="13"/>
      <c r="B492" s="19" t="s">
        <v>67</v>
      </c>
      <c r="C492" s="15"/>
      <c r="D492" s="14"/>
      <c r="E492" s="15">
        <f t="shared" si="40"/>
        <v>177.726</v>
      </c>
      <c r="F492" s="14"/>
      <c r="G492" s="15">
        <f t="shared" si="39"/>
        <v>0</v>
      </c>
      <c r="H492" s="14">
        <v>3</v>
      </c>
      <c r="I492" s="15">
        <f t="shared" si="41"/>
        <v>95.207999999999998</v>
      </c>
      <c r="J492" s="14"/>
      <c r="K492" s="16" t="s">
        <v>759</v>
      </c>
    </row>
    <row r="493" spans="1:11" ht="12.6" customHeight="1" x14ac:dyDescent="0.2">
      <c r="A493" s="13">
        <v>43836</v>
      </c>
      <c r="B493" s="19"/>
      <c r="C493" s="15">
        <v>3.75</v>
      </c>
      <c r="D493" s="14"/>
      <c r="E493" s="15">
        <f t="shared" si="40"/>
        <v>181.476</v>
      </c>
      <c r="F493" s="14"/>
      <c r="G493" s="15">
        <f t="shared" si="39"/>
        <v>3.75</v>
      </c>
      <c r="H493" s="14"/>
      <c r="I493" s="15">
        <f t="shared" si="41"/>
        <v>98.957999999999998</v>
      </c>
      <c r="J493" s="14"/>
      <c r="K493" s="13"/>
    </row>
    <row r="494" spans="1:11" ht="12.6" customHeight="1" x14ac:dyDescent="0.2">
      <c r="A494" s="13"/>
      <c r="B494" s="19" t="s">
        <v>248</v>
      </c>
      <c r="C494" s="15"/>
      <c r="D494" s="14"/>
      <c r="E494" s="15">
        <f t="shared" si="40"/>
        <v>181.476</v>
      </c>
      <c r="F494" s="14"/>
      <c r="G494" s="15">
        <f t="shared" si="39"/>
        <v>0</v>
      </c>
      <c r="H494" s="14">
        <v>2.5</v>
      </c>
      <c r="I494" s="15">
        <f t="shared" si="41"/>
        <v>96.457999999999998</v>
      </c>
      <c r="J494" s="14"/>
      <c r="K494" s="13" t="s">
        <v>760</v>
      </c>
    </row>
    <row r="495" spans="1:11" ht="12.6" customHeight="1" x14ac:dyDescent="0.2">
      <c r="A495" s="13">
        <v>43842</v>
      </c>
      <c r="B495" s="19"/>
      <c r="C495" s="15">
        <v>7.5</v>
      </c>
      <c r="D495" s="14"/>
      <c r="E495" s="15">
        <f t="shared" si="40"/>
        <v>188.976</v>
      </c>
      <c r="F495" s="14"/>
      <c r="G495" s="15">
        <f t="shared" si="39"/>
        <v>7.5</v>
      </c>
      <c r="H495" s="14"/>
      <c r="I495" s="15">
        <f t="shared" si="41"/>
        <v>103.958</v>
      </c>
      <c r="J495" s="14"/>
      <c r="K495" s="16"/>
    </row>
    <row r="496" spans="1:11" ht="12.6" customHeight="1" x14ac:dyDescent="0.2">
      <c r="A496" s="13"/>
      <c r="B496" s="19" t="s">
        <v>195</v>
      </c>
      <c r="C496" s="15"/>
      <c r="D496" s="14"/>
      <c r="E496" s="15">
        <f t="shared" si="40"/>
        <v>188.976</v>
      </c>
      <c r="F496" s="14"/>
      <c r="G496" s="15">
        <f t="shared" si="39"/>
        <v>0</v>
      </c>
      <c r="H496" s="14"/>
      <c r="I496" s="15">
        <f t="shared" si="41"/>
        <v>103.958</v>
      </c>
      <c r="J496" s="14"/>
      <c r="K496" s="16" t="s">
        <v>761</v>
      </c>
    </row>
    <row r="497" spans="1:11" ht="12.6" customHeight="1" x14ac:dyDescent="0.2">
      <c r="A497" s="13">
        <v>44197</v>
      </c>
      <c r="B497" s="19"/>
      <c r="C497" s="15">
        <v>1.25</v>
      </c>
      <c r="D497" s="14"/>
      <c r="E497" s="15">
        <f t="shared" si="40"/>
        <v>190.226</v>
      </c>
      <c r="F497" s="14"/>
      <c r="G497" s="15">
        <f t="shared" si="39"/>
        <v>1.25</v>
      </c>
      <c r="H497" s="14"/>
      <c r="I497" s="15">
        <f t="shared" si="41"/>
        <v>105.208</v>
      </c>
      <c r="J497" s="14"/>
      <c r="K497" s="16"/>
    </row>
    <row r="498" spans="1:11" ht="12.6" customHeight="1" x14ac:dyDescent="0.2">
      <c r="A498" s="13"/>
      <c r="B498" s="19" t="s">
        <v>763</v>
      </c>
      <c r="C498" s="15"/>
      <c r="D498" s="14">
        <v>0.23400000000000001</v>
      </c>
      <c r="E498" s="15">
        <f t="shared" si="40"/>
        <v>189.99199999999999</v>
      </c>
      <c r="F498" s="14"/>
      <c r="G498" s="15">
        <f t="shared" si="39"/>
        <v>0</v>
      </c>
      <c r="H498" s="14"/>
      <c r="I498" s="15">
        <f t="shared" si="41"/>
        <v>105.208</v>
      </c>
      <c r="J498" s="14"/>
      <c r="K498" s="13" t="s">
        <v>762</v>
      </c>
    </row>
    <row r="499" spans="1:11" ht="12.6" customHeight="1" x14ac:dyDescent="0.2">
      <c r="A499" s="13">
        <v>44199</v>
      </c>
      <c r="B499" s="19"/>
      <c r="C499" s="15">
        <v>2.5</v>
      </c>
      <c r="D499" s="14"/>
      <c r="E499" s="15">
        <f t="shared" si="40"/>
        <v>192.49199999999999</v>
      </c>
      <c r="F499" s="14"/>
      <c r="G499" s="15">
        <f t="shared" si="39"/>
        <v>2.5</v>
      </c>
      <c r="H499" s="14"/>
      <c r="I499" s="15">
        <f t="shared" si="41"/>
        <v>107.708</v>
      </c>
      <c r="J499" s="14"/>
      <c r="K499" s="13"/>
    </row>
    <row r="500" spans="1:11" ht="12.6" customHeight="1" x14ac:dyDescent="0.2">
      <c r="A500" s="13"/>
      <c r="B500" s="19" t="s">
        <v>166</v>
      </c>
      <c r="C500" s="15"/>
      <c r="D500" s="14"/>
      <c r="E500" s="15">
        <f t="shared" si="40"/>
        <v>192.49199999999999</v>
      </c>
      <c r="F500" s="14"/>
      <c r="G500" s="15">
        <f t="shared" si="39"/>
        <v>0</v>
      </c>
      <c r="H500" s="14"/>
      <c r="I500" s="15">
        <f t="shared" si="41"/>
        <v>107.708</v>
      </c>
      <c r="J500" s="14"/>
      <c r="K500" s="13" t="s">
        <v>764</v>
      </c>
    </row>
    <row r="501" spans="1:11" ht="12.6" customHeight="1" x14ac:dyDescent="0.2">
      <c r="A501" s="13"/>
      <c r="B501" s="19" t="s">
        <v>45</v>
      </c>
      <c r="C501" s="15"/>
      <c r="D501" s="14"/>
      <c r="E501" s="15">
        <f t="shared" si="40"/>
        <v>192.49199999999999</v>
      </c>
      <c r="F501" s="14"/>
      <c r="G501" s="15">
        <f t="shared" si="39"/>
        <v>0</v>
      </c>
      <c r="H501" s="14"/>
      <c r="I501" s="15">
        <f t="shared" si="41"/>
        <v>107.708</v>
      </c>
      <c r="J501" s="14"/>
      <c r="K501" s="13" t="s">
        <v>765</v>
      </c>
    </row>
    <row r="502" spans="1:11" ht="12.6" customHeight="1" x14ac:dyDescent="0.2">
      <c r="A502" s="13"/>
      <c r="B502" s="19" t="s">
        <v>74</v>
      </c>
      <c r="C502" s="15"/>
      <c r="D502" s="14">
        <v>1</v>
      </c>
      <c r="E502" s="15">
        <f t="shared" si="40"/>
        <v>191.49199999999999</v>
      </c>
      <c r="F502" s="14"/>
      <c r="G502" s="15">
        <f t="shared" si="39"/>
        <v>0</v>
      </c>
      <c r="H502" s="14"/>
      <c r="I502" s="15">
        <f t="shared" si="41"/>
        <v>107.708</v>
      </c>
      <c r="J502" s="14"/>
      <c r="K502" s="13" t="s">
        <v>766</v>
      </c>
    </row>
    <row r="503" spans="1:11" ht="12.6" customHeight="1" x14ac:dyDescent="0.2">
      <c r="A503" s="13">
        <v>44201</v>
      </c>
      <c r="B503" s="19"/>
      <c r="C503" s="15">
        <v>2.5</v>
      </c>
      <c r="D503" s="14"/>
      <c r="E503" s="15">
        <f t="shared" si="40"/>
        <v>193.99199999999999</v>
      </c>
      <c r="F503" s="14"/>
      <c r="G503" s="15">
        <f t="shared" si="39"/>
        <v>2.5</v>
      </c>
      <c r="H503" s="14"/>
      <c r="I503" s="15">
        <f t="shared" si="41"/>
        <v>110.208</v>
      </c>
      <c r="J503" s="14"/>
      <c r="K503" s="13"/>
    </row>
    <row r="504" spans="1:11" ht="12.6" customHeight="1" x14ac:dyDescent="0.2">
      <c r="A504" s="13"/>
      <c r="B504" s="19" t="s">
        <v>768</v>
      </c>
      <c r="C504" s="15"/>
      <c r="D504" s="15">
        <v>10</v>
      </c>
      <c r="E504" s="15">
        <f t="shared" si="40"/>
        <v>183.99199999999999</v>
      </c>
      <c r="F504" s="14"/>
      <c r="G504" s="15">
        <f t="shared" si="39"/>
        <v>0</v>
      </c>
      <c r="H504" s="14"/>
      <c r="I504" s="15">
        <f t="shared" si="41"/>
        <v>110.208</v>
      </c>
      <c r="J504" s="14"/>
      <c r="K504" s="13" t="s">
        <v>767</v>
      </c>
    </row>
    <row r="505" spans="1:11" ht="12.6" customHeight="1" x14ac:dyDescent="0.2">
      <c r="A505" s="13">
        <v>44562</v>
      </c>
      <c r="B505" s="19"/>
      <c r="C505" s="15">
        <v>10</v>
      </c>
      <c r="D505" s="14"/>
      <c r="E505" s="15">
        <f t="shared" si="40"/>
        <v>193.99199999999999</v>
      </c>
      <c r="F505" s="14"/>
      <c r="G505" s="15">
        <f t="shared" si="39"/>
        <v>10</v>
      </c>
      <c r="H505" s="14"/>
      <c r="I505" s="15">
        <f t="shared" si="41"/>
        <v>120.208</v>
      </c>
      <c r="J505" s="14"/>
      <c r="K505" s="16"/>
    </row>
    <row r="506" spans="1:11" ht="12.6" customHeight="1" x14ac:dyDescent="0.2">
      <c r="A506" s="16"/>
      <c r="B506" s="19" t="s">
        <v>770</v>
      </c>
      <c r="C506" s="15"/>
      <c r="D506" s="15">
        <v>7.2999999999999995E-2</v>
      </c>
      <c r="E506" s="15">
        <f t="shared" si="40"/>
        <v>193.91899999999998</v>
      </c>
      <c r="F506" s="14"/>
      <c r="G506" s="15">
        <f t="shared" si="39"/>
        <v>0</v>
      </c>
      <c r="H506" s="14"/>
      <c r="I506" s="15">
        <f t="shared" si="41"/>
        <v>120.208</v>
      </c>
      <c r="J506" s="14"/>
      <c r="K506" s="13" t="s">
        <v>769</v>
      </c>
    </row>
    <row r="507" spans="1:11" ht="12.6" customHeight="1" x14ac:dyDescent="0.2">
      <c r="A507" s="13">
        <v>44564</v>
      </c>
      <c r="B507" s="19"/>
      <c r="C507" s="15">
        <v>2.5</v>
      </c>
      <c r="D507" s="14"/>
      <c r="E507" s="15">
        <f t="shared" si="40"/>
        <v>196.41899999999998</v>
      </c>
      <c r="F507" s="14"/>
      <c r="G507" s="15">
        <f t="shared" si="39"/>
        <v>2.5</v>
      </c>
      <c r="H507" s="14"/>
      <c r="I507" s="15">
        <f t="shared" si="41"/>
        <v>122.708</v>
      </c>
      <c r="J507" s="14"/>
      <c r="K507" s="16"/>
    </row>
    <row r="508" spans="1:11" ht="12.6" customHeight="1" x14ac:dyDescent="0.2">
      <c r="A508" s="13"/>
      <c r="B508" s="19" t="s">
        <v>52</v>
      </c>
      <c r="C508" s="15"/>
      <c r="D508" s="14"/>
      <c r="E508" s="15">
        <f t="shared" si="40"/>
        <v>196.41899999999998</v>
      </c>
      <c r="F508" s="14"/>
      <c r="G508" s="15">
        <f t="shared" si="39"/>
        <v>0</v>
      </c>
      <c r="H508" s="14">
        <v>2</v>
      </c>
      <c r="I508" s="15">
        <f t="shared" si="41"/>
        <v>120.708</v>
      </c>
      <c r="J508" s="14"/>
      <c r="K508" s="13" t="s">
        <v>771</v>
      </c>
    </row>
    <row r="509" spans="1:11" ht="12.6" customHeight="1" x14ac:dyDescent="0.2">
      <c r="A509" s="13"/>
      <c r="B509" s="19" t="s">
        <v>47</v>
      </c>
      <c r="C509" s="15"/>
      <c r="D509" s="14"/>
      <c r="E509" s="15">
        <f t="shared" si="40"/>
        <v>196.41899999999998</v>
      </c>
      <c r="F509" s="14"/>
      <c r="G509" s="15">
        <f t="shared" si="39"/>
        <v>0</v>
      </c>
      <c r="H509" s="14">
        <v>1</v>
      </c>
      <c r="I509" s="15">
        <f t="shared" si="41"/>
        <v>119.708</v>
      </c>
      <c r="J509" s="14"/>
      <c r="K509" s="13" t="s">
        <v>772</v>
      </c>
    </row>
    <row r="510" spans="1:11" ht="12.6" customHeight="1" x14ac:dyDescent="0.2">
      <c r="A510" s="13">
        <v>44565</v>
      </c>
      <c r="B510" s="19"/>
      <c r="C510" s="15">
        <v>1.25</v>
      </c>
      <c r="D510" s="14"/>
      <c r="E510" s="15">
        <f t="shared" si="40"/>
        <v>197.66899999999998</v>
      </c>
      <c r="F510" s="14"/>
      <c r="G510" s="15">
        <f t="shared" si="39"/>
        <v>1.25</v>
      </c>
      <c r="H510" s="14"/>
      <c r="I510" s="15">
        <f t="shared" si="41"/>
        <v>120.958</v>
      </c>
      <c r="J510" s="14"/>
      <c r="K510" s="16"/>
    </row>
    <row r="511" spans="1:11" ht="12.6" customHeight="1" x14ac:dyDescent="0.2">
      <c r="A511" s="13"/>
      <c r="B511" s="19" t="s">
        <v>74</v>
      </c>
      <c r="C511" s="15"/>
      <c r="D511" s="14">
        <v>1</v>
      </c>
      <c r="E511" s="15">
        <f t="shared" si="40"/>
        <v>196.66899999999998</v>
      </c>
      <c r="F511" s="14"/>
      <c r="G511" s="15">
        <f t="shared" si="39"/>
        <v>0</v>
      </c>
      <c r="H511" s="14"/>
      <c r="I511" s="15">
        <f t="shared" si="41"/>
        <v>120.958</v>
      </c>
      <c r="J511" s="14"/>
      <c r="K511" s="16" t="s">
        <v>773</v>
      </c>
    </row>
    <row r="512" spans="1:11" ht="12.6" customHeight="1" x14ac:dyDescent="0.2">
      <c r="A512" s="13"/>
      <c r="B512" s="19" t="s">
        <v>47</v>
      </c>
      <c r="C512" s="15"/>
      <c r="D512" s="14"/>
      <c r="E512" s="15">
        <f t="shared" si="40"/>
        <v>196.66899999999998</v>
      </c>
      <c r="F512" s="14"/>
      <c r="G512" s="15">
        <f t="shared" si="39"/>
        <v>0</v>
      </c>
      <c r="H512" s="14">
        <v>1</v>
      </c>
      <c r="I512" s="15">
        <f t="shared" si="41"/>
        <v>119.958</v>
      </c>
      <c r="J512" s="14"/>
      <c r="K512" s="16" t="s">
        <v>774</v>
      </c>
    </row>
    <row r="513" spans="1:11" ht="12.6" customHeight="1" x14ac:dyDescent="0.2">
      <c r="A513" s="19"/>
      <c r="B513" s="19"/>
      <c r="C513" s="36">
        <f>SUM(C487:C512)</f>
        <v>33.75</v>
      </c>
      <c r="D513" s="36">
        <f>SUM(D487:D512)</f>
        <v>16.007000000000001</v>
      </c>
      <c r="E513" s="36"/>
      <c r="F513" s="37"/>
      <c r="G513" s="36">
        <f>SUM(G487:G512)</f>
        <v>33.75</v>
      </c>
      <c r="H513" s="36">
        <f>SUM(H487:H512)</f>
        <v>11.5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CATAPANG, CRISPIN JR. D.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AUGUST 02, 1995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>
        <v>44566</v>
      </c>
      <c r="B526" s="19"/>
      <c r="C526" s="15">
        <v>1.25</v>
      </c>
      <c r="D526" s="14"/>
      <c r="E526" s="15">
        <f>E512+C526-D526</f>
        <v>197.91899999999998</v>
      </c>
      <c r="F526" s="14"/>
      <c r="G526" s="15">
        <f t="shared" ref="G526:G551" si="42">C526</f>
        <v>1.25</v>
      </c>
      <c r="H526" s="14"/>
      <c r="I526" s="15">
        <f>I512+G526-H526</f>
        <v>121.208</v>
      </c>
      <c r="J526" s="14"/>
      <c r="K526" s="16"/>
    </row>
    <row r="527" spans="1:11" ht="12.6" customHeight="1" x14ac:dyDescent="0.2">
      <c r="A527" s="13"/>
      <c r="B527" s="19" t="s">
        <v>95</v>
      </c>
      <c r="C527" s="15"/>
      <c r="D527" s="14">
        <v>3</v>
      </c>
      <c r="E527" s="15">
        <f>E526+C527-D527</f>
        <v>194.91899999999998</v>
      </c>
      <c r="F527" s="14"/>
      <c r="G527" s="15">
        <f t="shared" si="42"/>
        <v>0</v>
      </c>
      <c r="H527" s="14"/>
      <c r="I527" s="15">
        <f>I526+G527-H527</f>
        <v>121.208</v>
      </c>
      <c r="J527" s="14"/>
      <c r="K527" s="13" t="s">
        <v>775</v>
      </c>
    </row>
    <row r="528" spans="1:11" ht="12.6" customHeight="1" x14ac:dyDescent="0.2">
      <c r="A528" s="13">
        <v>44568</v>
      </c>
      <c r="B528" s="19"/>
      <c r="C528" s="15">
        <v>2.5</v>
      </c>
      <c r="D528" s="14"/>
      <c r="E528" s="15">
        <f t="shared" ref="E528:E551" si="43">E527+C528-D528</f>
        <v>197.41899999999998</v>
      </c>
      <c r="F528" s="14"/>
      <c r="G528" s="15">
        <f t="shared" si="42"/>
        <v>2.5</v>
      </c>
      <c r="H528" s="14"/>
      <c r="I528" s="15">
        <f t="shared" ref="I528:I551" si="44">I527+G528-H528</f>
        <v>123.708</v>
      </c>
      <c r="J528" s="14"/>
      <c r="K528" s="13"/>
    </row>
    <row r="529" spans="1:11" ht="12.6" customHeight="1" x14ac:dyDescent="0.2">
      <c r="A529" s="13"/>
      <c r="B529" s="19" t="s">
        <v>52</v>
      </c>
      <c r="C529" s="15"/>
      <c r="D529" s="14"/>
      <c r="E529" s="15">
        <f t="shared" si="43"/>
        <v>197.41899999999998</v>
      </c>
      <c r="F529" s="14"/>
      <c r="G529" s="15">
        <f t="shared" si="42"/>
        <v>0</v>
      </c>
      <c r="H529" s="14">
        <v>2</v>
      </c>
      <c r="I529" s="15">
        <f t="shared" si="44"/>
        <v>121.708</v>
      </c>
      <c r="J529" s="14"/>
      <c r="K529" s="16" t="s">
        <v>776</v>
      </c>
    </row>
    <row r="530" spans="1:11" ht="12.6" customHeight="1" x14ac:dyDescent="0.2">
      <c r="A530" s="13">
        <v>44569</v>
      </c>
      <c r="B530" s="19"/>
      <c r="C530" s="15">
        <v>1.25</v>
      </c>
      <c r="D530" s="14"/>
      <c r="E530" s="15">
        <f t="shared" si="43"/>
        <v>198.66899999999998</v>
      </c>
      <c r="F530" s="14"/>
      <c r="G530" s="15">
        <f t="shared" si="42"/>
        <v>1.25</v>
      </c>
      <c r="H530" s="14"/>
      <c r="I530" s="15">
        <f t="shared" si="44"/>
        <v>122.958</v>
      </c>
      <c r="J530" s="14"/>
      <c r="K530" s="13"/>
    </row>
    <row r="531" spans="1:11" ht="12.6" customHeight="1" x14ac:dyDescent="0.2">
      <c r="A531" s="13"/>
      <c r="B531" s="19" t="s">
        <v>67</v>
      </c>
      <c r="C531" s="15"/>
      <c r="D531" s="14"/>
      <c r="E531" s="15">
        <f t="shared" si="43"/>
        <v>198.66899999999998</v>
      </c>
      <c r="F531" s="14"/>
      <c r="G531" s="15">
        <f t="shared" si="42"/>
        <v>0</v>
      </c>
      <c r="H531" s="14">
        <v>3</v>
      </c>
      <c r="I531" s="15">
        <f t="shared" si="44"/>
        <v>119.958</v>
      </c>
      <c r="J531" s="14"/>
      <c r="K531" s="16" t="s">
        <v>777</v>
      </c>
    </row>
    <row r="532" spans="1:11" ht="12.6" customHeight="1" x14ac:dyDescent="0.2">
      <c r="A532" s="13">
        <v>44573</v>
      </c>
      <c r="B532" s="19"/>
      <c r="C532" s="15">
        <v>5</v>
      </c>
      <c r="D532" s="14"/>
      <c r="E532" s="15">
        <f t="shared" si="43"/>
        <v>203.66899999999998</v>
      </c>
      <c r="F532" s="14"/>
      <c r="G532" s="15">
        <f t="shared" si="42"/>
        <v>5</v>
      </c>
      <c r="H532" s="14"/>
      <c r="I532" s="15">
        <f t="shared" si="44"/>
        <v>124.958</v>
      </c>
      <c r="J532" s="14"/>
      <c r="K532" s="13"/>
    </row>
    <row r="533" spans="1:11" ht="12.6" customHeight="1" x14ac:dyDescent="0.2">
      <c r="A533" s="13"/>
      <c r="B533" s="19" t="s">
        <v>511</v>
      </c>
      <c r="C533" s="15"/>
      <c r="D533" s="14"/>
      <c r="E533" s="15">
        <f t="shared" si="43"/>
        <v>203.66899999999998</v>
      </c>
      <c r="F533" s="14"/>
      <c r="G533" s="15">
        <f t="shared" si="42"/>
        <v>0</v>
      </c>
      <c r="H533" s="14">
        <v>9</v>
      </c>
      <c r="I533" s="15">
        <f t="shared" si="44"/>
        <v>115.958</v>
      </c>
      <c r="J533" s="14"/>
      <c r="K533" s="13" t="s">
        <v>778</v>
      </c>
    </row>
    <row r="534" spans="1:11" ht="12.6" customHeight="1" x14ac:dyDescent="0.2">
      <c r="A534" s="13">
        <v>44927</v>
      </c>
      <c r="B534" s="19"/>
      <c r="C534" s="15">
        <v>1.25</v>
      </c>
      <c r="D534" s="14"/>
      <c r="E534" s="15">
        <f t="shared" si="43"/>
        <v>204.91899999999998</v>
      </c>
      <c r="F534" s="14"/>
      <c r="G534" s="15">
        <f t="shared" si="42"/>
        <v>1.25</v>
      </c>
      <c r="H534" s="14"/>
      <c r="I534" s="15">
        <f t="shared" si="44"/>
        <v>117.208</v>
      </c>
      <c r="J534" s="14"/>
      <c r="K534" s="16"/>
    </row>
    <row r="535" spans="1:11" ht="12.6" customHeight="1" x14ac:dyDescent="0.2">
      <c r="A535" s="13"/>
      <c r="B535" s="19" t="s">
        <v>57</v>
      </c>
      <c r="C535" s="15"/>
      <c r="D535" s="14">
        <v>1</v>
      </c>
      <c r="E535" s="15">
        <f t="shared" si="43"/>
        <v>203.91899999999998</v>
      </c>
      <c r="F535" s="14"/>
      <c r="G535" s="15">
        <f t="shared" si="42"/>
        <v>0</v>
      </c>
      <c r="H535" s="14"/>
      <c r="I535" s="15">
        <f t="shared" si="44"/>
        <v>117.208</v>
      </c>
      <c r="J535" s="14"/>
      <c r="K535" s="16" t="s">
        <v>779</v>
      </c>
    </row>
    <row r="536" spans="1:11" ht="12.6" customHeight="1" x14ac:dyDescent="0.2">
      <c r="A536" s="13"/>
      <c r="B536" s="19" t="s">
        <v>47</v>
      </c>
      <c r="C536" s="15"/>
      <c r="D536" s="14"/>
      <c r="E536" s="15">
        <f t="shared" si="43"/>
        <v>203.91899999999998</v>
      </c>
      <c r="F536" s="14"/>
      <c r="G536" s="15">
        <f t="shared" si="42"/>
        <v>0</v>
      </c>
      <c r="H536" s="14">
        <v>1</v>
      </c>
      <c r="I536" s="15">
        <f t="shared" si="44"/>
        <v>116.208</v>
      </c>
      <c r="J536" s="14"/>
      <c r="K536" s="16" t="s">
        <v>780</v>
      </c>
    </row>
    <row r="537" spans="1:11" ht="12.6" customHeight="1" x14ac:dyDescent="0.2">
      <c r="A537" s="13">
        <v>44929</v>
      </c>
      <c r="B537" s="19"/>
      <c r="C537" s="15">
        <v>2.5</v>
      </c>
      <c r="D537" s="14"/>
      <c r="E537" s="15">
        <f t="shared" si="43"/>
        <v>206.41899999999998</v>
      </c>
      <c r="F537" s="14"/>
      <c r="G537" s="15">
        <f t="shared" si="42"/>
        <v>2.5</v>
      </c>
      <c r="H537" s="14"/>
      <c r="I537" s="15">
        <f t="shared" si="44"/>
        <v>118.708</v>
      </c>
      <c r="J537" s="14"/>
      <c r="K537" s="13"/>
    </row>
    <row r="538" spans="1:11" ht="12.6" customHeight="1" x14ac:dyDescent="0.2">
      <c r="A538" s="13"/>
      <c r="B538" s="19" t="s">
        <v>67</v>
      </c>
      <c r="C538" s="15"/>
      <c r="D538" s="14"/>
      <c r="E538" s="15">
        <f t="shared" si="43"/>
        <v>206.41899999999998</v>
      </c>
      <c r="F538" s="14"/>
      <c r="G538" s="15">
        <f t="shared" si="42"/>
        <v>0</v>
      </c>
      <c r="H538" s="14">
        <v>3</v>
      </c>
      <c r="I538" s="15">
        <f t="shared" si="44"/>
        <v>115.708</v>
      </c>
      <c r="J538" s="14"/>
      <c r="K538" s="13" t="s">
        <v>781</v>
      </c>
    </row>
    <row r="539" spans="1:11" ht="12.6" customHeight="1" x14ac:dyDescent="0.2">
      <c r="A539" s="13"/>
      <c r="B539" s="19" t="s">
        <v>52</v>
      </c>
      <c r="C539" s="15"/>
      <c r="D539" s="14"/>
      <c r="E539" s="15">
        <f t="shared" si="43"/>
        <v>206.41899999999998</v>
      </c>
      <c r="F539" s="14"/>
      <c r="G539" s="15">
        <f t="shared" si="42"/>
        <v>0</v>
      </c>
      <c r="H539" s="14">
        <v>2</v>
      </c>
      <c r="I539" s="15">
        <f t="shared" si="44"/>
        <v>113.708</v>
      </c>
      <c r="J539" s="14"/>
      <c r="K539" s="13" t="s">
        <v>782</v>
      </c>
    </row>
    <row r="540" spans="1:11" ht="12.6" customHeight="1" x14ac:dyDescent="0.2">
      <c r="A540" s="13"/>
      <c r="B540" s="19" t="s">
        <v>67</v>
      </c>
      <c r="C540" s="15"/>
      <c r="D540" s="14"/>
      <c r="E540" s="15">
        <f t="shared" si="43"/>
        <v>206.41899999999998</v>
      </c>
      <c r="F540" s="14"/>
      <c r="G540" s="15">
        <f t="shared" si="42"/>
        <v>0</v>
      </c>
      <c r="H540" s="14">
        <v>3</v>
      </c>
      <c r="I540" s="15">
        <f t="shared" si="44"/>
        <v>110.708</v>
      </c>
      <c r="J540" s="14"/>
      <c r="K540" s="13" t="s">
        <v>783</v>
      </c>
    </row>
    <row r="541" spans="1:11" ht="12.6" customHeight="1" x14ac:dyDescent="0.2">
      <c r="A541" s="13">
        <v>44931</v>
      </c>
      <c r="B541" s="19"/>
      <c r="C541" s="15">
        <v>2.5</v>
      </c>
      <c r="D541" s="14"/>
      <c r="E541" s="15">
        <f t="shared" si="43"/>
        <v>208.91899999999998</v>
      </c>
      <c r="F541" s="14"/>
      <c r="G541" s="15">
        <f t="shared" si="42"/>
        <v>2.5</v>
      </c>
      <c r="H541" s="14"/>
      <c r="I541" s="15">
        <f t="shared" si="44"/>
        <v>113.208</v>
      </c>
      <c r="J541" s="14"/>
      <c r="K541" s="13"/>
    </row>
    <row r="542" spans="1:11" ht="12.6" customHeight="1" x14ac:dyDescent="0.2">
      <c r="A542" s="16"/>
      <c r="B542" s="19" t="s">
        <v>47</v>
      </c>
      <c r="C542" s="15"/>
      <c r="D542" s="14"/>
      <c r="E542" s="15">
        <f t="shared" si="43"/>
        <v>208.91899999999998</v>
      </c>
      <c r="F542" s="14"/>
      <c r="G542" s="15">
        <f t="shared" si="42"/>
        <v>0</v>
      </c>
      <c r="H542" s="14">
        <v>1</v>
      </c>
      <c r="I542" s="15">
        <f t="shared" si="44"/>
        <v>112.208</v>
      </c>
      <c r="J542" s="14"/>
      <c r="K542" s="13" t="s">
        <v>784</v>
      </c>
    </row>
    <row r="543" spans="1:11" ht="12.6" customHeight="1" x14ac:dyDescent="0.2">
      <c r="A543" s="13">
        <v>44932</v>
      </c>
      <c r="B543" s="19"/>
      <c r="C543" s="15">
        <v>1.25</v>
      </c>
      <c r="D543" s="15"/>
      <c r="E543" s="15">
        <f t="shared" si="43"/>
        <v>210.16899999999998</v>
      </c>
      <c r="F543" s="14"/>
      <c r="G543" s="15">
        <f t="shared" si="42"/>
        <v>1.25</v>
      </c>
      <c r="H543" s="14"/>
      <c r="I543" s="15">
        <f t="shared" si="44"/>
        <v>113.458</v>
      </c>
      <c r="J543" s="14"/>
      <c r="K543" s="13"/>
    </row>
    <row r="544" spans="1:11" ht="12.6" customHeight="1" x14ac:dyDescent="0.2">
      <c r="A544" s="13"/>
      <c r="B544" s="19" t="s">
        <v>47</v>
      </c>
      <c r="C544" s="15"/>
      <c r="D544" s="14"/>
      <c r="E544" s="15">
        <f t="shared" si="43"/>
        <v>210.16899999999998</v>
      </c>
      <c r="F544" s="14"/>
      <c r="G544" s="15">
        <f t="shared" si="42"/>
        <v>0</v>
      </c>
      <c r="H544" s="14">
        <v>1</v>
      </c>
      <c r="I544" s="15">
        <f t="shared" si="44"/>
        <v>112.458</v>
      </c>
      <c r="J544" s="14"/>
      <c r="K544" s="13">
        <v>45052</v>
      </c>
    </row>
    <row r="545" spans="1:11" ht="12.6" customHeight="1" x14ac:dyDescent="0.2">
      <c r="A545" s="13">
        <v>44934</v>
      </c>
      <c r="B545" s="19"/>
      <c r="C545" s="15">
        <v>2.5</v>
      </c>
      <c r="D545" s="15"/>
      <c r="E545" s="15">
        <f t="shared" si="43"/>
        <v>212.66899999999998</v>
      </c>
      <c r="F545" s="14"/>
      <c r="G545" s="15">
        <f t="shared" si="42"/>
        <v>2.5</v>
      </c>
      <c r="H545" s="14"/>
      <c r="I545" s="15">
        <f t="shared" si="44"/>
        <v>114.958</v>
      </c>
      <c r="J545" s="14"/>
      <c r="K545" s="13"/>
    </row>
    <row r="546" spans="1:11" ht="12.6" customHeight="1" x14ac:dyDescent="0.2">
      <c r="A546" s="13"/>
      <c r="B546" s="19" t="s">
        <v>47</v>
      </c>
      <c r="C546" s="15"/>
      <c r="D546" s="14"/>
      <c r="E546" s="15">
        <f t="shared" si="43"/>
        <v>212.66899999999998</v>
      </c>
      <c r="F546" s="14"/>
      <c r="G546" s="15">
        <f t="shared" si="42"/>
        <v>0</v>
      </c>
      <c r="H546" s="14">
        <v>1</v>
      </c>
      <c r="I546" s="15">
        <f t="shared" si="44"/>
        <v>113.958</v>
      </c>
      <c r="J546" s="14"/>
      <c r="K546" s="13">
        <v>44965</v>
      </c>
    </row>
    <row r="547" spans="1:11" ht="12.6" customHeight="1" x14ac:dyDescent="0.2">
      <c r="A547" s="13"/>
      <c r="B547" s="19" t="s">
        <v>47</v>
      </c>
      <c r="C547" s="15"/>
      <c r="D547" s="14"/>
      <c r="E547" s="15">
        <f t="shared" si="43"/>
        <v>212.66899999999998</v>
      </c>
      <c r="F547" s="14"/>
      <c r="G547" s="15">
        <f t="shared" si="42"/>
        <v>0</v>
      </c>
      <c r="H547" s="14">
        <v>1</v>
      </c>
      <c r="I547" s="15">
        <f t="shared" si="44"/>
        <v>112.958</v>
      </c>
      <c r="J547" s="14"/>
      <c r="K547" s="13" t="s">
        <v>785</v>
      </c>
    </row>
    <row r="548" spans="1:11" ht="12.6" customHeight="1" x14ac:dyDescent="0.2">
      <c r="A548" s="13">
        <v>44935</v>
      </c>
      <c r="B548" s="19"/>
      <c r="C548" s="15">
        <v>1.25</v>
      </c>
      <c r="D548" s="14"/>
      <c r="E548" s="15">
        <f t="shared" si="43"/>
        <v>213.91899999999998</v>
      </c>
      <c r="F548" s="14"/>
      <c r="G548" s="15">
        <f t="shared" si="42"/>
        <v>1.25</v>
      </c>
      <c r="H548" s="14"/>
      <c r="I548" s="15">
        <f t="shared" si="44"/>
        <v>114.208</v>
      </c>
      <c r="J548" s="14"/>
      <c r="K548" s="13"/>
    </row>
    <row r="549" spans="1:11" ht="12.6" customHeight="1" x14ac:dyDescent="0.2">
      <c r="A549" s="13"/>
      <c r="B549" s="19" t="s">
        <v>47</v>
      </c>
      <c r="C549" s="15"/>
      <c r="D549" s="14"/>
      <c r="E549" s="15">
        <f t="shared" si="43"/>
        <v>213.91899999999998</v>
      </c>
      <c r="F549" s="14"/>
      <c r="G549" s="15">
        <f t="shared" si="42"/>
        <v>0</v>
      </c>
      <c r="H549" s="14">
        <v>1</v>
      </c>
      <c r="I549" s="15">
        <f t="shared" si="44"/>
        <v>113.208</v>
      </c>
      <c r="J549" s="14"/>
      <c r="K549" s="13">
        <v>45239</v>
      </c>
    </row>
    <row r="550" spans="1:11" ht="12.6" customHeight="1" x14ac:dyDescent="0.2">
      <c r="A550" s="13">
        <v>44936</v>
      </c>
      <c r="B550" s="19"/>
      <c r="C550" s="15">
        <v>1.25</v>
      </c>
      <c r="D550" s="14"/>
      <c r="E550" s="15">
        <f t="shared" si="43"/>
        <v>215.16899999999998</v>
      </c>
      <c r="F550" s="14"/>
      <c r="G550" s="15">
        <f t="shared" si="42"/>
        <v>1.25</v>
      </c>
      <c r="H550" s="14"/>
      <c r="I550" s="15">
        <f t="shared" si="44"/>
        <v>114.458</v>
      </c>
      <c r="J550" s="14"/>
      <c r="K550" s="16"/>
    </row>
    <row r="551" spans="1:11" ht="12.6" customHeight="1" x14ac:dyDescent="0.2">
      <c r="A551" s="13"/>
      <c r="B551" s="19" t="s">
        <v>95</v>
      </c>
      <c r="C551" s="15"/>
      <c r="D551" s="14">
        <v>3</v>
      </c>
      <c r="E551" s="15">
        <f t="shared" si="43"/>
        <v>212.16899999999998</v>
      </c>
      <c r="F551" s="14"/>
      <c r="G551" s="15">
        <f t="shared" si="42"/>
        <v>0</v>
      </c>
      <c r="H551" s="14"/>
      <c r="I551" s="15">
        <f t="shared" si="44"/>
        <v>114.458</v>
      </c>
      <c r="J551" s="14"/>
      <c r="K551" s="16" t="s">
        <v>786</v>
      </c>
    </row>
    <row r="552" spans="1:11" ht="12.6" customHeight="1" x14ac:dyDescent="0.2">
      <c r="A552" s="19"/>
      <c r="B552" s="19"/>
      <c r="C552" s="36">
        <f>SUM(C526:C551)</f>
        <v>22.5</v>
      </c>
      <c r="D552" s="36">
        <f>SUM(D526:D551)</f>
        <v>7</v>
      </c>
      <c r="E552" s="36"/>
      <c r="F552" s="37"/>
      <c r="G552" s="36">
        <f>SUM(G526:G551)</f>
        <v>22.5</v>
      </c>
      <c r="H552" s="36">
        <f>SUM(H526:H551)</f>
        <v>28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4" spans="1:11" ht="12.6" customHeight="1" x14ac:dyDescent="0.2"/>
    <row r="555" spans="1:11" ht="12.6" customHeight="1" x14ac:dyDescent="0.2">
      <c r="A555" s="102" t="str">
        <f>A37</f>
        <v>CATAPANG, CRISPIN JR. D.</v>
      </c>
      <c r="B555" s="102"/>
      <c r="C555" s="102"/>
      <c r="D555" s="102"/>
      <c r="E555" s="102"/>
      <c r="F555" s="102"/>
      <c r="G555" s="102"/>
      <c r="H555" s="1"/>
      <c r="I555" s="103" t="s">
        <v>0</v>
      </c>
      <c r="J555" s="103"/>
      <c r="K555" s="2" t="str">
        <f>K37</f>
        <v>AUGUST 02, 1995</v>
      </c>
    </row>
    <row r="556" spans="1:11" ht="12.6" customHeight="1" x14ac:dyDescent="0.2"/>
    <row r="557" spans="1:11" ht="12.6" customHeight="1" x14ac:dyDescent="0.2">
      <c r="A557" s="104" t="s">
        <v>1</v>
      </c>
      <c r="B557" s="104" t="s">
        <v>2</v>
      </c>
      <c r="C557" s="107" t="s">
        <v>3</v>
      </c>
      <c r="D557" s="108"/>
      <c r="E557" s="108"/>
      <c r="F557" s="109"/>
      <c r="G557" s="107" t="s">
        <v>4</v>
      </c>
      <c r="H557" s="108"/>
      <c r="I557" s="108"/>
      <c r="J557" s="109"/>
      <c r="K557" s="4"/>
    </row>
    <row r="558" spans="1:11" ht="12.6" customHeight="1" x14ac:dyDescent="0.2">
      <c r="A558" s="105"/>
      <c r="B558" s="105"/>
      <c r="C558" s="94" t="s">
        <v>6</v>
      </c>
      <c r="D558" s="5" t="s">
        <v>7</v>
      </c>
      <c r="E558" s="94" t="s">
        <v>8</v>
      </c>
      <c r="F558" s="6" t="s">
        <v>7</v>
      </c>
      <c r="G558" s="94" t="s">
        <v>6</v>
      </c>
      <c r="H558" s="5" t="s">
        <v>7</v>
      </c>
      <c r="I558" s="94" t="s">
        <v>8</v>
      </c>
      <c r="J558" s="1" t="s">
        <v>7</v>
      </c>
      <c r="K558" s="7"/>
    </row>
    <row r="559" spans="1:11" ht="12.6" customHeight="1" x14ac:dyDescent="0.2">
      <c r="A559" s="105"/>
      <c r="B559" s="105"/>
      <c r="C559" s="95"/>
      <c r="D559" s="8" t="s">
        <v>10</v>
      </c>
      <c r="E559" s="95"/>
      <c r="F559" s="6" t="s">
        <v>10</v>
      </c>
      <c r="G559" s="95"/>
      <c r="H559" s="8" t="s">
        <v>10</v>
      </c>
      <c r="I559" s="95"/>
      <c r="J559" s="1" t="s">
        <v>10</v>
      </c>
      <c r="K559" s="7"/>
    </row>
    <row r="560" spans="1:11" ht="12.6" customHeight="1" x14ac:dyDescent="0.2">
      <c r="A560" s="106"/>
      <c r="B560" s="106"/>
      <c r="C560" s="96"/>
      <c r="D560" s="9" t="s">
        <v>12</v>
      </c>
      <c r="E560" s="96"/>
      <c r="F560" s="10" t="s">
        <v>13</v>
      </c>
      <c r="G560" s="96"/>
      <c r="H560" s="9" t="s">
        <v>12</v>
      </c>
      <c r="I560" s="96"/>
      <c r="J560" s="11" t="s">
        <v>13</v>
      </c>
      <c r="K560" s="12"/>
    </row>
    <row r="561" spans="1:11" ht="12.6" customHeight="1" x14ac:dyDescent="0.2">
      <c r="A561" s="13"/>
      <c r="B561" s="19" t="s">
        <v>47</v>
      </c>
      <c r="C561" s="15"/>
      <c r="D561" s="14"/>
      <c r="E561" s="15">
        <f>SUM(E551+C561-D561)</f>
        <v>212.16899999999998</v>
      </c>
      <c r="F561" s="14"/>
      <c r="G561" s="15">
        <f t="shared" ref="G561:G586" si="45">C561</f>
        <v>0</v>
      </c>
      <c r="H561" s="14">
        <v>1</v>
      </c>
      <c r="I561" s="15">
        <f>SUM(I551+G561-H561)</f>
        <v>113.458</v>
      </c>
      <c r="J561" s="14"/>
      <c r="K561" s="16" t="s">
        <v>787</v>
      </c>
    </row>
    <row r="562" spans="1:11" ht="12.6" customHeight="1" x14ac:dyDescent="0.2">
      <c r="A562" s="13">
        <v>44938</v>
      </c>
      <c r="B562" s="19"/>
      <c r="C562" s="15">
        <v>2.5</v>
      </c>
      <c r="D562" s="14"/>
      <c r="E562" s="15">
        <f>E561+C562-D562</f>
        <v>214.66899999999998</v>
      </c>
      <c r="F562" s="14"/>
      <c r="G562" s="15">
        <f t="shared" si="45"/>
        <v>2.5</v>
      </c>
      <c r="H562" s="14"/>
      <c r="I562" s="15">
        <f>I561+G562-H562</f>
        <v>115.958</v>
      </c>
      <c r="J562" s="14"/>
      <c r="K562" s="13"/>
    </row>
    <row r="563" spans="1:11" ht="12.6" customHeight="1" x14ac:dyDescent="0.2">
      <c r="A563" s="13"/>
      <c r="B563" s="19" t="s">
        <v>52</v>
      </c>
      <c r="C563" s="15"/>
      <c r="D563" s="14">
        <v>2</v>
      </c>
      <c r="E563" s="15">
        <f t="shared" ref="E563:E586" si="46">E562+C563-D563</f>
        <v>212.66899999999998</v>
      </c>
      <c r="F563" s="14"/>
      <c r="G563" s="15">
        <f t="shared" si="45"/>
        <v>0</v>
      </c>
      <c r="H563" s="14"/>
      <c r="I563" s="15">
        <f t="shared" ref="I563:I586" si="47">I562+G563-H563</f>
        <v>115.958</v>
      </c>
      <c r="J563" s="14"/>
      <c r="K563" s="13" t="s">
        <v>788</v>
      </c>
    </row>
    <row r="564" spans="1:11" ht="12.6" customHeight="1" x14ac:dyDescent="0.2">
      <c r="A564" s="13"/>
      <c r="B564" s="19" t="s">
        <v>90</v>
      </c>
      <c r="C564" s="15"/>
      <c r="D564" s="14"/>
      <c r="E564" s="15">
        <f t="shared" si="46"/>
        <v>212.66899999999998</v>
      </c>
      <c r="F564" s="14"/>
      <c r="G564" s="15">
        <f t="shared" si="45"/>
        <v>0</v>
      </c>
      <c r="H564" s="14"/>
      <c r="I564" s="15">
        <f t="shared" si="47"/>
        <v>115.958</v>
      </c>
      <c r="J564" s="14"/>
      <c r="K564" s="16" t="s">
        <v>789</v>
      </c>
    </row>
    <row r="565" spans="1:11" ht="12.6" customHeight="1" x14ac:dyDescent="0.2">
      <c r="A565" s="13"/>
      <c r="B565" s="19" t="s">
        <v>47</v>
      </c>
      <c r="C565" s="15"/>
      <c r="D565" s="14"/>
      <c r="E565" s="15">
        <f t="shared" si="46"/>
        <v>212.66899999999998</v>
      </c>
      <c r="F565" s="14"/>
      <c r="G565" s="15">
        <f t="shared" si="45"/>
        <v>0</v>
      </c>
      <c r="H565" s="14">
        <v>1</v>
      </c>
      <c r="I565" s="15">
        <f t="shared" si="47"/>
        <v>114.958</v>
      </c>
      <c r="J565" s="14"/>
      <c r="K565" s="13" t="s">
        <v>790</v>
      </c>
    </row>
    <row r="566" spans="1:11" ht="12.6" customHeight="1" x14ac:dyDescent="0.2">
      <c r="A566" s="13">
        <v>45292</v>
      </c>
      <c r="B566" s="19"/>
      <c r="C566" s="15">
        <v>1.25</v>
      </c>
      <c r="D566" s="14"/>
      <c r="E566" s="15">
        <f t="shared" si="46"/>
        <v>213.91899999999998</v>
      </c>
      <c r="F566" s="14"/>
      <c r="G566" s="15">
        <f t="shared" si="45"/>
        <v>1.25</v>
      </c>
      <c r="H566" s="14"/>
      <c r="I566" s="15">
        <f t="shared" si="47"/>
        <v>116.208</v>
      </c>
      <c r="J566" s="14"/>
      <c r="K566" s="16"/>
    </row>
    <row r="567" spans="1:11" ht="12.6" customHeight="1" x14ac:dyDescent="0.2">
      <c r="A567" s="13"/>
      <c r="B567" s="19" t="s">
        <v>792</v>
      </c>
      <c r="C567" s="15"/>
      <c r="D567" s="14">
        <v>0.05</v>
      </c>
      <c r="E567" s="15">
        <f t="shared" si="46"/>
        <v>213.86899999999997</v>
      </c>
      <c r="F567" s="14"/>
      <c r="G567" s="15">
        <f t="shared" si="45"/>
        <v>0</v>
      </c>
      <c r="H567" s="14"/>
      <c r="I567" s="15">
        <f t="shared" si="47"/>
        <v>116.208</v>
      </c>
      <c r="J567" s="14"/>
      <c r="K567" s="13" t="s">
        <v>791</v>
      </c>
    </row>
    <row r="568" spans="1:11" ht="12.6" customHeight="1" x14ac:dyDescent="0.2">
      <c r="A568" s="13">
        <v>45293</v>
      </c>
      <c r="B568" s="19"/>
      <c r="C568" s="15">
        <v>1.25</v>
      </c>
      <c r="D568" s="14"/>
      <c r="E568" s="15">
        <f t="shared" si="46"/>
        <v>215.11899999999997</v>
      </c>
      <c r="F568" s="14"/>
      <c r="G568" s="15">
        <f t="shared" si="45"/>
        <v>1.25</v>
      </c>
      <c r="H568" s="14"/>
      <c r="I568" s="15">
        <f t="shared" si="47"/>
        <v>117.458</v>
      </c>
      <c r="J568" s="14"/>
      <c r="K568" s="13"/>
    </row>
    <row r="569" spans="1:11" ht="12.6" customHeight="1" x14ac:dyDescent="0.2">
      <c r="A569" s="13"/>
      <c r="B569" s="19" t="s">
        <v>47</v>
      </c>
      <c r="C569" s="15"/>
      <c r="D569" s="14"/>
      <c r="E569" s="15">
        <f t="shared" si="46"/>
        <v>215.11899999999997</v>
      </c>
      <c r="F569" s="14"/>
      <c r="G569" s="15">
        <f t="shared" si="45"/>
        <v>0</v>
      </c>
      <c r="H569" s="14">
        <v>1</v>
      </c>
      <c r="I569" s="15">
        <f t="shared" si="47"/>
        <v>116.458</v>
      </c>
      <c r="J569" s="14"/>
      <c r="K569" s="16" t="s">
        <v>795</v>
      </c>
    </row>
    <row r="570" spans="1:11" ht="12.6" customHeight="1" x14ac:dyDescent="0.2">
      <c r="A570" s="13"/>
      <c r="B570" s="19" t="s">
        <v>67</v>
      </c>
      <c r="C570" s="15"/>
      <c r="D570" s="14"/>
      <c r="E570" s="15">
        <f t="shared" si="46"/>
        <v>215.11899999999997</v>
      </c>
      <c r="F570" s="14"/>
      <c r="G570" s="15">
        <f t="shared" si="45"/>
        <v>0</v>
      </c>
      <c r="H570" s="14">
        <v>3</v>
      </c>
      <c r="I570" s="15">
        <f t="shared" si="47"/>
        <v>113.458</v>
      </c>
      <c r="J570" s="14"/>
      <c r="K570" s="16" t="s">
        <v>796</v>
      </c>
    </row>
    <row r="571" spans="1:11" ht="12.6" customHeight="1" x14ac:dyDescent="0.2">
      <c r="A571" s="13">
        <v>45295</v>
      </c>
      <c r="B571" s="19"/>
      <c r="C571" s="15">
        <v>2.5</v>
      </c>
      <c r="D571" s="14"/>
      <c r="E571" s="15">
        <f t="shared" si="46"/>
        <v>217.61899999999997</v>
      </c>
      <c r="F571" s="14"/>
      <c r="G571" s="15">
        <f t="shared" si="45"/>
        <v>2.5</v>
      </c>
      <c r="H571" s="14"/>
      <c r="I571" s="15">
        <f t="shared" si="47"/>
        <v>115.958</v>
      </c>
      <c r="J571" s="14"/>
      <c r="K571" s="16"/>
    </row>
    <row r="572" spans="1:11" ht="12.6" customHeight="1" x14ac:dyDescent="0.2">
      <c r="A572" s="13"/>
      <c r="B572" s="19" t="s">
        <v>47</v>
      </c>
      <c r="C572" s="15"/>
      <c r="D572" s="14"/>
      <c r="E572" s="15">
        <f t="shared" si="46"/>
        <v>217.61899999999997</v>
      </c>
      <c r="F572" s="14"/>
      <c r="G572" s="15">
        <f t="shared" si="45"/>
        <v>0</v>
      </c>
      <c r="H572" s="14">
        <v>1</v>
      </c>
      <c r="I572" s="15">
        <f t="shared" si="47"/>
        <v>114.958</v>
      </c>
      <c r="J572" s="14"/>
      <c r="K572" s="13">
        <v>45295</v>
      </c>
    </row>
    <row r="573" spans="1:11" ht="12.6" customHeight="1" x14ac:dyDescent="0.2">
      <c r="A573" s="13">
        <v>45296</v>
      </c>
      <c r="B573" s="19"/>
      <c r="C573" s="15">
        <v>1.25</v>
      </c>
      <c r="D573" s="14"/>
      <c r="E573" s="15">
        <f t="shared" si="46"/>
        <v>218.86899999999997</v>
      </c>
      <c r="F573" s="14"/>
      <c r="G573" s="15">
        <f t="shared" si="45"/>
        <v>1.25</v>
      </c>
      <c r="H573" s="14"/>
      <c r="I573" s="15">
        <f t="shared" si="47"/>
        <v>116.208</v>
      </c>
      <c r="J573" s="14"/>
      <c r="K573" s="13"/>
    </row>
    <row r="574" spans="1:11" ht="12.6" customHeight="1" x14ac:dyDescent="0.2">
      <c r="A574" s="13"/>
      <c r="B574" s="19" t="s">
        <v>67</v>
      </c>
      <c r="C574" s="15"/>
      <c r="D574" s="14"/>
      <c r="E574" s="15">
        <f t="shared" si="46"/>
        <v>218.86899999999997</v>
      </c>
      <c r="F574" s="14"/>
      <c r="G574" s="15">
        <f t="shared" si="45"/>
        <v>0</v>
      </c>
      <c r="H574" s="14">
        <v>3</v>
      </c>
      <c r="I574" s="15">
        <f t="shared" si="47"/>
        <v>113.208</v>
      </c>
      <c r="J574" s="14"/>
      <c r="K574" s="13" t="s">
        <v>797</v>
      </c>
    </row>
    <row r="575" spans="1:11" ht="12.6" customHeight="1" x14ac:dyDescent="0.2">
      <c r="A575" s="13"/>
      <c r="B575" s="19" t="s">
        <v>144</v>
      </c>
      <c r="C575" s="15"/>
      <c r="D575" s="14"/>
      <c r="E575" s="15">
        <f t="shared" si="46"/>
        <v>218.86899999999997</v>
      </c>
      <c r="F575" s="14"/>
      <c r="G575" s="15">
        <f t="shared" si="45"/>
        <v>0</v>
      </c>
      <c r="H575" s="14">
        <v>1.5</v>
      </c>
      <c r="I575" s="15">
        <f t="shared" si="47"/>
        <v>111.708</v>
      </c>
      <c r="J575" s="14"/>
      <c r="K575" s="13" t="s">
        <v>798</v>
      </c>
    </row>
    <row r="576" spans="1:11" ht="12.6" customHeight="1" x14ac:dyDescent="0.2">
      <c r="A576" s="13"/>
      <c r="B576" s="19" t="s">
        <v>47</v>
      </c>
      <c r="C576" s="15"/>
      <c r="D576" s="14"/>
      <c r="E576" s="15">
        <f t="shared" si="46"/>
        <v>218.86899999999997</v>
      </c>
      <c r="F576" s="14"/>
      <c r="G576" s="15">
        <f t="shared" si="45"/>
        <v>0</v>
      </c>
      <c r="H576" s="14">
        <v>1</v>
      </c>
      <c r="I576" s="15">
        <f t="shared" si="47"/>
        <v>110.708</v>
      </c>
      <c r="J576" s="14"/>
      <c r="K576" s="13" t="s">
        <v>799</v>
      </c>
    </row>
    <row r="577" spans="1:11" ht="12.6" customHeight="1" x14ac:dyDescent="0.2">
      <c r="A577" s="13">
        <v>45297</v>
      </c>
      <c r="B577" s="19"/>
      <c r="C577" s="15">
        <v>1.25</v>
      </c>
      <c r="D577" s="14"/>
      <c r="E577" s="15">
        <f t="shared" si="46"/>
        <v>220.11899999999997</v>
      </c>
      <c r="F577" s="14"/>
      <c r="G577" s="15">
        <f t="shared" si="45"/>
        <v>1.25</v>
      </c>
      <c r="H577" s="14"/>
      <c r="I577" s="15">
        <f t="shared" si="47"/>
        <v>111.958</v>
      </c>
      <c r="J577" s="14"/>
      <c r="K577" s="13"/>
    </row>
    <row r="578" spans="1:11" ht="12.6" customHeight="1" x14ac:dyDescent="0.2">
      <c r="A578" s="13"/>
      <c r="B578" s="19" t="s">
        <v>47</v>
      </c>
      <c r="C578" s="15"/>
      <c r="D578" s="15"/>
      <c r="E578" s="15">
        <f t="shared" si="46"/>
        <v>220.11899999999997</v>
      </c>
      <c r="F578" s="14"/>
      <c r="G578" s="15">
        <f t="shared" si="45"/>
        <v>0</v>
      </c>
      <c r="H578" s="14">
        <v>1</v>
      </c>
      <c r="I578" s="15">
        <f t="shared" si="47"/>
        <v>110.958</v>
      </c>
      <c r="J578" s="14"/>
      <c r="K578" s="13">
        <v>45357</v>
      </c>
    </row>
    <row r="579" spans="1:11" ht="12.6" customHeight="1" x14ac:dyDescent="0.2">
      <c r="A579" s="13"/>
      <c r="B579" s="19" t="s">
        <v>52</v>
      </c>
      <c r="C579" s="15"/>
      <c r="D579" s="14"/>
      <c r="E579" s="15">
        <f t="shared" si="46"/>
        <v>220.11899999999997</v>
      </c>
      <c r="F579" s="14"/>
      <c r="G579" s="15">
        <f t="shared" si="45"/>
        <v>0</v>
      </c>
      <c r="H579" s="14">
        <v>2</v>
      </c>
      <c r="I579" s="15">
        <f t="shared" si="47"/>
        <v>108.958</v>
      </c>
      <c r="J579" s="14"/>
      <c r="K579" s="13" t="s">
        <v>800</v>
      </c>
    </row>
    <row r="580" spans="1:11" ht="12.6" customHeight="1" x14ac:dyDescent="0.2">
      <c r="A580" s="13">
        <v>45298</v>
      </c>
      <c r="B580" s="19"/>
      <c r="C580" s="15">
        <v>1.25</v>
      </c>
      <c r="D580" s="15"/>
      <c r="E580" s="15">
        <f t="shared" si="46"/>
        <v>221.36899999999997</v>
      </c>
      <c r="F580" s="14"/>
      <c r="G580" s="15">
        <f t="shared" si="45"/>
        <v>1.25</v>
      </c>
      <c r="H580" s="14"/>
      <c r="I580" s="15">
        <f t="shared" si="47"/>
        <v>110.208</v>
      </c>
      <c r="J580" s="14"/>
      <c r="K580" s="13"/>
    </row>
    <row r="581" spans="1:11" ht="12.6" customHeight="1" x14ac:dyDescent="0.2">
      <c r="A581" s="13"/>
      <c r="B581" s="19" t="s">
        <v>47</v>
      </c>
      <c r="C581" s="15"/>
      <c r="D581" s="14"/>
      <c r="E581" s="15">
        <f t="shared" si="46"/>
        <v>221.36899999999997</v>
      </c>
      <c r="F581" s="14"/>
      <c r="G581" s="15">
        <f t="shared" si="45"/>
        <v>0</v>
      </c>
      <c r="H581" s="14">
        <v>1</v>
      </c>
      <c r="I581" s="15">
        <f t="shared" si="47"/>
        <v>109.208</v>
      </c>
      <c r="J581" s="14"/>
      <c r="K581" s="13" t="s">
        <v>801</v>
      </c>
    </row>
    <row r="582" spans="1:11" ht="12.6" customHeight="1" x14ac:dyDescent="0.2">
      <c r="A582" s="13">
        <v>45301</v>
      </c>
      <c r="B582" s="19"/>
      <c r="C582" s="15">
        <v>3.75</v>
      </c>
      <c r="D582" s="14"/>
      <c r="E582" s="15">
        <f t="shared" si="46"/>
        <v>225.11899999999997</v>
      </c>
      <c r="F582" s="14"/>
      <c r="G582" s="15">
        <f t="shared" si="45"/>
        <v>3.75</v>
      </c>
      <c r="H582" s="14"/>
      <c r="I582" s="15">
        <f t="shared" si="47"/>
        <v>112.958</v>
      </c>
      <c r="J582" s="14"/>
      <c r="K582" s="13"/>
    </row>
    <row r="583" spans="1:11" ht="12.6" customHeight="1" x14ac:dyDescent="0.2">
      <c r="A583" s="13"/>
      <c r="B583" s="19" t="s">
        <v>67</v>
      </c>
      <c r="C583" s="15"/>
      <c r="D583" s="14"/>
      <c r="E583" s="15">
        <f t="shared" si="46"/>
        <v>225.11899999999997</v>
      </c>
      <c r="F583" s="14"/>
      <c r="G583" s="15">
        <f t="shared" si="45"/>
        <v>0</v>
      </c>
      <c r="H583" s="14">
        <v>3</v>
      </c>
      <c r="I583" s="15">
        <f t="shared" si="47"/>
        <v>109.958</v>
      </c>
      <c r="J583" s="14"/>
      <c r="K583" s="13" t="s">
        <v>802</v>
      </c>
    </row>
    <row r="584" spans="1:11" ht="12.6" customHeight="1" x14ac:dyDescent="0.2">
      <c r="A584" s="13"/>
      <c r="B584" s="19" t="s">
        <v>47</v>
      </c>
      <c r="C584" s="15"/>
      <c r="D584" s="14"/>
      <c r="E584" s="15">
        <f t="shared" si="46"/>
        <v>225.11899999999997</v>
      </c>
      <c r="F584" s="14"/>
      <c r="G584" s="15">
        <f t="shared" si="45"/>
        <v>0</v>
      </c>
      <c r="H584" s="14">
        <v>1</v>
      </c>
      <c r="I584" s="15">
        <f t="shared" si="47"/>
        <v>108.958</v>
      </c>
      <c r="J584" s="14"/>
      <c r="K584" s="13" t="s">
        <v>803</v>
      </c>
    </row>
    <row r="585" spans="1:11" ht="12.6" customHeight="1" x14ac:dyDescent="0.2">
      <c r="A585" s="13">
        <v>45303</v>
      </c>
      <c r="B585" s="19"/>
      <c r="C585" s="15">
        <v>2.5</v>
      </c>
      <c r="D585" s="14"/>
      <c r="E585" s="15">
        <f t="shared" si="46"/>
        <v>227.61899999999997</v>
      </c>
      <c r="F585" s="14"/>
      <c r="G585" s="15">
        <f t="shared" si="45"/>
        <v>2.5</v>
      </c>
      <c r="H585" s="14"/>
      <c r="I585" s="15">
        <f t="shared" si="47"/>
        <v>111.458</v>
      </c>
      <c r="J585" s="14"/>
      <c r="K585" s="16"/>
    </row>
    <row r="586" spans="1:11" ht="12.6" customHeight="1" x14ac:dyDescent="0.2">
      <c r="A586" s="13"/>
      <c r="B586" s="19" t="s">
        <v>65</v>
      </c>
      <c r="C586" s="15"/>
      <c r="D586" s="14">
        <v>5</v>
      </c>
      <c r="E586" s="15">
        <f t="shared" si="46"/>
        <v>222.61899999999997</v>
      </c>
      <c r="F586" s="14"/>
      <c r="G586" s="15">
        <f t="shared" si="45"/>
        <v>0</v>
      </c>
      <c r="H586" s="14"/>
      <c r="I586" s="15">
        <f t="shared" si="47"/>
        <v>111.458</v>
      </c>
      <c r="J586" s="14"/>
      <c r="K586" s="16" t="s">
        <v>804</v>
      </c>
    </row>
    <row r="587" spans="1:11" ht="12.6" customHeight="1" x14ac:dyDescent="0.2">
      <c r="A587" s="19"/>
      <c r="B587" s="19"/>
      <c r="C587" s="36">
        <f>SUM(C561:C586)</f>
        <v>17.5</v>
      </c>
      <c r="D587" s="36">
        <f>SUM(D561:D586)</f>
        <v>7.05</v>
      </c>
      <c r="E587" s="36"/>
      <c r="F587" s="37"/>
      <c r="G587" s="36">
        <f>SUM(G561:G586)</f>
        <v>17.5</v>
      </c>
      <c r="H587" s="36">
        <f>SUM(H561:H586)</f>
        <v>20.5</v>
      </c>
      <c r="I587" s="15"/>
      <c r="J587" s="14"/>
      <c r="K587" s="16"/>
    </row>
    <row r="588" spans="1:11" ht="12.6" customHeight="1" x14ac:dyDescent="0.2">
      <c r="H588" s="27" t="s">
        <v>23</v>
      </c>
      <c r="J588" s="27" t="s">
        <v>479</v>
      </c>
    </row>
    <row r="589" spans="1:11" ht="12.6" customHeight="1" x14ac:dyDescent="0.2"/>
    <row r="590" spans="1:11" ht="12.6" customHeight="1" x14ac:dyDescent="0.2"/>
    <row r="591" spans="1:11" ht="12.6" customHeight="1" x14ac:dyDescent="0.2"/>
    <row r="592" spans="1:11" ht="12.6" customHeight="1" x14ac:dyDescent="0.2"/>
    <row r="593" spans="1:11" ht="12.6" customHeight="1" x14ac:dyDescent="0.2"/>
    <row r="594" spans="1:11" ht="12.6" customHeight="1" x14ac:dyDescent="0.2">
      <c r="A594" s="102" t="str">
        <f>A76</f>
        <v>CATAPANG, CRISPIN JR. D.</v>
      </c>
      <c r="B594" s="102"/>
      <c r="C594" s="102"/>
      <c r="D594" s="102"/>
      <c r="E594" s="102"/>
      <c r="F594" s="102"/>
      <c r="G594" s="102"/>
      <c r="H594" s="1"/>
      <c r="I594" s="103" t="s">
        <v>0</v>
      </c>
      <c r="J594" s="103"/>
      <c r="K594" s="2" t="str">
        <f>K76</f>
        <v>AUGUST 02, 1995</v>
      </c>
    </row>
    <row r="595" spans="1:11" ht="12.6" customHeight="1" x14ac:dyDescent="0.2"/>
    <row r="596" spans="1:11" ht="12.6" customHeight="1" x14ac:dyDescent="0.2">
      <c r="A596" s="104" t="s">
        <v>1</v>
      </c>
      <c r="B596" s="104" t="s">
        <v>2</v>
      </c>
      <c r="C596" s="107" t="s">
        <v>3</v>
      </c>
      <c r="D596" s="108"/>
      <c r="E596" s="108"/>
      <c r="F596" s="109"/>
      <c r="G596" s="107" t="s">
        <v>4</v>
      </c>
      <c r="H596" s="108"/>
      <c r="I596" s="108"/>
      <c r="J596" s="109"/>
      <c r="K596" s="4"/>
    </row>
    <row r="597" spans="1:11" ht="12.6" customHeight="1" x14ac:dyDescent="0.2">
      <c r="A597" s="105"/>
      <c r="B597" s="105"/>
      <c r="C597" s="94" t="s">
        <v>6</v>
      </c>
      <c r="D597" s="5" t="s">
        <v>7</v>
      </c>
      <c r="E597" s="94" t="s">
        <v>8</v>
      </c>
      <c r="F597" s="6" t="s">
        <v>7</v>
      </c>
      <c r="G597" s="94" t="s">
        <v>6</v>
      </c>
      <c r="H597" s="5" t="s">
        <v>7</v>
      </c>
      <c r="I597" s="94" t="s">
        <v>8</v>
      </c>
      <c r="J597" s="1" t="s">
        <v>7</v>
      </c>
      <c r="K597" s="7"/>
    </row>
    <row r="598" spans="1:11" ht="12.6" customHeight="1" x14ac:dyDescent="0.2">
      <c r="A598" s="105"/>
      <c r="B598" s="105"/>
      <c r="C598" s="95"/>
      <c r="D598" s="8" t="s">
        <v>10</v>
      </c>
      <c r="E598" s="95"/>
      <c r="F598" s="6" t="s">
        <v>10</v>
      </c>
      <c r="G598" s="95"/>
      <c r="H598" s="8" t="s">
        <v>10</v>
      </c>
      <c r="I598" s="95"/>
      <c r="J598" s="1" t="s">
        <v>10</v>
      </c>
      <c r="K598" s="7"/>
    </row>
    <row r="599" spans="1:11" ht="12.6" customHeight="1" x14ac:dyDescent="0.2">
      <c r="A599" s="106"/>
      <c r="B599" s="106"/>
      <c r="C599" s="96"/>
      <c r="D599" s="9" t="s">
        <v>12</v>
      </c>
      <c r="E599" s="96"/>
      <c r="F599" s="10" t="s">
        <v>13</v>
      </c>
      <c r="G599" s="96"/>
      <c r="H599" s="9" t="s">
        <v>12</v>
      </c>
      <c r="I599" s="96"/>
      <c r="J599" s="11" t="s">
        <v>13</v>
      </c>
      <c r="K599" s="12"/>
    </row>
    <row r="600" spans="1:11" ht="12.6" customHeight="1" x14ac:dyDescent="0.2">
      <c r="A600" s="13">
        <v>45658</v>
      </c>
      <c r="B600" s="19"/>
      <c r="C600" s="15">
        <v>1.25</v>
      </c>
      <c r="D600" s="14"/>
      <c r="E600" s="15">
        <f>SUM(E586+C600-D600)</f>
        <v>223.86899999999997</v>
      </c>
      <c r="F600" s="14"/>
      <c r="G600" s="15">
        <f t="shared" ref="G600:G625" si="48">C600</f>
        <v>1.25</v>
      </c>
      <c r="H600" s="14"/>
      <c r="I600" s="15">
        <f>SUM(I586+G600-H600)</f>
        <v>112.708</v>
      </c>
      <c r="J600" s="14"/>
      <c r="K600" s="16"/>
    </row>
    <row r="601" spans="1:11" ht="12.6" customHeight="1" x14ac:dyDescent="0.2">
      <c r="A601" s="13"/>
      <c r="B601" s="19" t="s">
        <v>806</v>
      </c>
      <c r="C601" s="15"/>
      <c r="D601" s="14">
        <v>2.2120000000000002</v>
      </c>
      <c r="E601" s="15">
        <f>E600+C601-D601</f>
        <v>221.65699999999998</v>
      </c>
      <c r="F601" s="14"/>
      <c r="G601" s="15">
        <f t="shared" si="48"/>
        <v>0</v>
      </c>
      <c r="H601" s="14"/>
      <c r="I601" s="15">
        <f>I600+G601-H601</f>
        <v>112.708</v>
      </c>
      <c r="J601" s="14"/>
      <c r="K601" s="13" t="s">
        <v>805</v>
      </c>
    </row>
    <row r="602" spans="1:11" ht="12.6" customHeight="1" x14ac:dyDescent="0.2">
      <c r="A602" s="13"/>
      <c r="B602" s="19" t="s">
        <v>67</v>
      </c>
      <c r="C602" s="15"/>
      <c r="D602" s="14"/>
      <c r="E602" s="15">
        <f t="shared" ref="E602:E625" si="49">E601+C602-D602</f>
        <v>221.65699999999998</v>
      </c>
      <c r="F602" s="14"/>
      <c r="G602" s="15">
        <f t="shared" si="48"/>
        <v>0</v>
      </c>
      <c r="H602" s="14">
        <v>3</v>
      </c>
      <c r="I602" s="15">
        <f t="shared" ref="I602:I625" si="50">I601+G602-H602</f>
        <v>109.708</v>
      </c>
      <c r="J602" s="14"/>
      <c r="K602" s="13" t="s">
        <v>807</v>
      </c>
    </row>
    <row r="603" spans="1:11" ht="12.6" customHeight="1" x14ac:dyDescent="0.2">
      <c r="A603" s="13">
        <v>45659</v>
      </c>
      <c r="B603" s="19"/>
      <c r="C603" s="15">
        <v>1.25</v>
      </c>
      <c r="D603" s="14"/>
      <c r="E603" s="15">
        <f t="shared" si="49"/>
        <v>222.90699999999998</v>
      </c>
      <c r="F603" s="14"/>
      <c r="G603" s="15">
        <f t="shared" si="48"/>
        <v>1.25</v>
      </c>
      <c r="H603" s="14"/>
      <c r="I603" s="15">
        <f t="shared" si="50"/>
        <v>110.958</v>
      </c>
      <c r="J603" s="14"/>
      <c r="K603" s="16"/>
    </row>
    <row r="604" spans="1:11" ht="12.6" customHeight="1" x14ac:dyDescent="0.2">
      <c r="A604" s="13"/>
      <c r="B604" s="19" t="s">
        <v>47</v>
      </c>
      <c r="C604" s="15"/>
      <c r="D604" s="14"/>
      <c r="E604" s="15">
        <f t="shared" si="49"/>
        <v>222.90699999999998</v>
      </c>
      <c r="F604" s="14"/>
      <c r="G604" s="15">
        <f t="shared" si="48"/>
        <v>0</v>
      </c>
      <c r="H604" s="14">
        <v>1</v>
      </c>
      <c r="I604" s="15">
        <f t="shared" si="50"/>
        <v>109.958</v>
      </c>
      <c r="J604" s="14"/>
      <c r="K604" s="13">
        <v>45932</v>
      </c>
    </row>
    <row r="605" spans="1:11" ht="12.6" customHeight="1" x14ac:dyDescent="0.2">
      <c r="A605" s="13">
        <v>45660</v>
      </c>
      <c r="B605" s="19"/>
      <c r="C605" s="15">
        <v>1.25</v>
      </c>
      <c r="D605" s="14"/>
      <c r="E605" s="15">
        <f t="shared" si="49"/>
        <v>224.15699999999998</v>
      </c>
      <c r="F605" s="14"/>
      <c r="G605" s="15">
        <f t="shared" si="48"/>
        <v>1.25</v>
      </c>
      <c r="H605" s="14"/>
      <c r="I605" s="15">
        <f t="shared" si="50"/>
        <v>111.208</v>
      </c>
      <c r="J605" s="14"/>
      <c r="K605" s="16"/>
    </row>
    <row r="606" spans="1:11" ht="12.6" customHeight="1" x14ac:dyDescent="0.2">
      <c r="A606" s="13"/>
      <c r="B606" s="19" t="s">
        <v>47</v>
      </c>
      <c r="C606" s="15"/>
      <c r="D606" s="14"/>
      <c r="E606" s="15">
        <f t="shared" si="49"/>
        <v>224.15699999999998</v>
      </c>
      <c r="F606" s="14"/>
      <c r="G606" s="15">
        <f t="shared" si="48"/>
        <v>0</v>
      </c>
      <c r="H606" s="14">
        <v>1</v>
      </c>
      <c r="I606" s="15">
        <f t="shared" si="50"/>
        <v>110.208</v>
      </c>
      <c r="J606" s="14"/>
      <c r="K606" s="13">
        <v>45933</v>
      </c>
    </row>
    <row r="607" spans="1:11" ht="12.6" customHeight="1" x14ac:dyDescent="0.2">
      <c r="A607" s="13"/>
      <c r="B607" s="19" t="s">
        <v>52</v>
      </c>
      <c r="C607" s="15"/>
      <c r="D607" s="14"/>
      <c r="E607" s="15">
        <f t="shared" si="49"/>
        <v>224.15699999999998</v>
      </c>
      <c r="F607" s="14"/>
      <c r="G607" s="15">
        <f t="shared" si="48"/>
        <v>0</v>
      </c>
      <c r="H607" s="14">
        <v>2</v>
      </c>
      <c r="I607" s="15">
        <f t="shared" si="50"/>
        <v>108.208</v>
      </c>
      <c r="J607" s="14"/>
      <c r="K607" s="13" t="s">
        <v>808</v>
      </c>
    </row>
    <row r="608" spans="1:11" ht="12.6" customHeight="1" x14ac:dyDescent="0.2">
      <c r="A608" s="13">
        <v>45661</v>
      </c>
      <c r="B608" s="19"/>
      <c r="C608" s="15">
        <v>1.25</v>
      </c>
      <c r="D608" s="14"/>
      <c r="E608" s="15">
        <f t="shared" si="49"/>
        <v>225.40699999999998</v>
      </c>
      <c r="F608" s="14"/>
      <c r="G608" s="15">
        <f t="shared" si="48"/>
        <v>1.25</v>
      </c>
      <c r="H608" s="14"/>
      <c r="I608" s="15">
        <f t="shared" si="50"/>
        <v>109.458</v>
      </c>
      <c r="J608" s="14"/>
      <c r="K608" s="16"/>
    </row>
    <row r="609" spans="1:11" ht="12.6" customHeight="1" x14ac:dyDescent="0.2">
      <c r="A609" s="13"/>
      <c r="B609" s="19" t="s">
        <v>47</v>
      </c>
      <c r="C609" s="15"/>
      <c r="D609" s="14"/>
      <c r="E609" s="15">
        <f t="shared" si="49"/>
        <v>225.40699999999998</v>
      </c>
      <c r="F609" s="14"/>
      <c r="G609" s="15">
        <f t="shared" si="48"/>
        <v>0</v>
      </c>
      <c r="H609" s="14">
        <v>1</v>
      </c>
      <c r="I609" s="15">
        <f t="shared" si="50"/>
        <v>108.458</v>
      </c>
      <c r="J609" s="14"/>
      <c r="K609" s="16" t="s">
        <v>809</v>
      </c>
    </row>
    <row r="610" spans="1:11" ht="12.6" customHeight="1" x14ac:dyDescent="0.2">
      <c r="A610" s="13">
        <v>45663</v>
      </c>
      <c r="B610" s="19"/>
      <c r="C610" s="15">
        <v>2.5</v>
      </c>
      <c r="D610" s="14"/>
      <c r="E610" s="15">
        <f t="shared" si="49"/>
        <v>227.90699999999998</v>
      </c>
      <c r="F610" s="14"/>
      <c r="G610" s="15">
        <f t="shared" si="48"/>
        <v>2.5</v>
      </c>
      <c r="H610" s="14"/>
      <c r="I610" s="15">
        <f t="shared" si="50"/>
        <v>110.958</v>
      </c>
      <c r="J610" s="14"/>
      <c r="K610" s="16"/>
    </row>
    <row r="611" spans="1:11" ht="12.6" customHeight="1" x14ac:dyDescent="0.2">
      <c r="A611" s="13"/>
      <c r="B611" s="19" t="s">
        <v>95</v>
      </c>
      <c r="C611" s="15"/>
      <c r="D611" s="14">
        <v>3</v>
      </c>
      <c r="E611" s="15">
        <f t="shared" si="49"/>
        <v>224.90699999999998</v>
      </c>
      <c r="F611" s="14"/>
      <c r="G611" s="15">
        <f t="shared" si="48"/>
        <v>0</v>
      </c>
      <c r="H611" s="14"/>
      <c r="I611" s="15">
        <f t="shared" si="50"/>
        <v>110.958</v>
      </c>
      <c r="J611" s="14"/>
      <c r="K611" s="13" t="s">
        <v>810</v>
      </c>
    </row>
    <row r="612" spans="1:11" ht="12.6" customHeight="1" x14ac:dyDescent="0.2">
      <c r="A612" s="13"/>
      <c r="B612" s="19" t="s">
        <v>47</v>
      </c>
      <c r="C612" s="15"/>
      <c r="D612" s="14"/>
      <c r="E612" s="15">
        <f t="shared" si="49"/>
        <v>224.90699999999998</v>
      </c>
      <c r="F612" s="14"/>
      <c r="G612" s="15">
        <f t="shared" si="48"/>
        <v>0</v>
      </c>
      <c r="H612" s="14">
        <v>1</v>
      </c>
      <c r="I612" s="15">
        <f t="shared" si="50"/>
        <v>109.958</v>
      </c>
      <c r="J612" s="14"/>
      <c r="K612" s="13" t="s">
        <v>811</v>
      </c>
    </row>
    <row r="613" spans="1:11" ht="12.6" customHeight="1" x14ac:dyDescent="0.2">
      <c r="A613" s="13">
        <v>45667</v>
      </c>
      <c r="B613" s="19"/>
      <c r="C613" s="15">
        <v>5</v>
      </c>
      <c r="D613" s="14"/>
      <c r="E613" s="15">
        <f t="shared" si="49"/>
        <v>229.90699999999998</v>
      </c>
      <c r="F613" s="14"/>
      <c r="G613" s="15">
        <f t="shared" si="48"/>
        <v>5</v>
      </c>
      <c r="H613" s="14"/>
      <c r="I613" s="15">
        <f t="shared" si="50"/>
        <v>114.958</v>
      </c>
      <c r="J613" s="14"/>
      <c r="K613" s="13"/>
    </row>
    <row r="614" spans="1:11" ht="12.6" customHeight="1" x14ac:dyDescent="0.2">
      <c r="A614" s="13"/>
      <c r="B614" s="19" t="s">
        <v>52</v>
      </c>
      <c r="C614" s="15"/>
      <c r="D614" s="14"/>
      <c r="E614" s="15">
        <f t="shared" si="49"/>
        <v>229.90699999999998</v>
      </c>
      <c r="F614" s="14"/>
      <c r="G614" s="15">
        <f t="shared" si="48"/>
        <v>0</v>
      </c>
      <c r="H614" s="14">
        <v>2</v>
      </c>
      <c r="I614" s="15">
        <f t="shared" si="50"/>
        <v>112.958</v>
      </c>
      <c r="J614" s="14"/>
      <c r="K614" s="13" t="s">
        <v>812</v>
      </c>
    </row>
    <row r="615" spans="1:11" ht="12.6" customHeight="1" x14ac:dyDescent="0.2">
      <c r="A615" s="13"/>
      <c r="B615" s="19" t="s">
        <v>47</v>
      </c>
      <c r="C615" s="15"/>
      <c r="D615" s="14"/>
      <c r="E615" s="15">
        <f t="shared" si="49"/>
        <v>229.90699999999998</v>
      </c>
      <c r="F615" s="14"/>
      <c r="G615" s="15">
        <f t="shared" si="48"/>
        <v>0</v>
      </c>
      <c r="H615" s="14">
        <v>1</v>
      </c>
      <c r="I615" s="15">
        <f t="shared" si="50"/>
        <v>111.958</v>
      </c>
      <c r="J615" s="14"/>
      <c r="K615" s="13" t="s">
        <v>813</v>
      </c>
    </row>
    <row r="616" spans="1:11" ht="12.6" customHeight="1" x14ac:dyDescent="0.2">
      <c r="A616" s="13">
        <v>45669</v>
      </c>
      <c r="B616" s="19"/>
      <c r="C616" s="15">
        <v>2.5</v>
      </c>
      <c r="D616" s="14"/>
      <c r="E616" s="15">
        <f t="shared" si="49"/>
        <v>232.40699999999998</v>
      </c>
      <c r="F616" s="14"/>
      <c r="G616" s="15">
        <f t="shared" si="48"/>
        <v>2.5</v>
      </c>
      <c r="H616" s="14"/>
      <c r="I616" s="15">
        <f t="shared" si="50"/>
        <v>114.458</v>
      </c>
      <c r="J616" s="14"/>
      <c r="K616" s="13"/>
    </row>
    <row r="617" spans="1:11" ht="12.6" customHeight="1" x14ac:dyDescent="0.2">
      <c r="A617" s="13"/>
      <c r="B617" s="19" t="s">
        <v>76</v>
      </c>
      <c r="C617" s="15"/>
      <c r="D617" s="14">
        <v>2</v>
      </c>
      <c r="E617" s="15">
        <f t="shared" si="49"/>
        <v>230.40699999999998</v>
      </c>
      <c r="F617" s="14"/>
      <c r="G617" s="15">
        <f t="shared" si="48"/>
        <v>0</v>
      </c>
      <c r="H617" s="14"/>
      <c r="I617" s="15">
        <f t="shared" si="50"/>
        <v>114.458</v>
      </c>
      <c r="J617" s="14"/>
      <c r="K617" s="13" t="s">
        <v>814</v>
      </c>
    </row>
    <row r="618" spans="1:11" ht="12.6" customHeight="1" x14ac:dyDescent="0.2">
      <c r="A618" s="13"/>
      <c r="B618" s="19" t="s">
        <v>76</v>
      </c>
      <c r="C618" s="15"/>
      <c r="D618" s="14">
        <v>2</v>
      </c>
      <c r="E618" s="15">
        <f t="shared" si="49"/>
        <v>228.40699999999998</v>
      </c>
      <c r="F618" s="14"/>
      <c r="G618" s="15">
        <f t="shared" si="48"/>
        <v>0</v>
      </c>
      <c r="H618" s="14"/>
      <c r="I618" s="15">
        <f t="shared" si="50"/>
        <v>114.458</v>
      </c>
      <c r="J618" s="14"/>
      <c r="K618" s="13" t="s">
        <v>815</v>
      </c>
    </row>
    <row r="619" spans="1:11" ht="12.6" customHeight="1" x14ac:dyDescent="0.2">
      <c r="A619" s="13">
        <v>46023</v>
      </c>
      <c r="B619" s="19"/>
      <c r="C619" s="15">
        <v>1.25</v>
      </c>
      <c r="D619" s="15"/>
      <c r="E619" s="15">
        <f t="shared" si="49"/>
        <v>229.65699999999998</v>
      </c>
      <c r="F619" s="14"/>
      <c r="G619" s="15">
        <f t="shared" si="48"/>
        <v>1.25</v>
      </c>
      <c r="H619" s="14"/>
      <c r="I619" s="15">
        <f t="shared" si="50"/>
        <v>115.708</v>
      </c>
      <c r="J619" s="14"/>
      <c r="K619" s="13"/>
    </row>
    <row r="620" spans="1:11" ht="12.6" customHeight="1" x14ac:dyDescent="0.2">
      <c r="A620" s="13"/>
      <c r="B620" s="19" t="s">
        <v>47</v>
      </c>
      <c r="C620" s="15"/>
      <c r="D620" s="14"/>
      <c r="E620" s="15">
        <f t="shared" si="49"/>
        <v>229.65699999999998</v>
      </c>
      <c r="F620" s="14"/>
      <c r="G620" s="15">
        <f t="shared" si="48"/>
        <v>0</v>
      </c>
      <c r="H620" s="14">
        <v>1</v>
      </c>
      <c r="I620" s="15">
        <f t="shared" si="50"/>
        <v>114.708</v>
      </c>
      <c r="J620" s="14"/>
      <c r="K620" s="13" t="s">
        <v>816</v>
      </c>
    </row>
    <row r="621" spans="1:11" ht="12.6" customHeight="1" x14ac:dyDescent="0.2">
      <c r="A621" s="13">
        <v>46024</v>
      </c>
      <c r="B621" s="19"/>
      <c r="C621" s="15">
        <v>1.25</v>
      </c>
      <c r="D621" s="14"/>
      <c r="E621" s="15">
        <f t="shared" si="49"/>
        <v>230.90699999999998</v>
      </c>
      <c r="F621" s="14"/>
      <c r="G621" s="15">
        <f t="shared" si="48"/>
        <v>1.25</v>
      </c>
      <c r="H621" s="14"/>
      <c r="I621" s="15">
        <f t="shared" si="50"/>
        <v>115.958</v>
      </c>
      <c r="J621" s="14"/>
      <c r="K621" s="13"/>
    </row>
    <row r="622" spans="1:11" ht="12.6" customHeight="1" x14ac:dyDescent="0.2">
      <c r="A622" s="13"/>
      <c r="B622" s="19" t="s">
        <v>47</v>
      </c>
      <c r="C622" s="15"/>
      <c r="D622" s="14"/>
      <c r="E622" s="15">
        <f t="shared" si="49"/>
        <v>230.90699999999998</v>
      </c>
      <c r="F622" s="14"/>
      <c r="G622" s="15">
        <f t="shared" si="48"/>
        <v>0</v>
      </c>
      <c r="H622" s="14">
        <v>1</v>
      </c>
      <c r="I622" s="15">
        <f t="shared" si="50"/>
        <v>114.958</v>
      </c>
      <c r="J622" s="14"/>
      <c r="K622" s="13">
        <v>46144</v>
      </c>
    </row>
    <row r="623" spans="1:11" ht="12.6" customHeight="1" x14ac:dyDescent="0.2">
      <c r="A623" s="13">
        <v>46033</v>
      </c>
      <c r="B623" s="19"/>
      <c r="C623" s="15">
        <v>11.25</v>
      </c>
      <c r="D623" s="14"/>
      <c r="E623" s="15">
        <f t="shared" si="49"/>
        <v>242.15699999999998</v>
      </c>
      <c r="F623" s="14"/>
      <c r="G623" s="15">
        <f t="shared" si="48"/>
        <v>11.25</v>
      </c>
      <c r="H623" s="14"/>
      <c r="I623" s="15">
        <f t="shared" si="50"/>
        <v>126.208</v>
      </c>
      <c r="J623" s="14"/>
      <c r="K623" s="13"/>
    </row>
    <row r="624" spans="1:11" ht="12.6" customHeight="1" x14ac:dyDescent="0.2">
      <c r="A624" s="13"/>
      <c r="B624" s="19"/>
      <c r="C624" s="15"/>
      <c r="D624" s="14"/>
      <c r="E624" s="15">
        <f t="shared" si="49"/>
        <v>242.15699999999998</v>
      </c>
      <c r="F624" s="14"/>
      <c r="G624" s="15">
        <f t="shared" si="48"/>
        <v>0</v>
      </c>
      <c r="H624" s="14"/>
      <c r="I624" s="15">
        <f t="shared" si="50"/>
        <v>126.208</v>
      </c>
      <c r="J624" s="14"/>
      <c r="K624" s="16"/>
    </row>
    <row r="625" spans="1:11" ht="12.6" customHeight="1" x14ac:dyDescent="0.2">
      <c r="A625" s="13"/>
      <c r="B625" s="19"/>
      <c r="C625" s="15"/>
      <c r="D625" s="14"/>
      <c r="E625" s="15">
        <f t="shared" si="49"/>
        <v>242.15699999999998</v>
      </c>
      <c r="F625" s="14"/>
      <c r="G625" s="15">
        <f t="shared" si="48"/>
        <v>0</v>
      </c>
      <c r="H625" s="14"/>
      <c r="I625" s="15">
        <f t="shared" si="50"/>
        <v>126.208</v>
      </c>
      <c r="J625" s="14"/>
      <c r="K625" s="16"/>
    </row>
    <row r="626" spans="1:11" ht="12.6" customHeight="1" x14ac:dyDescent="0.2">
      <c r="A626" s="19"/>
      <c r="B626" s="19"/>
      <c r="C626" s="36">
        <f>SUM(C600:C625)</f>
        <v>28.75</v>
      </c>
      <c r="D626" s="36">
        <f>SUM(D600:D625)</f>
        <v>9.2119999999999997</v>
      </c>
      <c r="E626" s="36"/>
      <c r="F626" s="37"/>
      <c r="G626" s="36">
        <f>SUM(G600:G625)</f>
        <v>28.75</v>
      </c>
      <c r="H626" s="36">
        <f>SUM(H600:H625)</f>
        <v>14</v>
      </c>
      <c r="I626" s="15"/>
      <c r="J626" s="14"/>
      <c r="K626" s="16"/>
    </row>
    <row r="627" spans="1:11" ht="12.6" customHeight="1" x14ac:dyDescent="0.2">
      <c r="H627" s="27" t="s">
        <v>23</v>
      </c>
      <c r="J627" s="27" t="s">
        <v>480</v>
      </c>
    </row>
    <row r="628" spans="1:11" ht="12.6" customHeight="1" x14ac:dyDescent="0.2"/>
    <row r="629" spans="1:11" ht="12.6" customHeight="1" x14ac:dyDescent="0.2">
      <c r="A629" s="102" t="str">
        <f>A111</f>
        <v>CATAPANG, CRISPIN JR. D.</v>
      </c>
      <c r="B629" s="102"/>
      <c r="C629" s="102"/>
      <c r="D629" s="102"/>
      <c r="E629" s="102"/>
      <c r="F629" s="102"/>
      <c r="G629" s="102"/>
      <c r="H629" s="1"/>
      <c r="I629" s="103" t="s">
        <v>0</v>
      </c>
      <c r="J629" s="103"/>
      <c r="K629" s="2" t="str">
        <f>K111</f>
        <v>AUGUST 02, 1995</v>
      </c>
    </row>
    <row r="630" spans="1:11" ht="12.6" customHeight="1" x14ac:dyDescent="0.2"/>
    <row r="631" spans="1:11" ht="12.6" customHeight="1" x14ac:dyDescent="0.2">
      <c r="A631" s="104" t="s">
        <v>1</v>
      </c>
      <c r="B631" s="104" t="s">
        <v>2</v>
      </c>
      <c r="C631" s="107" t="s">
        <v>3</v>
      </c>
      <c r="D631" s="108"/>
      <c r="E631" s="108"/>
      <c r="F631" s="109"/>
      <c r="G631" s="107" t="s">
        <v>4</v>
      </c>
      <c r="H631" s="108"/>
      <c r="I631" s="108"/>
      <c r="J631" s="109"/>
      <c r="K631" s="4"/>
    </row>
    <row r="632" spans="1:11" ht="12.6" customHeight="1" x14ac:dyDescent="0.2">
      <c r="A632" s="105"/>
      <c r="B632" s="105"/>
      <c r="C632" s="94" t="s">
        <v>6</v>
      </c>
      <c r="D632" s="5" t="s">
        <v>7</v>
      </c>
      <c r="E632" s="94" t="s">
        <v>8</v>
      </c>
      <c r="F632" s="6" t="s">
        <v>7</v>
      </c>
      <c r="G632" s="94" t="s">
        <v>6</v>
      </c>
      <c r="H632" s="5" t="s">
        <v>7</v>
      </c>
      <c r="I632" s="94" t="s">
        <v>8</v>
      </c>
      <c r="J632" s="1" t="s">
        <v>7</v>
      </c>
      <c r="K632" s="7"/>
    </row>
    <row r="633" spans="1:11" ht="12.6" customHeight="1" x14ac:dyDescent="0.2">
      <c r="A633" s="105"/>
      <c r="B633" s="105"/>
      <c r="C633" s="95"/>
      <c r="D633" s="8" t="s">
        <v>10</v>
      </c>
      <c r="E633" s="95"/>
      <c r="F633" s="6" t="s">
        <v>10</v>
      </c>
      <c r="G633" s="95"/>
      <c r="H633" s="8" t="s">
        <v>10</v>
      </c>
      <c r="I633" s="95"/>
      <c r="J633" s="1" t="s">
        <v>10</v>
      </c>
      <c r="K633" s="7"/>
    </row>
    <row r="634" spans="1:11" ht="12.6" customHeight="1" x14ac:dyDescent="0.2">
      <c r="A634" s="106"/>
      <c r="B634" s="106"/>
      <c r="C634" s="96"/>
      <c r="D634" s="9" t="s">
        <v>12</v>
      </c>
      <c r="E634" s="96"/>
      <c r="F634" s="10" t="s">
        <v>13</v>
      </c>
      <c r="G634" s="96"/>
      <c r="H634" s="9" t="s">
        <v>12</v>
      </c>
      <c r="I634" s="96"/>
      <c r="J634" s="11" t="s">
        <v>13</v>
      </c>
      <c r="K634" s="12"/>
    </row>
    <row r="635" spans="1:11" ht="12.6" customHeight="1" x14ac:dyDescent="0.2">
      <c r="A635" s="13"/>
      <c r="B635" s="19"/>
      <c r="C635" s="15"/>
      <c r="D635" s="14"/>
      <c r="E635" s="15">
        <f>SUM(E625+C635-D635)</f>
        <v>242.15699999999998</v>
      </c>
      <c r="F635" s="14"/>
      <c r="G635" s="15">
        <f t="shared" ref="G635:G660" si="51">C635</f>
        <v>0</v>
      </c>
      <c r="H635" s="14"/>
      <c r="I635" s="15">
        <f>SUM(I625+G635-H635)</f>
        <v>126.208</v>
      </c>
      <c r="J635" s="14"/>
      <c r="K635" s="16"/>
    </row>
    <row r="636" spans="1:11" ht="12.6" customHeight="1" x14ac:dyDescent="0.2">
      <c r="A636" s="13"/>
      <c r="B636" s="19"/>
      <c r="C636" s="15"/>
      <c r="D636" s="14"/>
      <c r="E636" s="15">
        <f>E635+C636-D636</f>
        <v>242.15699999999998</v>
      </c>
      <c r="F636" s="14"/>
      <c r="G636" s="15">
        <f t="shared" si="51"/>
        <v>0</v>
      </c>
      <c r="H636" s="14"/>
      <c r="I636" s="15">
        <f>I635+G636-H636</f>
        <v>126.208</v>
      </c>
      <c r="J636" s="14"/>
      <c r="K636" s="13"/>
    </row>
    <row r="637" spans="1:11" ht="12.6" customHeight="1" x14ac:dyDescent="0.2">
      <c r="A637" s="13"/>
      <c r="B637" s="19"/>
      <c r="C637" s="15"/>
      <c r="D637" s="14"/>
      <c r="E637" s="15">
        <f t="shared" ref="E637:E660" si="52">E636+C637-D637</f>
        <v>242.15699999999998</v>
      </c>
      <c r="F637" s="14"/>
      <c r="G637" s="15">
        <f t="shared" si="51"/>
        <v>0</v>
      </c>
      <c r="H637" s="14"/>
      <c r="I637" s="15">
        <f t="shared" ref="I637:I660" si="53">I636+G637-H637</f>
        <v>126.208</v>
      </c>
      <c r="J637" s="14"/>
      <c r="K637" s="13"/>
    </row>
    <row r="638" spans="1:11" ht="12.6" customHeight="1" x14ac:dyDescent="0.2">
      <c r="A638" s="13"/>
      <c r="B638" s="19"/>
      <c r="C638" s="15"/>
      <c r="D638" s="14"/>
      <c r="E638" s="15">
        <f t="shared" si="52"/>
        <v>242.15699999999998</v>
      </c>
      <c r="F638" s="14"/>
      <c r="G638" s="15">
        <f t="shared" si="51"/>
        <v>0</v>
      </c>
      <c r="H638" s="14"/>
      <c r="I638" s="15">
        <f t="shared" si="53"/>
        <v>126.208</v>
      </c>
      <c r="J638" s="14"/>
      <c r="K638" s="16"/>
    </row>
    <row r="639" spans="1:11" ht="12.6" customHeight="1" x14ac:dyDescent="0.2">
      <c r="A639" s="13"/>
      <c r="B639" s="19"/>
      <c r="C639" s="15"/>
      <c r="D639" s="14"/>
      <c r="E639" s="15">
        <f t="shared" si="52"/>
        <v>242.15699999999998</v>
      </c>
      <c r="F639" s="14"/>
      <c r="G639" s="15">
        <f t="shared" si="51"/>
        <v>0</v>
      </c>
      <c r="H639" s="14"/>
      <c r="I639" s="15">
        <f t="shared" si="53"/>
        <v>126.208</v>
      </c>
      <c r="J639" s="14"/>
      <c r="K639" s="13"/>
    </row>
    <row r="640" spans="1:11" ht="12.6" customHeight="1" x14ac:dyDescent="0.2">
      <c r="A640" s="13"/>
      <c r="B640" s="19"/>
      <c r="C640" s="15"/>
      <c r="D640" s="14"/>
      <c r="E640" s="15">
        <f t="shared" si="52"/>
        <v>242.15699999999998</v>
      </c>
      <c r="F640" s="14"/>
      <c r="G640" s="15">
        <f t="shared" si="51"/>
        <v>0</v>
      </c>
      <c r="H640" s="14"/>
      <c r="I640" s="15">
        <f t="shared" si="53"/>
        <v>126.208</v>
      </c>
      <c r="J640" s="14"/>
      <c r="K640" s="16"/>
    </row>
    <row r="641" spans="1:11" ht="12.6" customHeight="1" x14ac:dyDescent="0.2">
      <c r="A641" s="13"/>
      <c r="B641" s="19"/>
      <c r="C641" s="15"/>
      <c r="D641" s="14"/>
      <c r="E641" s="15">
        <f t="shared" si="52"/>
        <v>242.15699999999998</v>
      </c>
      <c r="F641" s="14"/>
      <c r="G641" s="15">
        <f t="shared" si="51"/>
        <v>0</v>
      </c>
      <c r="H641" s="14"/>
      <c r="I641" s="15">
        <f t="shared" si="53"/>
        <v>126.208</v>
      </c>
      <c r="J641" s="14"/>
      <c r="K641" s="13"/>
    </row>
    <row r="642" spans="1:11" ht="12.6" customHeight="1" x14ac:dyDescent="0.2">
      <c r="A642" s="13"/>
      <c r="B642" s="19"/>
      <c r="C642" s="15"/>
      <c r="D642" s="14"/>
      <c r="E642" s="15">
        <f t="shared" si="52"/>
        <v>242.15699999999998</v>
      </c>
      <c r="F642" s="14"/>
      <c r="G642" s="15">
        <f t="shared" si="51"/>
        <v>0</v>
      </c>
      <c r="H642" s="14"/>
      <c r="I642" s="15">
        <f t="shared" si="53"/>
        <v>126.208</v>
      </c>
      <c r="J642" s="14"/>
      <c r="K642" s="13"/>
    </row>
    <row r="643" spans="1:11" ht="12.6" customHeight="1" x14ac:dyDescent="0.2">
      <c r="A643" s="13"/>
      <c r="B643" s="19"/>
      <c r="C643" s="15"/>
      <c r="D643" s="14"/>
      <c r="E643" s="15">
        <f t="shared" si="52"/>
        <v>242.15699999999998</v>
      </c>
      <c r="F643" s="14"/>
      <c r="G643" s="15">
        <f t="shared" si="51"/>
        <v>0</v>
      </c>
      <c r="H643" s="14"/>
      <c r="I643" s="15">
        <f t="shared" si="53"/>
        <v>126.208</v>
      </c>
      <c r="J643" s="14"/>
      <c r="K643" s="16"/>
    </row>
    <row r="644" spans="1:11" ht="12.6" customHeight="1" x14ac:dyDescent="0.2">
      <c r="A644" s="13"/>
      <c r="B644" s="19"/>
      <c r="C644" s="15"/>
      <c r="D644" s="14"/>
      <c r="E644" s="15">
        <f t="shared" si="52"/>
        <v>242.15699999999998</v>
      </c>
      <c r="F644" s="14"/>
      <c r="G644" s="15">
        <f t="shared" si="51"/>
        <v>0</v>
      </c>
      <c r="H644" s="14"/>
      <c r="I644" s="15">
        <f t="shared" si="53"/>
        <v>126.208</v>
      </c>
      <c r="J644" s="14"/>
      <c r="K644" s="16"/>
    </row>
    <row r="645" spans="1:11" ht="12.6" customHeight="1" x14ac:dyDescent="0.2">
      <c r="A645" s="13"/>
      <c r="B645" s="19"/>
      <c r="C645" s="15"/>
      <c r="D645" s="14"/>
      <c r="E645" s="15">
        <f t="shared" si="52"/>
        <v>242.15699999999998</v>
      </c>
      <c r="F645" s="14"/>
      <c r="G645" s="15">
        <f t="shared" si="51"/>
        <v>0</v>
      </c>
      <c r="H645" s="14"/>
      <c r="I645" s="15">
        <f t="shared" si="53"/>
        <v>126.208</v>
      </c>
      <c r="J645" s="14"/>
      <c r="K645" s="16"/>
    </row>
    <row r="646" spans="1:11" ht="12.6" customHeight="1" x14ac:dyDescent="0.2">
      <c r="A646" s="13"/>
      <c r="B646" s="19"/>
      <c r="C646" s="15"/>
      <c r="D646" s="14"/>
      <c r="E646" s="15">
        <f t="shared" si="52"/>
        <v>242.15699999999998</v>
      </c>
      <c r="F646" s="14"/>
      <c r="G646" s="15">
        <f t="shared" si="51"/>
        <v>0</v>
      </c>
      <c r="H646" s="14"/>
      <c r="I646" s="15">
        <f t="shared" si="53"/>
        <v>126.208</v>
      </c>
      <c r="J646" s="14"/>
      <c r="K646" s="13"/>
    </row>
    <row r="647" spans="1:11" ht="12.6" customHeight="1" x14ac:dyDescent="0.2">
      <c r="A647" s="13"/>
      <c r="B647" s="19"/>
      <c r="C647" s="15"/>
      <c r="D647" s="14"/>
      <c r="E647" s="15">
        <f t="shared" si="52"/>
        <v>242.15699999999998</v>
      </c>
      <c r="F647" s="14"/>
      <c r="G647" s="15">
        <f t="shared" si="51"/>
        <v>0</v>
      </c>
      <c r="H647" s="14"/>
      <c r="I647" s="15">
        <f t="shared" si="53"/>
        <v>126.208</v>
      </c>
      <c r="J647" s="14"/>
      <c r="K647" s="13"/>
    </row>
    <row r="648" spans="1:11" ht="12.6" customHeight="1" x14ac:dyDescent="0.2">
      <c r="A648" s="13"/>
      <c r="B648" s="19"/>
      <c r="C648" s="15"/>
      <c r="D648" s="14"/>
      <c r="E648" s="15">
        <f t="shared" si="52"/>
        <v>242.15699999999998</v>
      </c>
      <c r="F648" s="14"/>
      <c r="G648" s="15">
        <f t="shared" si="51"/>
        <v>0</v>
      </c>
      <c r="H648" s="14"/>
      <c r="I648" s="15">
        <f t="shared" si="53"/>
        <v>126.208</v>
      </c>
      <c r="J648" s="14"/>
      <c r="K648" s="13"/>
    </row>
    <row r="649" spans="1:11" ht="12.6" customHeight="1" x14ac:dyDescent="0.2">
      <c r="A649" s="13"/>
      <c r="B649" s="19"/>
      <c r="C649" s="15"/>
      <c r="D649" s="14"/>
      <c r="E649" s="15">
        <f t="shared" si="52"/>
        <v>242.15699999999998</v>
      </c>
      <c r="F649" s="14"/>
      <c r="G649" s="15">
        <f t="shared" si="51"/>
        <v>0</v>
      </c>
      <c r="H649" s="14"/>
      <c r="I649" s="15">
        <f t="shared" si="53"/>
        <v>126.208</v>
      </c>
      <c r="J649" s="14"/>
      <c r="K649" s="13"/>
    </row>
    <row r="650" spans="1:11" ht="12.6" customHeight="1" x14ac:dyDescent="0.2">
      <c r="A650" s="13"/>
      <c r="B650" s="19"/>
      <c r="C650" s="15"/>
      <c r="D650" s="14"/>
      <c r="E650" s="15">
        <f t="shared" si="52"/>
        <v>242.15699999999998</v>
      </c>
      <c r="F650" s="14"/>
      <c r="G650" s="15">
        <f t="shared" si="51"/>
        <v>0</v>
      </c>
      <c r="H650" s="14"/>
      <c r="I650" s="15">
        <f t="shared" si="53"/>
        <v>126.208</v>
      </c>
      <c r="J650" s="14"/>
      <c r="K650" s="13"/>
    </row>
    <row r="651" spans="1:11" ht="12.6" customHeight="1" x14ac:dyDescent="0.2">
      <c r="A651" s="16"/>
      <c r="B651" s="19"/>
      <c r="C651" s="15"/>
      <c r="D651" s="14"/>
      <c r="E651" s="15">
        <f t="shared" si="52"/>
        <v>242.15699999999998</v>
      </c>
      <c r="F651" s="14"/>
      <c r="G651" s="15">
        <f t="shared" si="51"/>
        <v>0</v>
      </c>
      <c r="H651" s="14"/>
      <c r="I651" s="15">
        <f t="shared" si="53"/>
        <v>126.208</v>
      </c>
      <c r="J651" s="14"/>
      <c r="K651" s="13"/>
    </row>
    <row r="652" spans="1:11" ht="12.6" customHeight="1" x14ac:dyDescent="0.2">
      <c r="A652" s="13"/>
      <c r="B652" s="19"/>
      <c r="C652" s="15"/>
      <c r="D652" s="15"/>
      <c r="E652" s="15">
        <f t="shared" si="52"/>
        <v>242.15699999999998</v>
      </c>
      <c r="F652" s="14"/>
      <c r="G652" s="15">
        <f t="shared" si="51"/>
        <v>0</v>
      </c>
      <c r="H652" s="14"/>
      <c r="I652" s="15">
        <f t="shared" si="53"/>
        <v>126.208</v>
      </c>
      <c r="J652" s="14"/>
      <c r="K652" s="13"/>
    </row>
    <row r="653" spans="1:11" ht="12.6" customHeight="1" x14ac:dyDescent="0.2">
      <c r="A653" s="13"/>
      <c r="B653" s="19"/>
      <c r="C653" s="15"/>
      <c r="D653" s="14"/>
      <c r="E653" s="15">
        <f t="shared" si="52"/>
        <v>242.15699999999998</v>
      </c>
      <c r="F653" s="14"/>
      <c r="G653" s="15">
        <f t="shared" si="51"/>
        <v>0</v>
      </c>
      <c r="H653" s="14"/>
      <c r="I653" s="15">
        <f t="shared" si="53"/>
        <v>126.208</v>
      </c>
      <c r="J653" s="14"/>
      <c r="K653" s="13"/>
    </row>
    <row r="654" spans="1:11" ht="12.6" customHeight="1" x14ac:dyDescent="0.2">
      <c r="A654" s="13"/>
      <c r="B654" s="19"/>
      <c r="C654" s="15"/>
      <c r="D654" s="15"/>
      <c r="E654" s="15">
        <f t="shared" si="52"/>
        <v>242.15699999999998</v>
      </c>
      <c r="F654" s="14"/>
      <c r="G654" s="15">
        <f t="shared" si="51"/>
        <v>0</v>
      </c>
      <c r="H654" s="14"/>
      <c r="I654" s="15">
        <f t="shared" si="53"/>
        <v>126.208</v>
      </c>
      <c r="J654" s="14"/>
      <c r="K654" s="13"/>
    </row>
    <row r="655" spans="1:11" ht="12.6" customHeight="1" x14ac:dyDescent="0.2">
      <c r="A655" s="13"/>
      <c r="B655" s="19"/>
      <c r="C655" s="15"/>
      <c r="D655" s="14"/>
      <c r="E655" s="15">
        <f t="shared" si="52"/>
        <v>242.15699999999998</v>
      </c>
      <c r="F655" s="14"/>
      <c r="G655" s="15">
        <f t="shared" si="51"/>
        <v>0</v>
      </c>
      <c r="H655" s="14"/>
      <c r="I655" s="15">
        <f t="shared" si="53"/>
        <v>126.208</v>
      </c>
      <c r="J655" s="14"/>
      <c r="K655" s="13"/>
    </row>
    <row r="656" spans="1:11" ht="12.6" customHeight="1" x14ac:dyDescent="0.2">
      <c r="A656" s="13"/>
      <c r="B656" s="19"/>
      <c r="C656" s="15"/>
      <c r="D656" s="14"/>
      <c r="E656" s="15">
        <f t="shared" si="52"/>
        <v>242.15699999999998</v>
      </c>
      <c r="F656" s="14"/>
      <c r="G656" s="15">
        <f t="shared" si="51"/>
        <v>0</v>
      </c>
      <c r="H656" s="14"/>
      <c r="I656" s="15">
        <f t="shared" si="53"/>
        <v>126.208</v>
      </c>
      <c r="J656" s="14"/>
      <c r="K656" s="13"/>
    </row>
    <row r="657" spans="1:11" x14ac:dyDescent="0.2">
      <c r="A657" s="13"/>
      <c r="B657" s="19"/>
      <c r="C657" s="15"/>
      <c r="D657" s="14"/>
      <c r="E657" s="15">
        <f t="shared" si="52"/>
        <v>242.15699999999998</v>
      </c>
      <c r="F657" s="14"/>
      <c r="G657" s="15">
        <f t="shared" si="51"/>
        <v>0</v>
      </c>
      <c r="H657" s="14"/>
      <c r="I657" s="15">
        <f t="shared" si="53"/>
        <v>126.208</v>
      </c>
      <c r="J657" s="14"/>
      <c r="K657" s="13"/>
    </row>
    <row r="658" spans="1:11" x14ac:dyDescent="0.2">
      <c r="A658" s="13"/>
      <c r="B658" s="19"/>
      <c r="C658" s="15"/>
      <c r="D658" s="14"/>
      <c r="E658" s="15">
        <f t="shared" si="52"/>
        <v>242.15699999999998</v>
      </c>
      <c r="F658" s="14"/>
      <c r="G658" s="15">
        <f t="shared" si="51"/>
        <v>0</v>
      </c>
      <c r="H658" s="14"/>
      <c r="I658" s="15">
        <f t="shared" si="53"/>
        <v>126.208</v>
      </c>
      <c r="J658" s="14"/>
      <c r="K658" s="13"/>
    </row>
    <row r="659" spans="1:11" ht="12.6" customHeight="1" x14ac:dyDescent="0.2">
      <c r="A659" s="13"/>
      <c r="B659" s="19"/>
      <c r="C659" s="15"/>
      <c r="D659" s="14"/>
      <c r="E659" s="15">
        <f t="shared" si="52"/>
        <v>242.15699999999998</v>
      </c>
      <c r="F659" s="14"/>
      <c r="G659" s="15">
        <f t="shared" si="51"/>
        <v>0</v>
      </c>
      <c r="H659" s="14"/>
      <c r="I659" s="15">
        <f t="shared" si="53"/>
        <v>126.208</v>
      </c>
      <c r="J659" s="14"/>
      <c r="K659" s="16"/>
    </row>
    <row r="660" spans="1:11" ht="12.6" customHeight="1" x14ac:dyDescent="0.2">
      <c r="A660" s="13"/>
      <c r="B660" s="19"/>
      <c r="C660" s="15"/>
      <c r="D660" s="14"/>
      <c r="E660" s="15">
        <f t="shared" si="52"/>
        <v>242.15699999999998</v>
      </c>
      <c r="F660" s="14"/>
      <c r="G660" s="15">
        <f t="shared" si="51"/>
        <v>0</v>
      </c>
      <c r="H660" s="14"/>
      <c r="I660" s="15">
        <f t="shared" si="53"/>
        <v>126.208</v>
      </c>
      <c r="J660" s="14"/>
      <c r="K660" s="16"/>
    </row>
    <row r="661" spans="1:11" x14ac:dyDescent="0.2">
      <c r="A661" s="19"/>
      <c r="B661" s="19"/>
      <c r="C661" s="36">
        <f>SUM(C635:C660)</f>
        <v>0</v>
      </c>
      <c r="D661" s="36">
        <f>SUM(D635:D660)</f>
        <v>0</v>
      </c>
      <c r="E661" s="36"/>
      <c r="F661" s="37"/>
      <c r="G661" s="36">
        <f>SUM(G635:G660)</f>
        <v>0</v>
      </c>
      <c r="H661" s="36">
        <f>SUM(H635:H660)</f>
        <v>0</v>
      </c>
      <c r="I661" s="15"/>
      <c r="J661" s="14"/>
      <c r="K661" s="16"/>
    </row>
    <row r="662" spans="1:11" x14ac:dyDescent="0.2">
      <c r="H662" s="27" t="s">
        <v>23</v>
      </c>
      <c r="J662" s="27" t="s">
        <v>481</v>
      </c>
    </row>
    <row r="664" spans="1:11" x14ac:dyDescent="0.2">
      <c r="C664" s="26">
        <f>SUM(C661+C626+C587+C552+C513+C478+C439+C404+C365+C330+C291+C256+C217+C182+C143+C108+C69+C34)</f>
        <v>468.70799999999997</v>
      </c>
      <c r="D664" s="26">
        <f>SUM(D661+D626+D587+D552+D513+D478+D439+D404+D365+D330+D291+D256+D217+D182+D143+D108+D69+D34)</f>
        <v>226.55099999999999</v>
      </c>
      <c r="G664" s="26">
        <f>SUM(G661+G626+G587+G552+G513+G478+G439+G404+G365+G330+G291+G256+G217+G182+G143+G108+G69+G34)</f>
        <v>468.70799999999997</v>
      </c>
      <c r="H664" s="26">
        <f>SUM(H661+H626+H587+H552+H513+H478+H439+H404+H365+H330+H291+H256+H217+H182+H143+H108+H69+H34)</f>
        <v>342.5</v>
      </c>
    </row>
    <row r="669" spans="1:11" ht="12.6" customHeight="1" x14ac:dyDescent="0.2">
      <c r="B669" s="3" t="s">
        <v>33</v>
      </c>
      <c r="E669" s="46"/>
      <c r="F669" s="48">
        <v>468.70800000000003</v>
      </c>
      <c r="H669" s="48">
        <f>F669</f>
        <v>468.70800000000003</v>
      </c>
    </row>
    <row r="670" spans="1:11" ht="12.6" customHeight="1" x14ac:dyDescent="0.2">
      <c r="B670" s="3" t="s">
        <v>34</v>
      </c>
      <c r="E670" s="46"/>
      <c r="F670" s="48">
        <f>D664</f>
        <v>226.55099999999999</v>
      </c>
      <c r="H670" s="48">
        <f>H664</f>
        <v>342.5</v>
      </c>
    </row>
    <row r="671" spans="1:11" ht="12.6" customHeight="1" x14ac:dyDescent="0.2">
      <c r="B671" s="3" t="s">
        <v>35</v>
      </c>
      <c r="E671" s="46"/>
      <c r="F671" s="49"/>
      <c r="G671" s="50"/>
      <c r="H671" s="49"/>
    </row>
    <row r="672" spans="1:11" ht="12.6" customHeight="1" thickBot="1" x14ac:dyDescent="0.25">
      <c r="B672" s="3" t="s">
        <v>36</v>
      </c>
      <c r="E672" s="46"/>
      <c r="F672" s="51"/>
      <c r="G672" s="52"/>
      <c r="H672" s="51"/>
    </row>
    <row r="673" spans="2:11" ht="12.6" customHeight="1" thickTop="1" x14ac:dyDescent="0.2">
      <c r="B673" s="3" t="s">
        <v>37</v>
      </c>
      <c r="E673" s="46"/>
      <c r="F673" s="53">
        <f>SUM(F669-F670)</f>
        <v>242.15700000000004</v>
      </c>
      <c r="G673" s="50"/>
      <c r="H673" s="53">
        <f>SUM(H669-H670)</f>
        <v>126.20800000000003</v>
      </c>
      <c r="I673" s="54">
        <f>SUM(H673+F673)</f>
        <v>368.36500000000007</v>
      </c>
    </row>
    <row r="674" spans="2:11" ht="12.6" customHeight="1" x14ac:dyDescent="0.2">
      <c r="E674" s="46"/>
    </row>
    <row r="675" spans="2:11" ht="12.6" customHeight="1" x14ac:dyDescent="0.2">
      <c r="B675" s="1" t="s">
        <v>38</v>
      </c>
      <c r="C675" s="97" t="s">
        <v>39</v>
      </c>
      <c r="D675" s="97"/>
      <c r="E675" s="98" t="s">
        <v>40</v>
      </c>
      <c r="F675" s="98"/>
      <c r="H675" s="99" t="s">
        <v>41</v>
      </c>
      <c r="I675" s="99"/>
      <c r="J675" s="99"/>
    </row>
    <row r="676" spans="2:11" ht="12.6" customHeight="1" thickBot="1" x14ac:dyDescent="0.25">
      <c r="B676" s="55">
        <v>15971</v>
      </c>
      <c r="C676" s="97">
        <f>I673</f>
        <v>368.36500000000007</v>
      </c>
      <c r="D676" s="97"/>
      <c r="E676" s="100">
        <v>4.8192699999999998E-2</v>
      </c>
      <c r="F676" s="100"/>
      <c r="H676" s="101">
        <f>B676*C676*E676</f>
        <v>283525.24035387055</v>
      </c>
      <c r="I676" s="101"/>
      <c r="J676" s="101"/>
      <c r="K676" s="56"/>
    </row>
    <row r="677" spans="2:11" ht="12.6" customHeight="1" thickTop="1" x14ac:dyDescent="0.2"/>
  </sheetData>
  <mergeCells count="187">
    <mergeCell ref="A629:G629"/>
    <mergeCell ref="I629:J629"/>
    <mergeCell ref="A631:A634"/>
    <mergeCell ref="B631:B634"/>
    <mergeCell ref="C631:F631"/>
    <mergeCell ref="G631:J631"/>
    <mergeCell ref="C632:C634"/>
    <mergeCell ref="E632:E634"/>
    <mergeCell ref="G632:G634"/>
    <mergeCell ref="I632:I634"/>
    <mergeCell ref="E558:E560"/>
    <mergeCell ref="G558:G560"/>
    <mergeCell ref="I558:I560"/>
    <mergeCell ref="A594:G594"/>
    <mergeCell ref="I594:J594"/>
    <mergeCell ref="A596:A599"/>
    <mergeCell ref="B596:B599"/>
    <mergeCell ref="C596:F596"/>
    <mergeCell ref="G596:J596"/>
    <mergeCell ref="C597:C599"/>
    <mergeCell ref="E597:E599"/>
    <mergeCell ref="G597:G599"/>
    <mergeCell ref="I597:I599"/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675:D675"/>
    <mergeCell ref="E675:F675"/>
    <mergeCell ref="H675:J675"/>
    <mergeCell ref="C676:D676"/>
    <mergeCell ref="E676:F676"/>
    <mergeCell ref="H676:J676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  <mergeCell ref="A555:G555"/>
    <mergeCell ref="I555:J555"/>
    <mergeCell ref="A557:A560"/>
    <mergeCell ref="B557:B560"/>
    <mergeCell ref="C557:F557"/>
    <mergeCell ref="G557:J557"/>
    <mergeCell ref="C558:C5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71"/>
  <sheetViews>
    <sheetView topLeftCell="A852" zoomScale="160" zoomScaleNormal="160" workbookViewId="0">
      <selection activeCell="B863" sqref="B863:J870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253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212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34711</v>
      </c>
      <c r="B7" s="14"/>
      <c r="C7" s="15">
        <v>3.75</v>
      </c>
      <c r="D7" s="14"/>
      <c r="E7" s="15">
        <f>C7+D7</f>
        <v>3.75</v>
      </c>
      <c r="F7" s="14"/>
      <c r="G7" s="15">
        <f>C7</f>
        <v>3.75</v>
      </c>
      <c r="H7" s="14"/>
      <c r="I7" s="15">
        <f>G7+H7</f>
        <v>3.75</v>
      </c>
      <c r="J7" s="14"/>
      <c r="K7" s="16"/>
    </row>
    <row r="8" spans="1:11" ht="12.6" customHeight="1" x14ac:dyDescent="0.2">
      <c r="A8" s="13">
        <v>35072</v>
      </c>
      <c r="B8" s="17"/>
      <c r="C8" s="15">
        <v>10</v>
      </c>
      <c r="D8" s="18"/>
      <c r="E8" s="15">
        <f>E7+C8-D8</f>
        <v>13.75</v>
      </c>
      <c r="F8" s="14"/>
      <c r="G8" s="15">
        <f t="shared" ref="G8:G33" si="0">C8</f>
        <v>10</v>
      </c>
      <c r="H8" s="14"/>
      <c r="I8" s="15">
        <f>I7+G8-H8</f>
        <v>13.75</v>
      </c>
      <c r="J8" s="14"/>
      <c r="K8" s="16"/>
    </row>
    <row r="9" spans="1:11" ht="12.6" customHeight="1" x14ac:dyDescent="0.2">
      <c r="A9" s="13"/>
      <c r="B9" s="17" t="s">
        <v>95</v>
      </c>
      <c r="C9" s="15"/>
      <c r="D9" s="14">
        <v>3</v>
      </c>
      <c r="E9" s="15">
        <f t="shared" ref="E9:E33" si="1">E8+C9-D9</f>
        <v>10.75</v>
      </c>
      <c r="F9" s="14"/>
      <c r="G9" s="15">
        <f t="shared" si="0"/>
        <v>0</v>
      </c>
      <c r="H9" s="14"/>
      <c r="I9" s="15">
        <f t="shared" ref="I9:I34" si="2">I8+G9-H9</f>
        <v>13.75</v>
      </c>
      <c r="J9" s="14"/>
      <c r="K9" s="16" t="s">
        <v>213</v>
      </c>
    </row>
    <row r="10" spans="1:11" ht="12.6" customHeight="1" x14ac:dyDescent="0.2">
      <c r="A10" s="13">
        <v>35076</v>
      </c>
      <c r="B10" s="19"/>
      <c r="C10" s="15">
        <v>5</v>
      </c>
      <c r="D10" s="14"/>
      <c r="E10" s="15">
        <f t="shared" si="1"/>
        <v>15.75</v>
      </c>
      <c r="F10" s="14"/>
      <c r="G10" s="15">
        <f t="shared" si="0"/>
        <v>5</v>
      </c>
      <c r="H10" s="14"/>
      <c r="I10" s="15">
        <f t="shared" si="2"/>
        <v>18.75</v>
      </c>
      <c r="J10" s="14"/>
      <c r="K10" s="13"/>
    </row>
    <row r="11" spans="1:11" ht="12.6" customHeight="1" x14ac:dyDescent="0.2">
      <c r="A11" s="13"/>
      <c r="B11" s="17" t="s">
        <v>74</v>
      </c>
      <c r="C11" s="15"/>
      <c r="D11" s="14"/>
      <c r="E11" s="15">
        <f t="shared" si="1"/>
        <v>15.75</v>
      </c>
      <c r="F11" s="14"/>
      <c r="G11" s="15">
        <f t="shared" si="0"/>
        <v>0</v>
      </c>
      <c r="H11" s="14"/>
      <c r="I11" s="15">
        <f t="shared" si="2"/>
        <v>18.75</v>
      </c>
      <c r="J11" s="14"/>
      <c r="K11" s="20" t="s">
        <v>214</v>
      </c>
    </row>
    <row r="12" spans="1:11" ht="12.6" customHeight="1" x14ac:dyDescent="0.2">
      <c r="A12" s="13">
        <v>35431</v>
      </c>
      <c r="B12" s="19"/>
      <c r="C12" s="15">
        <v>1.25</v>
      </c>
      <c r="D12" s="14"/>
      <c r="E12" s="15">
        <f t="shared" si="1"/>
        <v>17</v>
      </c>
      <c r="F12" s="14"/>
      <c r="G12" s="15">
        <f t="shared" si="0"/>
        <v>1.25</v>
      </c>
      <c r="H12" s="14"/>
      <c r="I12" s="15">
        <f t="shared" si="2"/>
        <v>20</v>
      </c>
      <c r="J12" s="14"/>
      <c r="K12" s="13"/>
    </row>
    <row r="13" spans="1:11" ht="12.6" customHeight="1" x14ac:dyDescent="0.2">
      <c r="A13" s="13"/>
      <c r="B13" s="17" t="s">
        <v>77</v>
      </c>
      <c r="C13" s="15"/>
      <c r="D13" s="14">
        <v>2</v>
      </c>
      <c r="E13" s="15">
        <f t="shared" si="1"/>
        <v>15</v>
      </c>
      <c r="F13" s="14"/>
      <c r="G13" s="15">
        <f t="shared" si="0"/>
        <v>0</v>
      </c>
      <c r="H13" s="14"/>
      <c r="I13" s="15">
        <f t="shared" si="2"/>
        <v>20</v>
      </c>
      <c r="J13" s="14"/>
      <c r="K13" s="13" t="s">
        <v>215</v>
      </c>
    </row>
    <row r="14" spans="1:11" ht="12.6" customHeight="1" x14ac:dyDescent="0.2">
      <c r="A14" s="13">
        <v>35434</v>
      </c>
      <c r="B14" s="17"/>
      <c r="C14" s="15">
        <v>3.75</v>
      </c>
      <c r="D14" s="14"/>
      <c r="E14" s="15">
        <f t="shared" si="1"/>
        <v>18.75</v>
      </c>
      <c r="F14" s="14"/>
      <c r="G14" s="15">
        <f t="shared" si="0"/>
        <v>3.75</v>
      </c>
      <c r="H14" s="14"/>
      <c r="I14" s="15">
        <f t="shared" si="2"/>
        <v>23.75</v>
      </c>
      <c r="J14" s="14"/>
      <c r="K14" s="13"/>
    </row>
    <row r="15" spans="1:11" ht="12.6" customHeight="1" x14ac:dyDescent="0.2">
      <c r="A15" s="13"/>
      <c r="B15" s="17" t="s">
        <v>90</v>
      </c>
      <c r="C15" s="15"/>
      <c r="D15" s="14"/>
      <c r="E15" s="15">
        <f t="shared" si="1"/>
        <v>18.75</v>
      </c>
      <c r="F15" s="14"/>
      <c r="G15" s="15">
        <f t="shared" si="0"/>
        <v>0</v>
      </c>
      <c r="H15" s="14"/>
      <c r="I15" s="15">
        <f t="shared" si="2"/>
        <v>23.75</v>
      </c>
      <c r="J15" s="14"/>
      <c r="K15" s="13" t="s">
        <v>216</v>
      </c>
    </row>
    <row r="16" spans="1:11" ht="12.6" customHeight="1" x14ac:dyDescent="0.2">
      <c r="A16" s="13">
        <v>35796</v>
      </c>
      <c r="B16" s="19"/>
      <c r="C16" s="15">
        <v>11.25</v>
      </c>
      <c r="D16" s="14"/>
      <c r="E16" s="15">
        <f t="shared" si="1"/>
        <v>30</v>
      </c>
      <c r="F16" s="14"/>
      <c r="G16" s="15">
        <f t="shared" si="0"/>
        <v>11.25</v>
      </c>
      <c r="H16" s="14"/>
      <c r="I16" s="15">
        <f t="shared" si="2"/>
        <v>35</v>
      </c>
      <c r="J16" s="14"/>
      <c r="K16" s="13"/>
    </row>
    <row r="17" spans="1:11" ht="12.6" customHeight="1" x14ac:dyDescent="0.2">
      <c r="A17" s="13"/>
      <c r="B17" s="17" t="s">
        <v>65</v>
      </c>
      <c r="C17" s="15"/>
      <c r="D17" s="14">
        <v>5</v>
      </c>
      <c r="E17" s="15">
        <f t="shared" si="1"/>
        <v>25</v>
      </c>
      <c r="F17" s="14"/>
      <c r="G17" s="15">
        <f t="shared" si="0"/>
        <v>0</v>
      </c>
      <c r="H17" s="14"/>
      <c r="I17" s="15">
        <f t="shared" si="2"/>
        <v>35</v>
      </c>
      <c r="J17" s="14"/>
      <c r="K17" s="13" t="s">
        <v>83</v>
      </c>
    </row>
    <row r="18" spans="1:11" ht="12.6" customHeight="1" x14ac:dyDescent="0.2">
      <c r="A18" s="13">
        <v>35800</v>
      </c>
      <c r="B18" s="17"/>
      <c r="C18" s="15">
        <v>5</v>
      </c>
      <c r="D18" s="14"/>
      <c r="E18" s="15">
        <f t="shared" si="1"/>
        <v>30</v>
      </c>
      <c r="F18" s="14"/>
      <c r="G18" s="15">
        <f t="shared" si="0"/>
        <v>5</v>
      </c>
      <c r="H18" s="14"/>
      <c r="I18" s="15">
        <f t="shared" si="2"/>
        <v>40</v>
      </c>
      <c r="J18" s="14"/>
      <c r="K18" s="13"/>
    </row>
    <row r="19" spans="1:11" ht="12.6" customHeight="1" x14ac:dyDescent="0.2">
      <c r="A19" s="13"/>
      <c r="B19" s="17" t="s">
        <v>47</v>
      </c>
      <c r="C19" s="15"/>
      <c r="D19" s="14"/>
      <c r="E19" s="15">
        <f t="shared" si="1"/>
        <v>30</v>
      </c>
      <c r="F19" s="14"/>
      <c r="G19" s="15">
        <f t="shared" si="0"/>
        <v>0</v>
      </c>
      <c r="H19" s="14">
        <v>1</v>
      </c>
      <c r="I19" s="15">
        <f t="shared" si="2"/>
        <v>39</v>
      </c>
      <c r="J19" s="14"/>
      <c r="K19" s="13">
        <v>35920</v>
      </c>
    </row>
    <row r="20" spans="1:11" ht="12.6" customHeight="1" x14ac:dyDescent="0.2">
      <c r="A20" s="13">
        <v>35802</v>
      </c>
      <c r="B20" s="17"/>
      <c r="C20" s="15">
        <v>2.5</v>
      </c>
      <c r="D20" s="21"/>
      <c r="E20" s="15">
        <f t="shared" si="1"/>
        <v>32.5</v>
      </c>
      <c r="F20" s="14"/>
      <c r="G20" s="15">
        <f t="shared" si="0"/>
        <v>2.5</v>
      </c>
      <c r="H20" s="14"/>
      <c r="I20" s="15">
        <f t="shared" si="2"/>
        <v>41.5</v>
      </c>
      <c r="J20" s="14"/>
      <c r="K20" s="13"/>
    </row>
    <row r="21" spans="1:11" ht="12.6" customHeight="1" x14ac:dyDescent="0.2">
      <c r="A21" s="13"/>
      <c r="B21" s="17" t="s">
        <v>67</v>
      </c>
      <c r="C21" s="15"/>
      <c r="D21" s="14"/>
      <c r="E21" s="15">
        <f t="shared" si="1"/>
        <v>32.5</v>
      </c>
      <c r="F21" s="14"/>
      <c r="G21" s="15">
        <f t="shared" si="0"/>
        <v>0</v>
      </c>
      <c r="H21" s="14">
        <v>3</v>
      </c>
      <c r="I21" s="15">
        <f t="shared" si="2"/>
        <v>38.5</v>
      </c>
      <c r="J21" s="14"/>
      <c r="K21" s="13" t="s">
        <v>217</v>
      </c>
    </row>
    <row r="22" spans="1:11" ht="12.6" customHeight="1" x14ac:dyDescent="0.2">
      <c r="A22" s="13">
        <v>35803</v>
      </c>
      <c r="B22" s="17"/>
      <c r="C22" s="15">
        <v>1.25</v>
      </c>
      <c r="D22" s="14"/>
      <c r="E22" s="15">
        <f t="shared" si="1"/>
        <v>33.75</v>
      </c>
      <c r="F22" s="14"/>
      <c r="G22" s="15">
        <f t="shared" si="0"/>
        <v>1.25</v>
      </c>
      <c r="H22" s="14"/>
      <c r="I22" s="15">
        <f t="shared" si="2"/>
        <v>39.75</v>
      </c>
      <c r="J22" s="14"/>
      <c r="K22" s="13"/>
    </row>
    <row r="23" spans="1:11" ht="12.6" customHeight="1" x14ac:dyDescent="0.2">
      <c r="A23" s="13"/>
      <c r="B23" s="17" t="s">
        <v>77</v>
      </c>
      <c r="C23" s="15"/>
      <c r="D23" s="14">
        <v>2</v>
      </c>
      <c r="E23" s="15">
        <f t="shared" si="1"/>
        <v>31.75</v>
      </c>
      <c r="F23" s="14"/>
      <c r="G23" s="15">
        <f t="shared" si="0"/>
        <v>0</v>
      </c>
      <c r="H23" s="14"/>
      <c r="I23" s="15">
        <f t="shared" si="2"/>
        <v>39.75</v>
      </c>
      <c r="J23" s="14"/>
      <c r="K23" s="13" t="s">
        <v>218</v>
      </c>
    </row>
    <row r="24" spans="1:11" ht="12.6" customHeight="1" x14ac:dyDescent="0.2">
      <c r="A24" s="13">
        <v>35806</v>
      </c>
      <c r="B24" s="19"/>
      <c r="C24" s="15">
        <v>3.75</v>
      </c>
      <c r="D24" s="14"/>
      <c r="E24" s="15">
        <f t="shared" si="1"/>
        <v>35.5</v>
      </c>
      <c r="F24" s="14"/>
      <c r="G24" s="15">
        <f t="shared" si="0"/>
        <v>3.75</v>
      </c>
      <c r="H24" s="14"/>
      <c r="I24" s="15">
        <f t="shared" si="2"/>
        <v>43.5</v>
      </c>
      <c r="J24" s="14"/>
      <c r="K24" s="13"/>
    </row>
    <row r="25" spans="1:11" ht="12.6" customHeight="1" x14ac:dyDescent="0.2">
      <c r="A25" s="13"/>
      <c r="B25" s="17" t="s">
        <v>87</v>
      </c>
      <c r="C25" s="15"/>
      <c r="D25" s="14">
        <v>3</v>
      </c>
      <c r="E25" s="15">
        <f t="shared" si="1"/>
        <v>32.5</v>
      </c>
      <c r="F25" s="14"/>
      <c r="G25" s="15">
        <f t="shared" si="0"/>
        <v>0</v>
      </c>
      <c r="H25" s="14"/>
      <c r="I25" s="15">
        <f t="shared" si="2"/>
        <v>43.5</v>
      </c>
      <c r="J25" s="14"/>
      <c r="K25" s="13" t="s">
        <v>219</v>
      </c>
    </row>
    <row r="26" spans="1:11" ht="12.6" customHeight="1" x14ac:dyDescent="0.2">
      <c r="A26" s="13">
        <v>36162</v>
      </c>
      <c r="B26" s="19"/>
      <c r="C26" s="15">
        <v>3.75</v>
      </c>
      <c r="D26" s="14"/>
      <c r="E26" s="15">
        <f t="shared" si="1"/>
        <v>36.25</v>
      </c>
      <c r="F26" s="14"/>
      <c r="G26" s="15">
        <f t="shared" si="0"/>
        <v>3.75</v>
      </c>
      <c r="H26" s="14"/>
      <c r="I26" s="15">
        <f t="shared" si="2"/>
        <v>47.25</v>
      </c>
      <c r="J26" s="14"/>
      <c r="K26" s="13"/>
    </row>
    <row r="27" spans="1:11" ht="12.6" customHeight="1" x14ac:dyDescent="0.2">
      <c r="A27" s="13"/>
      <c r="B27" s="17" t="s">
        <v>45</v>
      </c>
      <c r="C27" s="15"/>
      <c r="D27" s="14"/>
      <c r="E27" s="15">
        <f t="shared" si="1"/>
        <v>36.25</v>
      </c>
      <c r="F27" s="14"/>
      <c r="G27" s="15">
        <f t="shared" si="0"/>
        <v>0</v>
      </c>
      <c r="H27" s="14"/>
      <c r="I27" s="15">
        <f t="shared" si="2"/>
        <v>47.25</v>
      </c>
      <c r="J27" s="14"/>
      <c r="K27" s="13" t="s">
        <v>220</v>
      </c>
    </row>
    <row r="28" spans="1:11" ht="12.6" customHeight="1" x14ac:dyDescent="0.2">
      <c r="A28" s="13">
        <v>36170</v>
      </c>
      <c r="B28" s="17"/>
      <c r="C28" s="15">
        <v>10</v>
      </c>
      <c r="D28" s="14"/>
      <c r="E28" s="15">
        <f t="shared" si="1"/>
        <v>46.25</v>
      </c>
      <c r="F28" s="14"/>
      <c r="G28" s="15">
        <f t="shared" si="0"/>
        <v>10</v>
      </c>
      <c r="H28" s="14"/>
      <c r="I28" s="15">
        <f t="shared" si="2"/>
        <v>57.25</v>
      </c>
      <c r="J28" s="14"/>
      <c r="K28" s="13"/>
    </row>
    <row r="29" spans="1:11" ht="12.6" customHeight="1" x14ac:dyDescent="0.2">
      <c r="A29" s="13"/>
      <c r="B29" s="17" t="s">
        <v>77</v>
      </c>
      <c r="C29" s="15"/>
      <c r="D29" s="14">
        <v>2</v>
      </c>
      <c r="E29" s="15">
        <f t="shared" si="1"/>
        <v>44.25</v>
      </c>
      <c r="F29" s="14"/>
      <c r="G29" s="15">
        <f t="shared" si="0"/>
        <v>0</v>
      </c>
      <c r="H29" s="14"/>
      <c r="I29" s="15">
        <f t="shared" si="2"/>
        <v>57.25</v>
      </c>
      <c r="J29" s="14"/>
      <c r="K29" s="13" t="s">
        <v>221</v>
      </c>
    </row>
    <row r="30" spans="1:11" ht="12.6" customHeight="1" x14ac:dyDescent="0.2">
      <c r="A30" s="13">
        <v>36527</v>
      </c>
      <c r="B30" s="17"/>
      <c r="C30" s="15">
        <v>5</v>
      </c>
      <c r="D30" s="14"/>
      <c r="E30" s="15">
        <f t="shared" si="1"/>
        <v>49.25</v>
      </c>
      <c r="F30" s="14"/>
      <c r="G30" s="15">
        <f t="shared" si="0"/>
        <v>5</v>
      </c>
      <c r="H30" s="14"/>
      <c r="I30" s="15">
        <f t="shared" si="2"/>
        <v>62.25</v>
      </c>
      <c r="J30" s="14"/>
      <c r="K30" s="16"/>
    </row>
    <row r="31" spans="1:11" ht="12.6" customHeight="1" x14ac:dyDescent="0.2">
      <c r="A31" s="13"/>
      <c r="B31" s="19" t="s">
        <v>222</v>
      </c>
      <c r="C31" s="15"/>
      <c r="D31" s="14">
        <v>23</v>
      </c>
      <c r="E31" s="15">
        <f t="shared" si="1"/>
        <v>26.25</v>
      </c>
      <c r="F31" s="22"/>
      <c r="G31" s="15">
        <f t="shared" si="0"/>
        <v>0</v>
      </c>
      <c r="H31" s="22"/>
      <c r="I31" s="15">
        <f t="shared" si="2"/>
        <v>62.25</v>
      </c>
      <c r="J31" s="22"/>
      <c r="K31" s="23">
        <v>1999</v>
      </c>
    </row>
    <row r="32" spans="1:11" ht="12.6" customHeight="1" x14ac:dyDescent="0.2">
      <c r="A32" s="13"/>
      <c r="B32" s="17" t="s">
        <v>52</v>
      </c>
      <c r="C32" s="15"/>
      <c r="D32" s="14"/>
      <c r="E32" s="15">
        <f t="shared" si="1"/>
        <v>26.25</v>
      </c>
      <c r="F32" s="22"/>
      <c r="G32" s="15">
        <f t="shared" si="0"/>
        <v>0</v>
      </c>
      <c r="H32" s="22">
        <v>2</v>
      </c>
      <c r="I32" s="15">
        <f t="shared" si="2"/>
        <v>60.25</v>
      </c>
      <c r="J32" s="22"/>
      <c r="K32" s="23" t="s">
        <v>223</v>
      </c>
    </row>
    <row r="33" spans="1:11" ht="12.6" customHeight="1" x14ac:dyDescent="0.2">
      <c r="A33" s="13">
        <v>36528</v>
      </c>
      <c r="B33" s="17"/>
      <c r="C33" s="15">
        <v>1.25</v>
      </c>
      <c r="D33" s="14"/>
      <c r="E33" s="15">
        <f t="shared" si="1"/>
        <v>27.5</v>
      </c>
      <c r="F33" s="22"/>
      <c r="G33" s="15">
        <f t="shared" si="0"/>
        <v>1.25</v>
      </c>
      <c r="H33" s="22"/>
      <c r="I33" s="15">
        <f t="shared" si="2"/>
        <v>61.5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67.5</v>
      </c>
      <c r="D34" s="25">
        <f>SUM(D9:D33)</f>
        <v>40</v>
      </c>
      <c r="E34" s="25"/>
      <c r="F34" s="22"/>
      <c r="G34" s="25">
        <f>SUM(G7:G33)</f>
        <v>67.5</v>
      </c>
      <c r="H34" s="25">
        <f>SUM(H7:H33)</f>
        <v>6</v>
      </c>
      <c r="I34" s="15">
        <f t="shared" si="2"/>
        <v>123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ONAL, EDMON L.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SEPTEMBER 01, 1995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 t="s">
        <v>52</v>
      </c>
      <c r="C43" s="15"/>
      <c r="D43" s="14"/>
      <c r="E43" s="15">
        <f>E33+C43-D43</f>
        <v>27.5</v>
      </c>
      <c r="F43" s="14"/>
      <c r="G43" s="15">
        <f>C43</f>
        <v>0</v>
      </c>
      <c r="H43" s="14"/>
      <c r="I43" s="15">
        <f>I33+G43-H43</f>
        <v>61.5</v>
      </c>
      <c r="J43" s="14"/>
      <c r="K43" s="13" t="s">
        <v>224</v>
      </c>
    </row>
    <row r="44" spans="1:11" ht="12.6" customHeight="1" x14ac:dyDescent="0.2">
      <c r="A44" s="13">
        <v>36529</v>
      </c>
      <c r="B44" s="17"/>
      <c r="C44" s="15">
        <v>1.25</v>
      </c>
      <c r="D44" s="14"/>
      <c r="E44" s="15">
        <f>E43+C44-D44</f>
        <v>28.75</v>
      </c>
      <c r="F44" s="14"/>
      <c r="G44" s="15">
        <f t="shared" ref="G44:G68" si="3">C44</f>
        <v>1.25</v>
      </c>
      <c r="H44" s="14"/>
      <c r="I44" s="15">
        <f>I43+G44-H44</f>
        <v>62.75</v>
      </c>
      <c r="J44" s="14"/>
      <c r="K44" s="13"/>
    </row>
    <row r="45" spans="1:11" ht="12.6" customHeight="1" x14ac:dyDescent="0.2">
      <c r="A45" s="13"/>
      <c r="B45" s="17" t="s">
        <v>47</v>
      </c>
      <c r="C45" s="15"/>
      <c r="D45" s="14"/>
      <c r="E45" s="15">
        <f t="shared" ref="E45:E68" si="4">E44+C45-D45</f>
        <v>28.75</v>
      </c>
      <c r="F45" s="14"/>
      <c r="G45" s="15">
        <f t="shared" si="3"/>
        <v>0</v>
      </c>
      <c r="H45" s="14">
        <v>1</v>
      </c>
      <c r="I45" s="15">
        <f t="shared" ref="I45:I68" si="5">I44+G45-H45</f>
        <v>61.75</v>
      </c>
      <c r="J45" s="14"/>
      <c r="K45" s="13" t="s">
        <v>225</v>
      </c>
    </row>
    <row r="46" spans="1:11" ht="12.6" customHeight="1" x14ac:dyDescent="0.2">
      <c r="A46" s="13"/>
      <c r="B46" s="17" t="s">
        <v>52</v>
      </c>
      <c r="C46" s="15"/>
      <c r="D46" s="14"/>
      <c r="E46" s="15">
        <f t="shared" si="4"/>
        <v>28.75</v>
      </c>
      <c r="F46" s="14"/>
      <c r="G46" s="15">
        <f t="shared" si="3"/>
        <v>0</v>
      </c>
      <c r="H46" s="14">
        <v>2</v>
      </c>
      <c r="I46" s="15">
        <f t="shared" si="5"/>
        <v>59.75</v>
      </c>
      <c r="J46" s="14"/>
      <c r="K46" s="13" t="s">
        <v>226</v>
      </c>
    </row>
    <row r="47" spans="1:11" ht="12.6" customHeight="1" x14ac:dyDescent="0.2">
      <c r="A47" s="13">
        <v>36530</v>
      </c>
      <c r="B47" s="19"/>
      <c r="C47" s="15">
        <v>1.25</v>
      </c>
      <c r="D47" s="14"/>
      <c r="E47" s="15">
        <f t="shared" si="4"/>
        <v>30</v>
      </c>
      <c r="F47" s="14"/>
      <c r="G47" s="15">
        <f t="shared" si="3"/>
        <v>1.25</v>
      </c>
      <c r="H47" s="14"/>
      <c r="I47" s="15">
        <f t="shared" si="5"/>
        <v>61</v>
      </c>
      <c r="J47" s="14"/>
      <c r="K47" s="13"/>
    </row>
    <row r="48" spans="1:11" ht="12.6" customHeight="1" x14ac:dyDescent="0.2">
      <c r="A48" s="13"/>
      <c r="B48" s="17" t="s">
        <v>52</v>
      </c>
      <c r="C48" s="15"/>
      <c r="D48" s="14"/>
      <c r="E48" s="15">
        <f t="shared" si="4"/>
        <v>30</v>
      </c>
      <c r="F48" s="14"/>
      <c r="G48" s="15">
        <f t="shared" si="3"/>
        <v>0</v>
      </c>
      <c r="H48" s="14">
        <v>2</v>
      </c>
      <c r="I48" s="15">
        <f t="shared" si="5"/>
        <v>59</v>
      </c>
      <c r="J48" s="14"/>
      <c r="K48" s="13" t="s">
        <v>227</v>
      </c>
    </row>
    <row r="49" spans="1:11" ht="12.6" customHeight="1" x14ac:dyDescent="0.2">
      <c r="A49" s="13">
        <v>36531</v>
      </c>
      <c r="B49" s="19"/>
      <c r="C49" s="15">
        <v>1.25</v>
      </c>
      <c r="D49" s="14"/>
      <c r="E49" s="15">
        <f t="shared" si="4"/>
        <v>31.25</v>
      </c>
      <c r="F49" s="14"/>
      <c r="G49" s="15">
        <f t="shared" si="3"/>
        <v>1.25</v>
      </c>
      <c r="H49" s="14"/>
      <c r="I49" s="15">
        <f t="shared" si="5"/>
        <v>60.25</v>
      </c>
      <c r="J49" s="14"/>
      <c r="K49" s="13"/>
    </row>
    <row r="50" spans="1:11" ht="12.6" customHeight="1" x14ac:dyDescent="0.2">
      <c r="A50" s="13"/>
      <c r="B50" s="17" t="s">
        <v>52</v>
      </c>
      <c r="C50" s="15"/>
      <c r="D50" s="14"/>
      <c r="E50" s="15">
        <f t="shared" si="4"/>
        <v>31.25</v>
      </c>
      <c r="F50" s="14"/>
      <c r="G50" s="15">
        <f t="shared" si="3"/>
        <v>0</v>
      </c>
      <c r="H50" s="14">
        <v>2</v>
      </c>
      <c r="I50" s="15">
        <f t="shared" si="5"/>
        <v>58.25</v>
      </c>
      <c r="J50" s="14"/>
      <c r="K50" s="13" t="s">
        <v>228</v>
      </c>
    </row>
    <row r="51" spans="1:11" ht="12.6" customHeight="1" x14ac:dyDescent="0.2">
      <c r="A51" s="13">
        <v>36533</v>
      </c>
      <c r="B51" s="19"/>
      <c r="C51" s="15">
        <v>2.5</v>
      </c>
      <c r="D51" s="14"/>
      <c r="E51" s="15">
        <f t="shared" si="4"/>
        <v>33.75</v>
      </c>
      <c r="F51" s="14"/>
      <c r="G51" s="15">
        <f t="shared" si="3"/>
        <v>2.5</v>
      </c>
      <c r="H51" s="14"/>
      <c r="I51" s="15">
        <f t="shared" si="5"/>
        <v>60.75</v>
      </c>
      <c r="J51" s="14"/>
      <c r="K51" s="16"/>
    </row>
    <row r="52" spans="1:11" ht="12.6" customHeight="1" x14ac:dyDescent="0.2">
      <c r="A52" s="13"/>
      <c r="B52" s="17" t="s">
        <v>76</v>
      </c>
      <c r="C52" s="15"/>
      <c r="D52" s="14">
        <v>2</v>
      </c>
      <c r="E52" s="15">
        <f t="shared" si="4"/>
        <v>31.75</v>
      </c>
      <c r="F52" s="14"/>
      <c r="G52" s="15">
        <f t="shared" si="3"/>
        <v>0</v>
      </c>
      <c r="H52" s="14"/>
      <c r="I52" s="15">
        <f t="shared" si="5"/>
        <v>60.75</v>
      </c>
      <c r="J52" s="14"/>
      <c r="K52" s="13" t="s">
        <v>229</v>
      </c>
    </row>
    <row r="53" spans="1:11" ht="12.6" customHeight="1" x14ac:dyDescent="0.2">
      <c r="A53" s="13"/>
      <c r="B53" s="17" t="s">
        <v>95</v>
      </c>
      <c r="C53" s="15"/>
      <c r="D53" s="14">
        <v>3</v>
      </c>
      <c r="E53" s="15">
        <f t="shared" si="4"/>
        <v>28.75</v>
      </c>
      <c r="F53" s="14"/>
      <c r="G53" s="15">
        <f t="shared" si="3"/>
        <v>0</v>
      </c>
      <c r="H53" s="14"/>
      <c r="I53" s="15">
        <f t="shared" si="5"/>
        <v>60.75</v>
      </c>
      <c r="J53" s="14"/>
      <c r="K53" s="13" t="s">
        <v>230</v>
      </c>
    </row>
    <row r="54" spans="1:11" ht="12.6" customHeight="1" x14ac:dyDescent="0.2">
      <c r="A54" s="13">
        <v>36534</v>
      </c>
      <c r="B54" s="19"/>
      <c r="C54" s="15">
        <v>1.25</v>
      </c>
      <c r="D54" s="14"/>
      <c r="E54" s="15">
        <f t="shared" si="4"/>
        <v>30</v>
      </c>
      <c r="F54" s="14"/>
      <c r="G54" s="15">
        <f t="shared" si="3"/>
        <v>1.25</v>
      </c>
      <c r="H54" s="14"/>
      <c r="I54" s="15">
        <f t="shared" si="5"/>
        <v>62</v>
      </c>
      <c r="J54" s="14"/>
      <c r="K54" s="13"/>
    </row>
    <row r="55" spans="1:11" ht="12.6" customHeight="1" x14ac:dyDescent="0.2">
      <c r="A55" s="13"/>
      <c r="B55" s="17" t="s">
        <v>47</v>
      </c>
      <c r="C55" s="15"/>
      <c r="D55" s="14"/>
      <c r="E55" s="15">
        <f t="shared" si="4"/>
        <v>30</v>
      </c>
      <c r="F55" s="14"/>
      <c r="G55" s="15">
        <f t="shared" si="3"/>
        <v>0</v>
      </c>
      <c r="H55" s="14">
        <v>1</v>
      </c>
      <c r="I55" s="15">
        <f t="shared" si="5"/>
        <v>61</v>
      </c>
      <c r="J55" s="14"/>
      <c r="K55" s="13">
        <v>36655</v>
      </c>
    </row>
    <row r="56" spans="1:11" ht="12.6" customHeight="1" x14ac:dyDescent="0.2">
      <c r="A56" s="13">
        <v>36537</v>
      </c>
      <c r="B56" s="19"/>
      <c r="C56" s="15">
        <v>3.75</v>
      </c>
      <c r="D56" s="14"/>
      <c r="E56" s="15">
        <f t="shared" si="4"/>
        <v>33.75</v>
      </c>
      <c r="F56" s="14"/>
      <c r="G56" s="15">
        <f t="shared" si="3"/>
        <v>3.75</v>
      </c>
      <c r="H56" s="14"/>
      <c r="I56" s="15">
        <f t="shared" si="5"/>
        <v>64.75</v>
      </c>
      <c r="J56" s="14"/>
      <c r="K56" s="13"/>
    </row>
    <row r="57" spans="1:11" ht="12.6" customHeight="1" x14ac:dyDescent="0.2">
      <c r="A57" s="13"/>
      <c r="B57" s="17" t="s">
        <v>52</v>
      </c>
      <c r="C57" s="15"/>
      <c r="D57" s="14"/>
      <c r="E57" s="15">
        <f t="shared" si="4"/>
        <v>33.75</v>
      </c>
      <c r="F57" s="14"/>
      <c r="G57" s="15">
        <f t="shared" si="3"/>
        <v>0</v>
      </c>
      <c r="H57" s="14">
        <v>2</v>
      </c>
      <c r="I57" s="15">
        <f t="shared" si="5"/>
        <v>62.75</v>
      </c>
      <c r="J57" s="14"/>
      <c r="K57" s="13" t="s">
        <v>231</v>
      </c>
    </row>
    <row r="58" spans="1:11" ht="12.6" customHeight="1" x14ac:dyDescent="0.2">
      <c r="A58" s="13">
        <v>36892</v>
      </c>
      <c r="B58" s="19"/>
      <c r="C58" s="15">
        <v>1.25</v>
      </c>
      <c r="D58" s="14"/>
      <c r="E58" s="15">
        <f t="shared" si="4"/>
        <v>35</v>
      </c>
      <c r="F58" s="14"/>
      <c r="G58" s="15">
        <f t="shared" si="3"/>
        <v>1.25</v>
      </c>
      <c r="H58" s="14"/>
      <c r="I58" s="15">
        <f t="shared" si="5"/>
        <v>64</v>
      </c>
      <c r="J58" s="14"/>
      <c r="K58" s="13"/>
    </row>
    <row r="59" spans="1:11" ht="12.6" customHeight="1" x14ac:dyDescent="0.2">
      <c r="A59" s="13"/>
      <c r="B59" s="19" t="s">
        <v>67</v>
      </c>
      <c r="C59" s="15"/>
      <c r="D59" s="14"/>
      <c r="E59" s="15">
        <f t="shared" si="4"/>
        <v>35</v>
      </c>
      <c r="F59" s="14"/>
      <c r="G59" s="15">
        <f t="shared" si="3"/>
        <v>0</v>
      </c>
      <c r="H59" s="14">
        <v>3</v>
      </c>
      <c r="I59" s="15">
        <f t="shared" si="5"/>
        <v>61</v>
      </c>
      <c r="J59" s="14"/>
      <c r="K59" s="13" t="s">
        <v>232</v>
      </c>
    </row>
    <row r="60" spans="1:11" ht="12.6" customHeight="1" x14ac:dyDescent="0.2">
      <c r="A60" s="13">
        <v>36893</v>
      </c>
      <c r="B60" s="19"/>
      <c r="C60" s="15">
        <v>1.25</v>
      </c>
      <c r="D60" s="14"/>
      <c r="E60" s="15">
        <f t="shared" si="4"/>
        <v>36.25</v>
      </c>
      <c r="F60" s="14"/>
      <c r="G60" s="15">
        <f t="shared" si="3"/>
        <v>1.25</v>
      </c>
      <c r="H60" s="14"/>
      <c r="I60" s="15">
        <f t="shared" si="5"/>
        <v>62.25</v>
      </c>
      <c r="J60" s="14"/>
      <c r="K60" s="13"/>
    </row>
    <row r="61" spans="1:11" ht="12.6" customHeight="1" x14ac:dyDescent="0.2">
      <c r="A61" s="13"/>
      <c r="B61" s="19" t="s">
        <v>45</v>
      </c>
      <c r="C61" s="15"/>
      <c r="D61" s="14"/>
      <c r="E61" s="15">
        <f t="shared" si="4"/>
        <v>36.25</v>
      </c>
      <c r="F61" s="14"/>
      <c r="G61" s="15">
        <f t="shared" si="3"/>
        <v>0</v>
      </c>
      <c r="H61" s="14"/>
      <c r="I61" s="15">
        <f t="shared" si="5"/>
        <v>62.25</v>
      </c>
      <c r="J61" s="14"/>
      <c r="K61" s="13" t="s">
        <v>233</v>
      </c>
    </row>
    <row r="62" spans="1:11" ht="12.6" customHeight="1" x14ac:dyDescent="0.2">
      <c r="A62" s="13">
        <v>36896</v>
      </c>
      <c r="B62" s="17"/>
      <c r="C62" s="15">
        <v>3.75</v>
      </c>
      <c r="D62" s="14"/>
      <c r="E62" s="15">
        <f t="shared" si="4"/>
        <v>40</v>
      </c>
      <c r="F62" s="14"/>
      <c r="G62" s="15">
        <f t="shared" si="3"/>
        <v>3.75</v>
      </c>
      <c r="H62" s="14"/>
      <c r="I62" s="15">
        <f t="shared" si="5"/>
        <v>66</v>
      </c>
      <c r="J62" s="14"/>
      <c r="K62" s="16"/>
    </row>
    <row r="63" spans="1:11" ht="12.6" customHeight="1" x14ac:dyDescent="0.2">
      <c r="A63" s="13"/>
      <c r="B63" s="19" t="s">
        <v>47</v>
      </c>
      <c r="C63" s="15"/>
      <c r="D63" s="14"/>
      <c r="E63" s="15">
        <f t="shared" si="4"/>
        <v>40</v>
      </c>
      <c r="F63" s="14"/>
      <c r="G63" s="15">
        <f t="shared" si="3"/>
        <v>0</v>
      </c>
      <c r="H63" s="14">
        <v>1</v>
      </c>
      <c r="I63" s="15">
        <f t="shared" si="5"/>
        <v>65</v>
      </c>
      <c r="J63" s="14"/>
      <c r="K63" s="13">
        <v>37077</v>
      </c>
    </row>
    <row r="64" spans="1:11" ht="12.6" customHeight="1" x14ac:dyDescent="0.2">
      <c r="A64" s="29"/>
      <c r="B64" s="19" t="s">
        <v>74</v>
      </c>
      <c r="C64" s="15"/>
      <c r="D64" s="14">
        <v>1</v>
      </c>
      <c r="E64" s="15">
        <f t="shared" si="4"/>
        <v>39</v>
      </c>
      <c r="F64" s="14"/>
      <c r="G64" s="15">
        <f>C64</f>
        <v>0</v>
      </c>
      <c r="H64" s="14"/>
      <c r="I64" s="15">
        <f t="shared" si="5"/>
        <v>65</v>
      </c>
      <c r="J64" s="14"/>
      <c r="K64" s="29" t="s">
        <v>234</v>
      </c>
    </row>
    <row r="65" spans="1:11" ht="12.6" customHeight="1" x14ac:dyDescent="0.2">
      <c r="A65" s="13">
        <v>36897</v>
      </c>
      <c r="B65" s="19"/>
      <c r="C65" s="15">
        <v>1.25</v>
      </c>
      <c r="D65" s="21"/>
      <c r="E65" s="15">
        <f t="shared" si="4"/>
        <v>40.25</v>
      </c>
      <c r="F65" s="14"/>
      <c r="G65" s="15">
        <f t="shared" si="3"/>
        <v>1.25</v>
      </c>
      <c r="H65" s="14"/>
      <c r="I65" s="15">
        <f t="shared" si="5"/>
        <v>66.25</v>
      </c>
      <c r="J65" s="14"/>
      <c r="K65" s="13"/>
    </row>
    <row r="66" spans="1:11" ht="12.6" customHeight="1" x14ac:dyDescent="0.2">
      <c r="A66" s="13"/>
      <c r="B66" s="19" t="s">
        <v>47</v>
      </c>
      <c r="C66" s="15"/>
      <c r="D66" s="14"/>
      <c r="E66" s="15">
        <f t="shared" si="4"/>
        <v>40.25</v>
      </c>
      <c r="F66" s="14"/>
      <c r="G66" s="15">
        <f t="shared" si="3"/>
        <v>0</v>
      </c>
      <c r="H66" s="14">
        <v>1</v>
      </c>
      <c r="I66" s="15">
        <f t="shared" si="5"/>
        <v>65.25</v>
      </c>
      <c r="J66" s="14"/>
      <c r="K66" s="13" t="s">
        <v>235</v>
      </c>
    </row>
    <row r="67" spans="1:11" ht="12.6" customHeight="1" x14ac:dyDescent="0.2">
      <c r="A67" s="30"/>
      <c r="B67" s="19"/>
      <c r="C67" s="15"/>
      <c r="D67" s="14">
        <v>2</v>
      </c>
      <c r="E67" s="15">
        <f t="shared" si="4"/>
        <v>38.25</v>
      </c>
      <c r="F67" s="14"/>
      <c r="G67" s="15">
        <f t="shared" si="3"/>
        <v>0</v>
      </c>
      <c r="H67" s="31"/>
      <c r="I67" s="15">
        <f t="shared" si="5"/>
        <v>65.25</v>
      </c>
      <c r="J67" s="31"/>
      <c r="K67" s="30" t="s">
        <v>236</v>
      </c>
    </row>
    <row r="68" spans="1:11" ht="12.6" customHeight="1" x14ac:dyDescent="0.2">
      <c r="A68" s="13"/>
      <c r="B68" s="17" t="s">
        <v>76</v>
      </c>
      <c r="C68" s="15"/>
      <c r="D68" s="14">
        <v>2</v>
      </c>
      <c r="E68" s="15">
        <f t="shared" si="4"/>
        <v>36.25</v>
      </c>
      <c r="F68" s="14"/>
      <c r="G68" s="15">
        <f t="shared" si="3"/>
        <v>0</v>
      </c>
      <c r="H68" s="14"/>
      <c r="I68" s="15">
        <f t="shared" si="5"/>
        <v>65.25</v>
      </c>
      <c r="J68" s="14"/>
      <c r="K68" s="13" t="s">
        <v>237</v>
      </c>
    </row>
    <row r="69" spans="1:11" ht="12.6" customHeight="1" x14ac:dyDescent="0.2">
      <c r="A69" s="24" t="s">
        <v>15</v>
      </c>
      <c r="B69" s="17" t="s">
        <v>76</v>
      </c>
      <c r="C69" s="15">
        <f>SUM(C43:C68)</f>
        <v>18.75</v>
      </c>
      <c r="D69" s="15">
        <f>SUM(D43:D68)</f>
        <v>10</v>
      </c>
      <c r="E69" s="15" t="s">
        <v>17</v>
      </c>
      <c r="F69" s="32"/>
      <c r="G69" s="15">
        <f>SUM(G43:G68)</f>
        <v>18.75</v>
      </c>
      <c r="H69" s="15">
        <f>SUM(H43:H68)</f>
        <v>15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ONAL, EDMON L.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SEPTEMBER 01, 1995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>
        <v>36898</v>
      </c>
      <c r="B82" s="19"/>
      <c r="C82" s="15">
        <v>1.25</v>
      </c>
      <c r="D82" s="14"/>
      <c r="E82" s="15">
        <f>E68+C82-D82</f>
        <v>37.5</v>
      </c>
      <c r="F82" s="14"/>
      <c r="G82" s="15">
        <f>C82</f>
        <v>1.25</v>
      </c>
      <c r="H82" s="14"/>
      <c r="I82" s="15">
        <f>I68+G82-H82</f>
        <v>66.5</v>
      </c>
      <c r="J82" s="14"/>
      <c r="K82" s="13"/>
    </row>
    <row r="83" spans="1:11" ht="12.6" customHeight="1" x14ac:dyDescent="0.2">
      <c r="A83" s="13"/>
      <c r="B83" s="17" t="s">
        <v>52</v>
      </c>
      <c r="C83" s="15"/>
      <c r="D83" s="14"/>
      <c r="E83" s="15">
        <f>E82+C83-D83</f>
        <v>37.5</v>
      </c>
      <c r="F83" s="14"/>
      <c r="G83" s="15">
        <f t="shared" ref="G83:G107" si="6">C83</f>
        <v>0</v>
      </c>
      <c r="H83" s="14">
        <v>2</v>
      </c>
      <c r="I83" s="15">
        <f>I82+G83-H83</f>
        <v>64.5</v>
      </c>
      <c r="J83" s="22"/>
      <c r="K83" s="23" t="s">
        <v>238</v>
      </c>
    </row>
    <row r="84" spans="1:11" ht="12.6" customHeight="1" x14ac:dyDescent="0.2">
      <c r="A84" s="13"/>
      <c r="B84" s="19" t="s">
        <v>67</v>
      </c>
      <c r="C84" s="15"/>
      <c r="D84" s="14"/>
      <c r="E84" s="15">
        <f t="shared" ref="E84:E107" si="7">E83+C84-D84</f>
        <v>37.5</v>
      </c>
      <c r="F84" s="14"/>
      <c r="G84" s="15">
        <f t="shared" si="6"/>
        <v>0</v>
      </c>
      <c r="H84" s="14">
        <v>3</v>
      </c>
      <c r="I84" s="15">
        <f t="shared" ref="I84:I107" si="8">I83+G84-H84</f>
        <v>61.5</v>
      </c>
      <c r="J84" s="14"/>
      <c r="K84" s="16" t="s">
        <v>239</v>
      </c>
    </row>
    <row r="85" spans="1:11" ht="12.6" customHeight="1" x14ac:dyDescent="0.2">
      <c r="A85" s="13">
        <v>36900</v>
      </c>
      <c r="B85" s="19"/>
      <c r="C85" s="15">
        <v>2.5</v>
      </c>
      <c r="D85" s="14"/>
      <c r="E85" s="15">
        <f t="shared" si="7"/>
        <v>40</v>
      </c>
      <c r="F85" s="14"/>
      <c r="G85" s="15">
        <f t="shared" si="6"/>
        <v>2.5</v>
      </c>
      <c r="H85" s="14"/>
      <c r="I85" s="15">
        <f t="shared" si="8"/>
        <v>64</v>
      </c>
      <c r="J85" s="14"/>
      <c r="K85" s="13"/>
    </row>
    <row r="86" spans="1:11" ht="12.6" customHeight="1" x14ac:dyDescent="0.2">
      <c r="A86" s="29"/>
      <c r="B86" s="17" t="s">
        <v>52</v>
      </c>
      <c r="C86" s="15"/>
      <c r="D86" s="14"/>
      <c r="E86" s="15">
        <f t="shared" si="7"/>
        <v>40</v>
      </c>
      <c r="F86" s="14"/>
      <c r="G86" s="15">
        <f t="shared" si="6"/>
        <v>0</v>
      </c>
      <c r="H86" s="14">
        <v>2</v>
      </c>
      <c r="I86" s="15">
        <f t="shared" si="8"/>
        <v>62</v>
      </c>
      <c r="J86" s="14"/>
      <c r="K86" s="13" t="s">
        <v>240</v>
      </c>
    </row>
    <row r="87" spans="1:11" ht="12.6" customHeight="1" x14ac:dyDescent="0.2">
      <c r="A87" s="13">
        <v>36901</v>
      </c>
      <c r="B87" s="19"/>
      <c r="C87" s="15">
        <v>1.25</v>
      </c>
      <c r="D87" s="14"/>
      <c r="E87" s="15">
        <f t="shared" si="7"/>
        <v>41.25</v>
      </c>
      <c r="F87" s="14"/>
      <c r="G87" s="15">
        <f t="shared" si="6"/>
        <v>1.25</v>
      </c>
      <c r="H87" s="14"/>
      <c r="I87" s="15">
        <f t="shared" si="8"/>
        <v>63.25</v>
      </c>
      <c r="J87" s="14"/>
      <c r="K87" s="13"/>
    </row>
    <row r="88" spans="1:11" ht="12.6" customHeight="1" x14ac:dyDescent="0.2">
      <c r="A88" s="13"/>
      <c r="B88" s="19" t="s">
        <v>47</v>
      </c>
      <c r="C88" s="15"/>
      <c r="D88" s="14"/>
      <c r="E88" s="15">
        <f t="shared" si="7"/>
        <v>41.25</v>
      </c>
      <c r="F88" s="14"/>
      <c r="G88" s="15">
        <f t="shared" si="6"/>
        <v>0</v>
      </c>
      <c r="H88" s="14">
        <v>1</v>
      </c>
      <c r="I88" s="15">
        <f t="shared" si="8"/>
        <v>62.25</v>
      </c>
      <c r="J88" s="14"/>
      <c r="K88" s="13" t="s">
        <v>241</v>
      </c>
    </row>
    <row r="89" spans="1:11" ht="12.6" customHeight="1" x14ac:dyDescent="0.2">
      <c r="A89" s="13">
        <v>36902</v>
      </c>
      <c r="B89" s="17"/>
      <c r="C89" s="15">
        <v>1.25</v>
      </c>
      <c r="D89" s="14"/>
      <c r="E89" s="15">
        <f t="shared" si="7"/>
        <v>42.5</v>
      </c>
      <c r="F89" s="14"/>
      <c r="G89" s="15">
        <f t="shared" si="6"/>
        <v>1.25</v>
      </c>
      <c r="H89" s="14"/>
      <c r="I89" s="15">
        <f t="shared" si="8"/>
        <v>63.5</v>
      </c>
      <c r="J89" s="14"/>
      <c r="K89" s="16"/>
    </row>
    <row r="90" spans="1:11" ht="12.6" customHeight="1" x14ac:dyDescent="0.2">
      <c r="A90" s="13"/>
      <c r="B90" s="19" t="s">
        <v>47</v>
      </c>
      <c r="C90" s="15"/>
      <c r="D90" s="14"/>
      <c r="E90" s="15">
        <f t="shared" si="7"/>
        <v>42.5</v>
      </c>
      <c r="F90" s="14"/>
      <c r="G90" s="15">
        <f t="shared" si="6"/>
        <v>0</v>
      </c>
      <c r="H90" s="14">
        <v>1</v>
      </c>
      <c r="I90" s="15">
        <f t="shared" si="8"/>
        <v>62.5</v>
      </c>
      <c r="J90" s="14"/>
      <c r="K90" s="16" t="s">
        <v>242</v>
      </c>
    </row>
    <row r="91" spans="1:11" ht="12.6" customHeight="1" x14ac:dyDescent="0.2">
      <c r="A91" s="13">
        <v>36903</v>
      </c>
      <c r="B91" s="17"/>
      <c r="C91" s="15">
        <v>1.25</v>
      </c>
      <c r="D91" s="14"/>
      <c r="E91" s="15">
        <f t="shared" si="7"/>
        <v>43.75</v>
      </c>
      <c r="F91" s="14"/>
      <c r="G91" s="15">
        <f t="shared" si="6"/>
        <v>1.25</v>
      </c>
      <c r="H91" s="14"/>
      <c r="I91" s="15">
        <f t="shared" si="8"/>
        <v>63.75</v>
      </c>
      <c r="J91" s="14"/>
      <c r="K91" s="16"/>
    </row>
    <row r="92" spans="1:11" ht="12.6" customHeight="1" x14ac:dyDescent="0.2">
      <c r="A92" s="13"/>
      <c r="B92" s="19" t="s">
        <v>47</v>
      </c>
      <c r="C92" s="15"/>
      <c r="D92" s="14"/>
      <c r="E92" s="15">
        <f t="shared" si="7"/>
        <v>43.75</v>
      </c>
      <c r="F92" s="14"/>
      <c r="G92" s="15">
        <f t="shared" si="6"/>
        <v>0</v>
      </c>
      <c r="H92" s="14">
        <v>1</v>
      </c>
      <c r="I92" s="15">
        <f t="shared" si="8"/>
        <v>62.75</v>
      </c>
      <c r="J92" s="14"/>
      <c r="K92" s="13" t="s">
        <v>243</v>
      </c>
    </row>
    <row r="93" spans="1:11" ht="12.6" customHeight="1" x14ac:dyDescent="0.2">
      <c r="A93" s="13">
        <v>37257</v>
      </c>
      <c r="B93" s="17"/>
      <c r="C93" s="15">
        <v>1.25</v>
      </c>
      <c r="D93" s="14"/>
      <c r="E93" s="15">
        <f t="shared" si="7"/>
        <v>45</v>
      </c>
      <c r="F93" s="14"/>
      <c r="G93" s="15">
        <f t="shared" si="6"/>
        <v>1.25</v>
      </c>
      <c r="H93" s="14"/>
      <c r="I93" s="15">
        <f t="shared" si="8"/>
        <v>64</v>
      </c>
      <c r="J93" s="14"/>
      <c r="K93" s="13"/>
    </row>
    <row r="94" spans="1:11" ht="12.6" customHeight="1" x14ac:dyDescent="0.2">
      <c r="A94" s="13"/>
      <c r="B94" s="19" t="s">
        <v>245</v>
      </c>
      <c r="C94" s="15"/>
      <c r="D94" s="14">
        <v>7</v>
      </c>
      <c r="E94" s="15">
        <f t="shared" si="7"/>
        <v>38</v>
      </c>
      <c r="F94" s="14"/>
      <c r="G94" s="15">
        <f t="shared" si="6"/>
        <v>0</v>
      </c>
      <c r="H94" s="14"/>
      <c r="I94" s="15">
        <f t="shared" si="8"/>
        <v>64</v>
      </c>
      <c r="J94" s="14"/>
      <c r="K94" s="13" t="s">
        <v>244</v>
      </c>
    </row>
    <row r="95" spans="1:11" ht="12.6" customHeight="1" x14ac:dyDescent="0.2">
      <c r="A95" s="13">
        <v>37258</v>
      </c>
      <c r="B95" s="19"/>
      <c r="C95" s="15">
        <v>1.25</v>
      </c>
      <c r="D95" s="14"/>
      <c r="E95" s="15">
        <f t="shared" si="7"/>
        <v>39.25</v>
      </c>
      <c r="F95" s="14"/>
      <c r="G95" s="15">
        <f t="shared" si="6"/>
        <v>1.25</v>
      </c>
      <c r="H95" s="14"/>
      <c r="I95" s="15">
        <f t="shared" si="8"/>
        <v>65.25</v>
      </c>
      <c r="J95" s="14"/>
      <c r="K95" s="13"/>
    </row>
    <row r="96" spans="1:11" ht="12.6" customHeight="1" x14ac:dyDescent="0.2">
      <c r="A96" s="13"/>
      <c r="B96" s="19" t="s">
        <v>45</v>
      </c>
      <c r="C96" s="15"/>
      <c r="D96" s="14"/>
      <c r="E96" s="15">
        <f t="shared" si="7"/>
        <v>39.25</v>
      </c>
      <c r="F96" s="14"/>
      <c r="G96" s="15">
        <f t="shared" si="6"/>
        <v>0</v>
      </c>
      <c r="H96" s="14"/>
      <c r="I96" s="15">
        <f t="shared" si="8"/>
        <v>65.25</v>
      </c>
      <c r="J96" s="14"/>
      <c r="K96" s="33" t="s">
        <v>247</v>
      </c>
    </row>
    <row r="97" spans="1:11" ht="12.6" customHeight="1" x14ac:dyDescent="0.2">
      <c r="A97" s="13">
        <v>37260</v>
      </c>
      <c r="B97" s="17"/>
      <c r="C97" s="15">
        <v>2.5</v>
      </c>
      <c r="D97" s="14"/>
      <c r="E97" s="15">
        <f t="shared" si="7"/>
        <v>41.75</v>
      </c>
      <c r="F97" s="14"/>
      <c r="G97" s="15">
        <f t="shared" si="6"/>
        <v>2.5</v>
      </c>
      <c r="H97" s="14"/>
      <c r="I97" s="15">
        <f t="shared" si="8"/>
        <v>67.75</v>
      </c>
      <c r="J97" s="14"/>
      <c r="K97" s="13"/>
    </row>
    <row r="98" spans="1:11" ht="12.6" customHeight="1" x14ac:dyDescent="0.2">
      <c r="A98" s="13"/>
      <c r="B98" s="19" t="s">
        <v>248</v>
      </c>
      <c r="C98" s="15"/>
      <c r="D98" s="14"/>
      <c r="E98" s="15">
        <f t="shared" si="7"/>
        <v>41.75</v>
      </c>
      <c r="F98" s="14"/>
      <c r="G98" s="15">
        <f t="shared" si="6"/>
        <v>0</v>
      </c>
      <c r="H98" s="14">
        <v>2.5</v>
      </c>
      <c r="I98" s="15">
        <f t="shared" si="8"/>
        <v>65.25</v>
      </c>
      <c r="J98" s="14"/>
      <c r="K98" s="33" t="s">
        <v>246</v>
      </c>
    </row>
    <row r="99" spans="1:11" ht="12.6" customHeight="1" x14ac:dyDescent="0.2">
      <c r="A99" s="13"/>
      <c r="B99" s="19" t="s">
        <v>47</v>
      </c>
      <c r="C99" s="15"/>
      <c r="D99" s="14"/>
      <c r="E99" s="15">
        <f t="shared" si="7"/>
        <v>41.75</v>
      </c>
      <c r="F99" s="14"/>
      <c r="G99" s="15">
        <f t="shared" si="6"/>
        <v>0</v>
      </c>
      <c r="H99" s="14">
        <v>1</v>
      </c>
      <c r="I99" s="15">
        <f t="shared" si="8"/>
        <v>64.25</v>
      </c>
      <c r="J99" s="14"/>
      <c r="K99" s="13" t="s">
        <v>249</v>
      </c>
    </row>
    <row r="100" spans="1:11" ht="12.6" customHeight="1" x14ac:dyDescent="0.2">
      <c r="A100" s="13">
        <v>37261</v>
      </c>
      <c r="B100" s="19"/>
      <c r="C100" s="15">
        <v>1.25</v>
      </c>
      <c r="D100" s="14"/>
      <c r="E100" s="15">
        <f t="shared" si="7"/>
        <v>43</v>
      </c>
      <c r="F100" s="14"/>
      <c r="G100" s="15">
        <f t="shared" si="6"/>
        <v>1.25</v>
      </c>
      <c r="H100" s="14"/>
      <c r="I100" s="15">
        <f t="shared" si="8"/>
        <v>65.5</v>
      </c>
      <c r="J100" s="14"/>
      <c r="K100" s="13"/>
    </row>
    <row r="101" spans="1:11" ht="12.6" customHeight="1" x14ac:dyDescent="0.2">
      <c r="A101" s="13"/>
      <c r="B101" s="19" t="s">
        <v>166</v>
      </c>
      <c r="C101" s="15"/>
      <c r="D101" s="14"/>
      <c r="E101" s="15">
        <f t="shared" si="7"/>
        <v>43</v>
      </c>
      <c r="F101" s="14"/>
      <c r="G101" s="15">
        <f t="shared" si="6"/>
        <v>0</v>
      </c>
      <c r="H101" s="14"/>
      <c r="I101" s="15">
        <f t="shared" si="8"/>
        <v>65.5</v>
      </c>
      <c r="J101" s="14"/>
      <c r="K101" s="13" t="s">
        <v>250</v>
      </c>
    </row>
    <row r="102" spans="1:11" ht="12.6" customHeight="1" x14ac:dyDescent="0.2">
      <c r="A102" s="13"/>
      <c r="B102" s="19" t="s">
        <v>74</v>
      </c>
      <c r="C102" s="15"/>
      <c r="D102" s="14">
        <v>1</v>
      </c>
      <c r="E102" s="15">
        <f t="shared" si="7"/>
        <v>42</v>
      </c>
      <c r="F102" s="14"/>
      <c r="G102" s="15">
        <f t="shared" si="6"/>
        <v>0</v>
      </c>
      <c r="H102" s="14"/>
      <c r="I102" s="15">
        <f t="shared" si="8"/>
        <v>65.5</v>
      </c>
      <c r="J102" s="14"/>
      <c r="K102" s="13" t="s">
        <v>251</v>
      </c>
    </row>
    <row r="103" spans="1:11" ht="12.6" customHeight="1" x14ac:dyDescent="0.2">
      <c r="A103" s="13"/>
      <c r="B103" s="19" t="s">
        <v>47</v>
      </c>
      <c r="C103" s="15"/>
      <c r="D103" s="14"/>
      <c r="E103" s="15">
        <f t="shared" si="7"/>
        <v>42</v>
      </c>
      <c r="F103" s="14"/>
      <c r="G103" s="15">
        <f t="shared" si="6"/>
        <v>0</v>
      </c>
      <c r="H103" s="14">
        <v>1</v>
      </c>
      <c r="I103" s="15">
        <f t="shared" si="8"/>
        <v>64.5</v>
      </c>
      <c r="J103" s="14"/>
      <c r="K103" s="19" t="s">
        <v>252</v>
      </c>
    </row>
    <row r="104" spans="1:11" ht="12.6" customHeight="1" x14ac:dyDescent="0.2">
      <c r="A104" s="13">
        <v>37263</v>
      </c>
      <c r="B104" s="19"/>
      <c r="C104" s="15">
        <v>2.5</v>
      </c>
      <c r="D104" s="14"/>
      <c r="E104" s="15">
        <f t="shared" si="7"/>
        <v>44.5</v>
      </c>
      <c r="F104" s="14"/>
      <c r="G104" s="15">
        <f t="shared" si="6"/>
        <v>2.5</v>
      </c>
      <c r="H104" s="14"/>
      <c r="I104" s="15">
        <f t="shared" si="8"/>
        <v>67</v>
      </c>
      <c r="J104" s="14"/>
      <c r="K104" s="13"/>
    </row>
    <row r="105" spans="1:11" ht="12.6" customHeight="1" x14ac:dyDescent="0.2">
      <c r="A105" s="13"/>
      <c r="B105" s="19" t="s">
        <v>256</v>
      </c>
      <c r="C105" s="15"/>
      <c r="D105" s="14">
        <v>15</v>
      </c>
      <c r="E105" s="15">
        <f t="shared" si="7"/>
        <v>29.5</v>
      </c>
      <c r="F105" s="14"/>
      <c r="G105" s="15">
        <f t="shared" si="6"/>
        <v>0</v>
      </c>
      <c r="H105" s="14"/>
      <c r="I105" s="15">
        <f t="shared" si="8"/>
        <v>67</v>
      </c>
      <c r="J105" s="14"/>
      <c r="K105" s="13" t="s">
        <v>255</v>
      </c>
    </row>
    <row r="106" spans="1:11" ht="12.6" customHeight="1" x14ac:dyDescent="0.2">
      <c r="A106" s="13"/>
      <c r="B106" s="19" t="s">
        <v>52</v>
      </c>
      <c r="C106" s="15"/>
      <c r="D106" s="14"/>
      <c r="E106" s="15">
        <f t="shared" si="7"/>
        <v>29.5</v>
      </c>
      <c r="F106" s="14"/>
      <c r="G106" s="15">
        <f t="shared" si="6"/>
        <v>0</v>
      </c>
      <c r="H106" s="14">
        <v>2</v>
      </c>
      <c r="I106" s="15">
        <f t="shared" si="8"/>
        <v>65</v>
      </c>
      <c r="J106" s="14"/>
      <c r="K106" s="13" t="s">
        <v>254</v>
      </c>
    </row>
    <row r="107" spans="1:11" ht="12.6" customHeight="1" x14ac:dyDescent="0.2">
      <c r="A107" s="13">
        <v>37264</v>
      </c>
      <c r="B107" s="17"/>
      <c r="C107" s="15">
        <v>1.25</v>
      </c>
      <c r="D107" s="14"/>
      <c r="E107" s="15">
        <f t="shared" si="7"/>
        <v>30.75</v>
      </c>
      <c r="F107" s="14"/>
      <c r="G107" s="15">
        <f t="shared" si="6"/>
        <v>1.25</v>
      </c>
      <c r="H107" s="14"/>
      <c r="I107" s="15">
        <f t="shared" si="8"/>
        <v>66.25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17.5</v>
      </c>
      <c r="D108" s="15">
        <f>SUM(D82:D107)</f>
        <v>23</v>
      </c>
      <c r="E108" s="15"/>
      <c r="F108" s="14"/>
      <c r="G108" s="15">
        <f>SUM(G82:G107)</f>
        <v>17.5</v>
      </c>
      <c r="H108" s="15">
        <f>SUM(H82:H107)</f>
        <v>16.5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ONAL, EDMON L.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SEPTEMBER 01, 1995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 t="s">
        <v>67</v>
      </c>
      <c r="C117" s="15"/>
      <c r="D117" s="14"/>
      <c r="E117" s="15">
        <f>E107+C117-D117</f>
        <v>30.75</v>
      </c>
      <c r="F117" s="14"/>
      <c r="G117" s="15">
        <f>C117</f>
        <v>0</v>
      </c>
      <c r="H117" s="14">
        <v>3</v>
      </c>
      <c r="I117" s="15">
        <f>I107+G117-H117</f>
        <v>63.25</v>
      </c>
      <c r="J117" s="14"/>
      <c r="K117" s="13" t="s">
        <v>257</v>
      </c>
    </row>
    <row r="118" spans="1:11" ht="12.6" customHeight="1" x14ac:dyDescent="0.2">
      <c r="A118" s="13"/>
      <c r="B118" s="17" t="s">
        <v>129</v>
      </c>
      <c r="C118" s="15"/>
      <c r="D118" s="14"/>
      <c r="E118" s="15">
        <f>E117+C118-D118</f>
        <v>30.75</v>
      </c>
      <c r="F118" s="14"/>
      <c r="G118" s="15">
        <f t="shared" ref="G118:G142" si="9">C118</f>
        <v>0</v>
      </c>
      <c r="H118" s="14"/>
      <c r="I118" s="15">
        <f>I117+G118-H118</f>
        <v>63.25</v>
      </c>
      <c r="J118" s="22"/>
      <c r="K118" s="23" t="s">
        <v>258</v>
      </c>
    </row>
    <row r="119" spans="1:11" ht="12.6" customHeight="1" x14ac:dyDescent="0.2">
      <c r="A119" s="13"/>
      <c r="B119" s="19" t="s">
        <v>52</v>
      </c>
      <c r="C119" s="15"/>
      <c r="D119" s="14"/>
      <c r="E119" s="15">
        <f t="shared" ref="E119:E142" si="10">E118+C119-D119</f>
        <v>30.75</v>
      </c>
      <c r="F119" s="14"/>
      <c r="G119" s="15">
        <f t="shared" si="9"/>
        <v>0</v>
      </c>
      <c r="H119" s="14"/>
      <c r="I119" s="15">
        <f t="shared" ref="I119:I142" si="11">I118+G119-H119</f>
        <v>63.25</v>
      </c>
      <c r="J119" s="14"/>
      <c r="K119" s="16" t="s">
        <v>259</v>
      </c>
    </row>
    <row r="120" spans="1:11" ht="12.6" customHeight="1" x14ac:dyDescent="0.2">
      <c r="A120" s="13">
        <v>37265</v>
      </c>
      <c r="B120" s="19"/>
      <c r="C120" s="15">
        <v>1.25</v>
      </c>
      <c r="D120" s="14"/>
      <c r="E120" s="15">
        <f t="shared" si="10"/>
        <v>32</v>
      </c>
      <c r="F120" s="14"/>
      <c r="G120" s="15">
        <f t="shared" si="9"/>
        <v>1.25</v>
      </c>
      <c r="H120" s="14"/>
      <c r="I120" s="15">
        <f t="shared" si="11"/>
        <v>64.5</v>
      </c>
      <c r="J120" s="14"/>
      <c r="K120" s="13"/>
    </row>
    <row r="121" spans="1:11" ht="12.6" customHeight="1" x14ac:dyDescent="0.2">
      <c r="A121" s="29"/>
      <c r="B121" s="19" t="s">
        <v>47</v>
      </c>
      <c r="C121" s="15"/>
      <c r="D121" s="14"/>
      <c r="E121" s="15">
        <f t="shared" si="10"/>
        <v>32</v>
      </c>
      <c r="F121" s="14"/>
      <c r="G121" s="15">
        <f t="shared" si="9"/>
        <v>0</v>
      </c>
      <c r="H121" s="14">
        <v>1</v>
      </c>
      <c r="I121" s="15">
        <f t="shared" si="11"/>
        <v>63.5</v>
      </c>
      <c r="J121" s="14"/>
      <c r="K121" s="13" t="s">
        <v>260</v>
      </c>
    </row>
    <row r="122" spans="1:11" ht="12.6" customHeight="1" x14ac:dyDescent="0.2">
      <c r="A122" s="13">
        <v>37266</v>
      </c>
      <c r="B122" s="19"/>
      <c r="C122" s="15">
        <v>1.25</v>
      </c>
      <c r="D122" s="14"/>
      <c r="E122" s="15">
        <f t="shared" si="10"/>
        <v>33.25</v>
      </c>
      <c r="F122" s="14"/>
      <c r="G122" s="15">
        <f t="shared" si="9"/>
        <v>1.25</v>
      </c>
      <c r="H122" s="14"/>
      <c r="I122" s="15">
        <f t="shared" si="11"/>
        <v>64.75</v>
      </c>
      <c r="J122" s="14"/>
      <c r="K122" s="13"/>
    </row>
    <row r="123" spans="1:11" ht="12.6" customHeight="1" x14ac:dyDescent="0.2">
      <c r="A123" s="13"/>
      <c r="B123" s="19" t="s">
        <v>47</v>
      </c>
      <c r="C123" s="15"/>
      <c r="D123" s="14"/>
      <c r="E123" s="15">
        <f t="shared" si="10"/>
        <v>33.25</v>
      </c>
      <c r="F123" s="14"/>
      <c r="G123" s="15">
        <f t="shared" si="9"/>
        <v>0</v>
      </c>
      <c r="H123" s="14">
        <v>1</v>
      </c>
      <c r="I123" s="15">
        <f t="shared" si="11"/>
        <v>63.75</v>
      </c>
      <c r="J123" s="14"/>
      <c r="K123" s="13" t="s">
        <v>261</v>
      </c>
    </row>
    <row r="124" spans="1:11" ht="12.6" customHeight="1" x14ac:dyDescent="0.2">
      <c r="A124" s="13" t="s">
        <v>262</v>
      </c>
      <c r="B124" s="19"/>
      <c r="C124" s="15">
        <v>1.25</v>
      </c>
      <c r="D124" s="14"/>
      <c r="E124" s="15">
        <f t="shared" si="10"/>
        <v>34.5</v>
      </c>
      <c r="F124" s="14"/>
      <c r="G124" s="15">
        <f t="shared" si="9"/>
        <v>1.25</v>
      </c>
      <c r="H124" s="14"/>
      <c r="I124" s="15">
        <f t="shared" si="11"/>
        <v>65</v>
      </c>
      <c r="J124" s="14"/>
      <c r="K124" s="16"/>
    </row>
    <row r="125" spans="1:11" ht="12.6" customHeight="1" x14ac:dyDescent="0.2">
      <c r="A125" s="13"/>
      <c r="B125" s="17" t="s">
        <v>67</v>
      </c>
      <c r="C125" s="15"/>
      <c r="D125" s="14"/>
      <c r="E125" s="15">
        <f t="shared" si="10"/>
        <v>34.5</v>
      </c>
      <c r="F125" s="14"/>
      <c r="G125" s="15">
        <f t="shared" si="9"/>
        <v>0</v>
      </c>
      <c r="H125" s="14">
        <v>3</v>
      </c>
      <c r="I125" s="15">
        <f t="shared" si="11"/>
        <v>62</v>
      </c>
      <c r="J125" s="14"/>
      <c r="K125" s="16" t="s">
        <v>263</v>
      </c>
    </row>
    <row r="126" spans="1:11" ht="12.6" customHeight="1" x14ac:dyDescent="0.2">
      <c r="A126" s="13"/>
      <c r="B126" s="19" t="s">
        <v>265</v>
      </c>
      <c r="C126" s="15"/>
      <c r="D126" s="14">
        <v>0.24399999999999999</v>
      </c>
      <c r="E126" s="15">
        <f t="shared" si="10"/>
        <v>34.256</v>
      </c>
      <c r="F126" s="14"/>
      <c r="G126" s="15">
        <f t="shared" si="9"/>
        <v>0</v>
      </c>
      <c r="H126" s="14"/>
      <c r="I126" s="15">
        <f t="shared" si="11"/>
        <v>62</v>
      </c>
      <c r="J126" s="14"/>
      <c r="K126" s="16" t="s">
        <v>264</v>
      </c>
    </row>
    <row r="127" spans="1:11" ht="12.6" customHeight="1" x14ac:dyDescent="0.2">
      <c r="A127" s="13">
        <v>37268</v>
      </c>
      <c r="B127" s="19"/>
      <c r="C127" s="15">
        <v>1.25</v>
      </c>
      <c r="D127" s="14"/>
      <c r="E127" s="15">
        <f t="shared" si="10"/>
        <v>35.506</v>
      </c>
      <c r="F127" s="14"/>
      <c r="G127" s="15">
        <f t="shared" si="9"/>
        <v>1.25</v>
      </c>
      <c r="H127" s="14"/>
      <c r="I127" s="15">
        <f t="shared" si="11"/>
        <v>63.25</v>
      </c>
      <c r="J127" s="14"/>
      <c r="K127" s="13"/>
    </row>
    <row r="128" spans="1:11" ht="12.6" customHeight="1" x14ac:dyDescent="0.2">
      <c r="A128" s="13"/>
      <c r="B128" s="19" t="s">
        <v>52</v>
      </c>
      <c r="C128" s="15"/>
      <c r="D128" s="14"/>
      <c r="E128" s="15">
        <f t="shared" si="10"/>
        <v>35.506</v>
      </c>
      <c r="F128" s="14"/>
      <c r="G128" s="15">
        <f t="shared" si="9"/>
        <v>0</v>
      </c>
      <c r="H128" s="14">
        <v>2</v>
      </c>
      <c r="I128" s="15">
        <f t="shared" si="11"/>
        <v>61.25</v>
      </c>
      <c r="J128" s="14"/>
      <c r="K128" s="13" t="s">
        <v>266</v>
      </c>
    </row>
    <row r="129" spans="1:11" ht="12.6" customHeight="1" x14ac:dyDescent="0.2">
      <c r="A129" s="13">
        <v>37622</v>
      </c>
      <c r="B129" s="19"/>
      <c r="C129" s="15">
        <v>1.25</v>
      </c>
      <c r="D129" s="14"/>
      <c r="E129" s="15">
        <f t="shared" si="10"/>
        <v>36.756</v>
      </c>
      <c r="F129" s="14"/>
      <c r="G129" s="15">
        <f t="shared" si="9"/>
        <v>1.25</v>
      </c>
      <c r="H129" s="14"/>
      <c r="I129" s="15">
        <f t="shared" si="11"/>
        <v>62.5</v>
      </c>
      <c r="J129" s="14"/>
      <c r="K129" s="13"/>
    </row>
    <row r="130" spans="1:11" ht="12.6" customHeight="1" x14ac:dyDescent="0.2">
      <c r="A130" s="13"/>
      <c r="B130" s="19" t="s">
        <v>47</v>
      </c>
      <c r="C130" s="15"/>
      <c r="D130" s="14"/>
      <c r="E130" s="15">
        <f t="shared" si="10"/>
        <v>36.756</v>
      </c>
      <c r="F130" s="14"/>
      <c r="G130" s="15">
        <f t="shared" si="9"/>
        <v>0</v>
      </c>
      <c r="H130" s="14">
        <v>1</v>
      </c>
      <c r="I130" s="15">
        <f t="shared" si="11"/>
        <v>61.5</v>
      </c>
      <c r="J130" s="14"/>
      <c r="K130" s="13" t="s">
        <v>267</v>
      </c>
    </row>
    <row r="131" spans="1:11" ht="12.6" customHeight="1" x14ac:dyDescent="0.2">
      <c r="A131" s="13"/>
      <c r="B131" s="19" t="s">
        <v>125</v>
      </c>
      <c r="C131" s="15"/>
      <c r="D131" s="14"/>
      <c r="E131" s="15">
        <f t="shared" si="10"/>
        <v>36.756</v>
      </c>
      <c r="F131" s="14"/>
      <c r="G131" s="15">
        <f t="shared" si="9"/>
        <v>0</v>
      </c>
      <c r="H131" s="14">
        <v>4</v>
      </c>
      <c r="I131" s="15">
        <f t="shared" si="11"/>
        <v>57.5</v>
      </c>
      <c r="J131" s="14"/>
      <c r="K131" s="33" t="s">
        <v>268</v>
      </c>
    </row>
    <row r="132" spans="1:11" ht="12.6" customHeight="1" x14ac:dyDescent="0.2">
      <c r="A132" s="13">
        <v>37623</v>
      </c>
      <c r="B132" s="19"/>
      <c r="C132" s="15">
        <v>1.25</v>
      </c>
      <c r="D132" s="14"/>
      <c r="E132" s="15">
        <f t="shared" si="10"/>
        <v>38.006</v>
      </c>
      <c r="F132" s="14"/>
      <c r="G132" s="15">
        <f t="shared" si="9"/>
        <v>1.25</v>
      </c>
      <c r="H132" s="14"/>
      <c r="I132" s="15">
        <f t="shared" si="11"/>
        <v>58.75</v>
      </c>
      <c r="J132" s="14"/>
      <c r="K132" s="13"/>
    </row>
    <row r="133" spans="1:11" ht="12.6" customHeight="1" x14ac:dyDescent="0.2">
      <c r="A133" s="13"/>
      <c r="B133" s="17" t="s">
        <v>271</v>
      </c>
      <c r="C133" s="15"/>
      <c r="D133" s="14"/>
      <c r="E133" s="15">
        <f t="shared" si="10"/>
        <v>38.006</v>
      </c>
      <c r="F133" s="14"/>
      <c r="G133" s="15">
        <f t="shared" si="9"/>
        <v>0</v>
      </c>
      <c r="H133" s="14">
        <v>5</v>
      </c>
      <c r="I133" s="15">
        <f t="shared" si="11"/>
        <v>53.75</v>
      </c>
      <c r="J133" s="14"/>
      <c r="K133" s="16" t="s">
        <v>269</v>
      </c>
    </row>
    <row r="134" spans="1:11" ht="12.6" customHeight="1" x14ac:dyDescent="0.2">
      <c r="A134" s="13"/>
      <c r="B134" s="17" t="s">
        <v>67</v>
      </c>
      <c r="C134" s="15"/>
      <c r="D134" s="14"/>
      <c r="E134" s="15">
        <f t="shared" si="10"/>
        <v>38.006</v>
      </c>
      <c r="F134" s="14"/>
      <c r="G134" s="15">
        <f t="shared" si="9"/>
        <v>0</v>
      </c>
      <c r="H134" s="14">
        <v>3</v>
      </c>
      <c r="I134" s="15">
        <f t="shared" si="11"/>
        <v>50.75</v>
      </c>
      <c r="J134" s="14"/>
      <c r="K134" s="13" t="s">
        <v>270</v>
      </c>
    </row>
    <row r="135" spans="1:11" ht="12.6" customHeight="1" x14ac:dyDescent="0.2">
      <c r="A135" s="13">
        <v>37624</v>
      </c>
      <c r="B135" s="19"/>
      <c r="C135" s="15">
        <v>1.25</v>
      </c>
      <c r="D135" s="14"/>
      <c r="E135" s="15">
        <f t="shared" si="10"/>
        <v>39.256</v>
      </c>
      <c r="F135" s="14"/>
      <c r="G135" s="15">
        <f t="shared" si="9"/>
        <v>1.25</v>
      </c>
      <c r="H135" s="14"/>
      <c r="I135" s="15">
        <f t="shared" si="11"/>
        <v>52</v>
      </c>
      <c r="J135" s="14"/>
      <c r="K135" s="13"/>
    </row>
    <row r="136" spans="1:11" ht="12.6" customHeight="1" x14ac:dyDescent="0.2">
      <c r="A136" s="13"/>
      <c r="B136" s="19" t="s">
        <v>129</v>
      </c>
      <c r="C136" s="15"/>
      <c r="D136" s="14"/>
      <c r="E136" s="15">
        <f t="shared" si="10"/>
        <v>39.256</v>
      </c>
      <c r="F136" s="14"/>
      <c r="G136" s="15">
        <f t="shared" si="9"/>
        <v>0</v>
      </c>
      <c r="H136" s="14">
        <v>0.5</v>
      </c>
      <c r="I136" s="15">
        <f t="shared" si="11"/>
        <v>51.5</v>
      </c>
      <c r="J136" s="14"/>
      <c r="K136" s="13" t="s">
        <v>272</v>
      </c>
    </row>
    <row r="137" spans="1:11" ht="12.6" customHeight="1" x14ac:dyDescent="0.2">
      <c r="A137" s="13">
        <v>37625</v>
      </c>
      <c r="B137" s="19"/>
      <c r="C137" s="15">
        <v>1.25</v>
      </c>
      <c r="D137" s="14"/>
      <c r="E137" s="15">
        <f t="shared" si="10"/>
        <v>40.506</v>
      </c>
      <c r="F137" s="14"/>
      <c r="G137" s="15">
        <f t="shared" si="9"/>
        <v>1.25</v>
      </c>
      <c r="H137" s="14"/>
      <c r="I137" s="15">
        <f t="shared" si="11"/>
        <v>52.75</v>
      </c>
      <c r="J137" s="14"/>
      <c r="K137" s="13"/>
    </row>
    <row r="138" spans="1:11" ht="12.6" customHeight="1" x14ac:dyDescent="0.2">
      <c r="A138" s="13"/>
      <c r="B138" s="19" t="s">
        <v>47</v>
      </c>
      <c r="C138" s="15"/>
      <c r="D138" s="14"/>
      <c r="E138" s="15">
        <f t="shared" si="10"/>
        <v>40.506</v>
      </c>
      <c r="F138" s="14"/>
      <c r="G138" s="15">
        <f t="shared" si="9"/>
        <v>0</v>
      </c>
      <c r="H138" s="14">
        <v>1</v>
      </c>
      <c r="I138" s="15">
        <f t="shared" si="11"/>
        <v>51.75</v>
      </c>
      <c r="J138" s="14"/>
      <c r="K138" s="13">
        <v>37625</v>
      </c>
    </row>
    <row r="139" spans="1:11" ht="12.6" customHeight="1" x14ac:dyDescent="0.2">
      <c r="A139" s="13"/>
      <c r="B139" s="17" t="s">
        <v>67</v>
      </c>
      <c r="C139" s="15"/>
      <c r="D139" s="14"/>
      <c r="E139" s="15">
        <f t="shared" si="10"/>
        <v>40.506</v>
      </c>
      <c r="F139" s="14"/>
      <c r="G139" s="15">
        <f t="shared" si="9"/>
        <v>0</v>
      </c>
      <c r="H139" s="14">
        <v>3</v>
      </c>
      <c r="I139" s="15">
        <f t="shared" si="11"/>
        <v>48.75</v>
      </c>
      <c r="J139" s="14"/>
      <c r="K139" s="13" t="s">
        <v>273</v>
      </c>
    </row>
    <row r="140" spans="1:11" ht="12.6" customHeight="1" x14ac:dyDescent="0.2">
      <c r="A140" s="13">
        <v>37626</v>
      </c>
      <c r="B140" s="19"/>
      <c r="C140" s="15">
        <v>1.25</v>
      </c>
      <c r="D140" s="14"/>
      <c r="E140" s="15">
        <f t="shared" si="10"/>
        <v>41.756</v>
      </c>
      <c r="F140" s="14"/>
      <c r="G140" s="15">
        <f t="shared" si="9"/>
        <v>1.25</v>
      </c>
      <c r="H140" s="14"/>
      <c r="I140" s="15">
        <f t="shared" si="11"/>
        <v>50</v>
      </c>
      <c r="J140" s="14"/>
      <c r="K140" s="13"/>
    </row>
    <row r="141" spans="1:11" ht="12.6" customHeight="1" x14ac:dyDescent="0.2">
      <c r="A141" s="13"/>
      <c r="B141" s="19" t="s">
        <v>52</v>
      </c>
      <c r="C141" s="15"/>
      <c r="D141" s="14"/>
      <c r="E141" s="15">
        <f t="shared" si="10"/>
        <v>41.756</v>
      </c>
      <c r="F141" s="14"/>
      <c r="G141" s="15">
        <f t="shared" si="9"/>
        <v>0</v>
      </c>
      <c r="H141" s="14">
        <v>2</v>
      </c>
      <c r="I141" s="15">
        <f t="shared" si="11"/>
        <v>48</v>
      </c>
      <c r="J141" s="14"/>
      <c r="K141" s="13" t="s">
        <v>274</v>
      </c>
    </row>
    <row r="142" spans="1:11" ht="12.6" customHeight="1" x14ac:dyDescent="0.2">
      <c r="A142" s="13"/>
      <c r="B142" s="19" t="s">
        <v>45</v>
      </c>
      <c r="C142" s="15"/>
      <c r="D142" s="14"/>
      <c r="E142" s="15">
        <f t="shared" si="10"/>
        <v>41.756</v>
      </c>
      <c r="F142" s="14"/>
      <c r="G142" s="15">
        <f t="shared" si="9"/>
        <v>0</v>
      </c>
      <c r="H142" s="14"/>
      <c r="I142" s="15">
        <f t="shared" si="11"/>
        <v>48</v>
      </c>
      <c r="J142" s="14"/>
      <c r="K142" s="16" t="s">
        <v>275</v>
      </c>
    </row>
    <row r="143" spans="1:11" ht="12.6" customHeight="1" x14ac:dyDescent="0.2">
      <c r="A143" s="19"/>
      <c r="B143" s="19"/>
      <c r="C143" s="15">
        <f>SUM(C117:C142)</f>
        <v>11.25</v>
      </c>
      <c r="D143" s="15">
        <f>SUM(D117:D142)</f>
        <v>0.24399999999999999</v>
      </c>
      <c r="E143" s="15"/>
      <c r="F143" s="14"/>
      <c r="G143" s="15">
        <f>SUM(G117:G142)</f>
        <v>11.25</v>
      </c>
      <c r="H143" s="15">
        <f>SUM(H117:H142)</f>
        <v>29.5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ONAL, EDMON L.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SEPTEMBER 01, 1995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>
        <v>37627</v>
      </c>
      <c r="B156" s="19"/>
      <c r="C156" s="15">
        <v>1.25</v>
      </c>
      <c r="D156" s="14"/>
      <c r="E156" s="15">
        <f>E142+C156-D156</f>
        <v>43.006</v>
      </c>
      <c r="F156" s="14"/>
      <c r="G156" s="15">
        <f>C156</f>
        <v>1.25</v>
      </c>
      <c r="H156" s="14"/>
      <c r="I156" s="15">
        <f>I142+G156-H156</f>
        <v>49.25</v>
      </c>
      <c r="J156" s="14"/>
      <c r="K156" s="13"/>
    </row>
    <row r="157" spans="1:11" ht="12.6" customHeight="1" x14ac:dyDescent="0.2">
      <c r="A157" s="13"/>
      <c r="B157" s="19" t="s">
        <v>277</v>
      </c>
      <c r="C157" s="15"/>
      <c r="D157" s="14">
        <v>1.86</v>
      </c>
      <c r="E157" s="15">
        <f>E156+C157-D157</f>
        <v>41.146000000000001</v>
      </c>
      <c r="F157" s="14"/>
      <c r="G157" s="15">
        <f t="shared" ref="G157:G181" si="12">C157</f>
        <v>0</v>
      </c>
      <c r="H157" s="14"/>
      <c r="I157" s="15">
        <f>I156+G157-H157</f>
        <v>49.25</v>
      </c>
      <c r="J157" s="14"/>
      <c r="K157" s="13" t="s">
        <v>276</v>
      </c>
    </row>
    <row r="158" spans="1:11" ht="12.6" customHeight="1" x14ac:dyDescent="0.2">
      <c r="A158" s="13"/>
      <c r="B158" s="19" t="s">
        <v>74</v>
      </c>
      <c r="C158" s="15"/>
      <c r="D158" s="14">
        <v>1</v>
      </c>
      <c r="E158" s="15">
        <f t="shared" ref="E158:E181" si="13">E157+C158-D158</f>
        <v>40.146000000000001</v>
      </c>
      <c r="F158" s="22"/>
      <c r="G158" s="15">
        <f t="shared" si="12"/>
        <v>0</v>
      </c>
      <c r="H158" s="34"/>
      <c r="I158" s="15">
        <f t="shared" ref="I158:I181" si="14">I157+G158-H158</f>
        <v>49.25</v>
      </c>
      <c r="J158" s="14"/>
      <c r="K158" s="13">
        <v>37717</v>
      </c>
    </row>
    <row r="159" spans="1:11" ht="12.6" customHeight="1" x14ac:dyDescent="0.2">
      <c r="A159" s="13"/>
      <c r="B159" s="19" t="s">
        <v>125</v>
      </c>
      <c r="C159" s="15"/>
      <c r="D159" s="14"/>
      <c r="E159" s="15">
        <f t="shared" si="13"/>
        <v>40.146000000000001</v>
      </c>
      <c r="F159" s="14"/>
      <c r="G159" s="15">
        <f t="shared" si="12"/>
        <v>0</v>
      </c>
      <c r="H159" s="34">
        <v>4</v>
      </c>
      <c r="I159" s="15">
        <f t="shared" si="14"/>
        <v>45.25</v>
      </c>
      <c r="J159" s="14"/>
      <c r="K159" s="13" t="s">
        <v>278</v>
      </c>
    </row>
    <row r="160" spans="1:11" ht="12.6" customHeight="1" x14ac:dyDescent="0.2">
      <c r="A160" s="13"/>
      <c r="B160" s="19" t="s">
        <v>245</v>
      </c>
      <c r="C160" s="15"/>
      <c r="D160" s="14">
        <v>7</v>
      </c>
      <c r="E160" s="15">
        <f t="shared" si="13"/>
        <v>33.146000000000001</v>
      </c>
      <c r="F160" s="14"/>
      <c r="G160" s="15">
        <f t="shared" si="12"/>
        <v>0</v>
      </c>
      <c r="H160" s="34"/>
      <c r="I160" s="15">
        <f t="shared" si="14"/>
        <v>45.25</v>
      </c>
      <c r="J160" s="14"/>
      <c r="K160" s="16" t="s">
        <v>279</v>
      </c>
    </row>
    <row r="161" spans="1:11" ht="12.6" customHeight="1" x14ac:dyDescent="0.2">
      <c r="A161" s="13">
        <v>37628</v>
      </c>
      <c r="B161" s="19"/>
      <c r="C161" s="15">
        <v>1.25</v>
      </c>
      <c r="D161" s="14"/>
      <c r="E161" s="15">
        <f t="shared" si="13"/>
        <v>34.396000000000001</v>
      </c>
      <c r="F161" s="14"/>
      <c r="G161" s="15">
        <f t="shared" si="12"/>
        <v>1.25</v>
      </c>
      <c r="H161" s="34"/>
      <c r="I161" s="15">
        <f t="shared" si="14"/>
        <v>46.5</v>
      </c>
      <c r="J161" s="14"/>
      <c r="K161" s="13"/>
    </row>
    <row r="162" spans="1:11" ht="12.6" customHeight="1" x14ac:dyDescent="0.2">
      <c r="A162" s="13"/>
      <c r="B162" s="19" t="s">
        <v>282</v>
      </c>
      <c r="C162" s="15"/>
      <c r="D162" s="14">
        <v>0.5</v>
      </c>
      <c r="E162" s="15">
        <f t="shared" si="13"/>
        <v>33.896000000000001</v>
      </c>
      <c r="F162" s="14"/>
      <c r="G162" s="15">
        <f t="shared" si="12"/>
        <v>0</v>
      </c>
      <c r="H162" s="34"/>
      <c r="I162" s="15">
        <f t="shared" si="14"/>
        <v>46.5</v>
      </c>
      <c r="J162" s="14"/>
      <c r="K162" s="16" t="s">
        <v>280</v>
      </c>
    </row>
    <row r="163" spans="1:11" ht="12.6" customHeight="1" x14ac:dyDescent="0.2">
      <c r="A163" s="13"/>
      <c r="B163" s="19" t="s">
        <v>248</v>
      </c>
      <c r="C163" s="15"/>
      <c r="D163" s="22"/>
      <c r="E163" s="15">
        <f t="shared" si="13"/>
        <v>33.896000000000001</v>
      </c>
      <c r="F163" s="22"/>
      <c r="G163" s="15">
        <f t="shared" si="12"/>
        <v>0</v>
      </c>
      <c r="H163" s="14">
        <v>2.5</v>
      </c>
      <c r="I163" s="15">
        <f t="shared" si="14"/>
        <v>44</v>
      </c>
      <c r="J163" s="14"/>
      <c r="K163" s="13" t="s">
        <v>281</v>
      </c>
    </row>
    <row r="164" spans="1:11" ht="12.6" customHeight="1" x14ac:dyDescent="0.2">
      <c r="A164" s="13">
        <v>37629</v>
      </c>
      <c r="B164" s="19"/>
      <c r="C164" s="15">
        <v>1.25</v>
      </c>
      <c r="D164" s="22"/>
      <c r="E164" s="15">
        <f t="shared" si="13"/>
        <v>35.146000000000001</v>
      </c>
      <c r="F164" s="14"/>
      <c r="G164" s="15">
        <f t="shared" si="12"/>
        <v>1.25</v>
      </c>
      <c r="H164" s="34"/>
      <c r="I164" s="15">
        <f t="shared" si="14"/>
        <v>45.25</v>
      </c>
      <c r="J164" s="14"/>
      <c r="K164" s="13"/>
    </row>
    <row r="165" spans="1:11" ht="12.6" customHeight="1" x14ac:dyDescent="0.2">
      <c r="A165" s="13"/>
      <c r="B165" s="19" t="s">
        <v>144</v>
      </c>
      <c r="C165" s="15"/>
      <c r="D165" s="14"/>
      <c r="E165" s="15">
        <f t="shared" si="13"/>
        <v>35.146000000000001</v>
      </c>
      <c r="F165" s="14"/>
      <c r="G165" s="15">
        <f t="shared" si="12"/>
        <v>0</v>
      </c>
      <c r="H165" s="35">
        <v>1.5</v>
      </c>
      <c r="I165" s="15">
        <f t="shared" si="14"/>
        <v>43.75</v>
      </c>
      <c r="J165" s="14"/>
      <c r="K165" s="13" t="s">
        <v>283</v>
      </c>
    </row>
    <row r="166" spans="1:11" ht="12.6" customHeight="1" x14ac:dyDescent="0.2">
      <c r="A166" s="13"/>
      <c r="B166" s="19" t="s">
        <v>52</v>
      </c>
      <c r="C166" s="15"/>
      <c r="D166" s="14"/>
      <c r="E166" s="15">
        <f t="shared" si="13"/>
        <v>35.146000000000001</v>
      </c>
      <c r="F166" s="22"/>
      <c r="G166" s="15">
        <f t="shared" si="12"/>
        <v>0</v>
      </c>
      <c r="H166" s="34">
        <v>2</v>
      </c>
      <c r="I166" s="15">
        <f t="shared" si="14"/>
        <v>41.75</v>
      </c>
      <c r="J166" s="14"/>
      <c r="K166" s="13" t="s">
        <v>284</v>
      </c>
    </row>
    <row r="167" spans="1:11" ht="12.6" customHeight="1" x14ac:dyDescent="0.2">
      <c r="A167" s="13">
        <v>37630</v>
      </c>
      <c r="B167" s="19"/>
      <c r="C167" s="15">
        <v>1.25</v>
      </c>
      <c r="D167" s="14"/>
      <c r="E167" s="15">
        <f t="shared" si="13"/>
        <v>36.396000000000001</v>
      </c>
      <c r="F167" s="22"/>
      <c r="G167" s="15">
        <f t="shared" si="12"/>
        <v>1.25</v>
      </c>
      <c r="H167" s="35"/>
      <c r="I167" s="15">
        <f t="shared" si="14"/>
        <v>43</v>
      </c>
      <c r="J167" s="14"/>
      <c r="K167" s="16"/>
    </row>
    <row r="168" spans="1:11" ht="12.6" customHeight="1" x14ac:dyDescent="0.2">
      <c r="A168" s="13"/>
      <c r="B168" s="19" t="s">
        <v>74</v>
      </c>
      <c r="C168" s="15"/>
      <c r="D168" s="14">
        <v>1</v>
      </c>
      <c r="E168" s="15">
        <f t="shared" si="13"/>
        <v>35.396000000000001</v>
      </c>
      <c r="F168" s="14"/>
      <c r="G168" s="15">
        <f t="shared" si="12"/>
        <v>0</v>
      </c>
      <c r="H168" s="32"/>
      <c r="I168" s="15">
        <f t="shared" si="14"/>
        <v>43</v>
      </c>
      <c r="J168" s="14"/>
      <c r="K168" s="13" t="s">
        <v>285</v>
      </c>
    </row>
    <row r="169" spans="1:11" ht="12.6" customHeight="1" x14ac:dyDescent="0.2">
      <c r="A169" s="13"/>
      <c r="B169" s="19" t="s">
        <v>45</v>
      </c>
      <c r="C169" s="15"/>
      <c r="D169" s="14"/>
      <c r="E169" s="15">
        <f t="shared" si="13"/>
        <v>35.396000000000001</v>
      </c>
      <c r="F169" s="22"/>
      <c r="G169" s="15">
        <f t="shared" si="12"/>
        <v>0</v>
      </c>
      <c r="H169" s="34"/>
      <c r="I169" s="15">
        <f t="shared" si="14"/>
        <v>43</v>
      </c>
      <c r="J169" s="14"/>
      <c r="K169" s="13" t="s">
        <v>286</v>
      </c>
    </row>
    <row r="170" spans="1:11" ht="12.6" customHeight="1" x14ac:dyDescent="0.2">
      <c r="A170" s="13">
        <v>37631</v>
      </c>
      <c r="B170" s="19"/>
      <c r="C170" s="15">
        <v>1.25</v>
      </c>
      <c r="D170" s="14"/>
      <c r="E170" s="15">
        <f t="shared" si="13"/>
        <v>36.646000000000001</v>
      </c>
      <c r="F170" s="14"/>
      <c r="G170" s="15">
        <f t="shared" si="12"/>
        <v>1.25</v>
      </c>
      <c r="H170" s="14"/>
      <c r="I170" s="15">
        <f t="shared" si="14"/>
        <v>44.25</v>
      </c>
      <c r="J170" s="14"/>
      <c r="K170" s="13"/>
    </row>
    <row r="171" spans="1:11" ht="12.6" customHeight="1" x14ac:dyDescent="0.2">
      <c r="A171" s="13"/>
      <c r="B171" s="19" t="s">
        <v>288</v>
      </c>
      <c r="C171" s="15"/>
      <c r="D171" s="14"/>
      <c r="E171" s="15">
        <f t="shared" si="13"/>
        <v>36.646000000000001</v>
      </c>
      <c r="F171" s="14"/>
      <c r="G171" s="15">
        <f t="shared" si="12"/>
        <v>0</v>
      </c>
      <c r="H171" s="35">
        <v>4.5</v>
      </c>
      <c r="I171" s="15">
        <f t="shared" si="14"/>
        <v>39.75</v>
      </c>
      <c r="J171" s="14"/>
      <c r="K171" s="16" t="s">
        <v>287</v>
      </c>
    </row>
    <row r="172" spans="1:11" ht="12.6" customHeight="1" x14ac:dyDescent="0.2">
      <c r="A172" s="13"/>
      <c r="B172" s="19" t="s">
        <v>271</v>
      </c>
      <c r="C172" s="15"/>
      <c r="D172" s="14"/>
      <c r="E172" s="15">
        <f t="shared" si="13"/>
        <v>36.646000000000001</v>
      </c>
      <c r="F172" s="14"/>
      <c r="G172" s="15">
        <f t="shared" si="12"/>
        <v>0</v>
      </c>
      <c r="H172" s="34">
        <v>5</v>
      </c>
      <c r="I172" s="15">
        <f t="shared" si="14"/>
        <v>34.75</v>
      </c>
      <c r="J172" s="14"/>
      <c r="K172" s="13" t="s">
        <v>289</v>
      </c>
    </row>
    <row r="173" spans="1:11" ht="12.6" customHeight="1" x14ac:dyDescent="0.2">
      <c r="A173" s="13"/>
      <c r="B173" s="19" t="s">
        <v>47</v>
      </c>
      <c r="C173" s="15"/>
      <c r="D173" s="14"/>
      <c r="E173" s="15">
        <f t="shared" si="13"/>
        <v>36.646000000000001</v>
      </c>
      <c r="F173" s="14"/>
      <c r="G173" s="15">
        <f t="shared" si="12"/>
        <v>0</v>
      </c>
      <c r="H173" s="35">
        <v>1</v>
      </c>
      <c r="I173" s="15">
        <f t="shared" si="14"/>
        <v>33.75</v>
      </c>
      <c r="J173" s="14"/>
      <c r="K173" s="13" t="s">
        <v>290</v>
      </c>
    </row>
    <row r="174" spans="1:11" ht="12.6" customHeight="1" x14ac:dyDescent="0.2">
      <c r="A174" s="13">
        <v>37632</v>
      </c>
      <c r="B174" s="19"/>
      <c r="C174" s="15">
        <v>1.25</v>
      </c>
      <c r="D174" s="14"/>
      <c r="E174" s="15">
        <f t="shared" si="13"/>
        <v>37.896000000000001</v>
      </c>
      <c r="F174" s="22"/>
      <c r="G174" s="15">
        <f t="shared" si="12"/>
        <v>1.25</v>
      </c>
      <c r="H174" s="14"/>
      <c r="I174" s="15">
        <f t="shared" si="14"/>
        <v>35</v>
      </c>
      <c r="J174" s="14"/>
      <c r="K174" s="13"/>
    </row>
    <row r="175" spans="1:11" ht="12.6" customHeight="1" x14ac:dyDescent="0.2">
      <c r="A175" s="13"/>
      <c r="B175" s="19" t="s">
        <v>282</v>
      </c>
      <c r="C175" s="15"/>
      <c r="D175" s="14">
        <v>0.5</v>
      </c>
      <c r="E175" s="15">
        <f t="shared" si="13"/>
        <v>37.396000000000001</v>
      </c>
      <c r="F175" s="22"/>
      <c r="G175" s="15">
        <f t="shared" si="12"/>
        <v>0</v>
      </c>
      <c r="H175" s="34"/>
      <c r="I175" s="15">
        <f t="shared" si="14"/>
        <v>35</v>
      </c>
      <c r="J175" s="14"/>
      <c r="K175" s="13" t="s">
        <v>291</v>
      </c>
    </row>
    <row r="176" spans="1:11" ht="12.6" customHeight="1" x14ac:dyDescent="0.2">
      <c r="A176" s="13"/>
      <c r="B176" s="19" t="s">
        <v>45</v>
      </c>
      <c r="C176" s="15"/>
      <c r="D176" s="14"/>
      <c r="E176" s="15">
        <f t="shared" si="13"/>
        <v>37.396000000000001</v>
      </c>
      <c r="F176" s="14"/>
      <c r="G176" s="15">
        <f t="shared" si="12"/>
        <v>0</v>
      </c>
      <c r="H176" s="32"/>
      <c r="I176" s="15">
        <f t="shared" si="14"/>
        <v>35</v>
      </c>
      <c r="J176" s="14"/>
      <c r="K176" s="16" t="s">
        <v>292</v>
      </c>
    </row>
    <row r="177" spans="1:11" ht="12.6" customHeight="1" x14ac:dyDescent="0.2">
      <c r="A177" s="13"/>
      <c r="B177" s="19" t="s">
        <v>129</v>
      </c>
      <c r="C177" s="15"/>
      <c r="D177" s="14"/>
      <c r="E177" s="15">
        <f t="shared" si="13"/>
        <v>37.396000000000001</v>
      </c>
      <c r="F177" s="14"/>
      <c r="G177" s="15">
        <f t="shared" si="12"/>
        <v>0</v>
      </c>
      <c r="H177" s="35">
        <v>0.5</v>
      </c>
      <c r="I177" s="15">
        <f t="shared" si="14"/>
        <v>34.5</v>
      </c>
      <c r="J177" s="14"/>
      <c r="K177" s="13" t="s">
        <v>293</v>
      </c>
    </row>
    <row r="178" spans="1:11" ht="12.6" customHeight="1" x14ac:dyDescent="0.2">
      <c r="A178" s="13">
        <v>37987</v>
      </c>
      <c r="B178" s="19"/>
      <c r="C178" s="15">
        <v>2.5</v>
      </c>
      <c r="D178" s="14"/>
      <c r="E178" s="15">
        <f t="shared" si="13"/>
        <v>39.896000000000001</v>
      </c>
      <c r="F178" s="14"/>
      <c r="G178" s="15">
        <f t="shared" si="12"/>
        <v>2.5</v>
      </c>
      <c r="H178" s="34"/>
      <c r="I178" s="15">
        <f t="shared" si="14"/>
        <v>37</v>
      </c>
      <c r="J178" s="14"/>
      <c r="K178" s="13"/>
    </row>
    <row r="179" spans="1:11" ht="12.6" customHeight="1" x14ac:dyDescent="0.2">
      <c r="A179" s="13"/>
      <c r="B179" s="19" t="s">
        <v>271</v>
      </c>
      <c r="C179" s="15"/>
      <c r="D179" s="14"/>
      <c r="E179" s="15">
        <f t="shared" si="13"/>
        <v>39.896000000000001</v>
      </c>
      <c r="F179" s="14"/>
      <c r="G179" s="15">
        <f t="shared" si="12"/>
        <v>0</v>
      </c>
      <c r="H179" s="34">
        <v>5</v>
      </c>
      <c r="I179" s="15">
        <f t="shared" si="14"/>
        <v>32</v>
      </c>
      <c r="J179" s="14"/>
      <c r="K179" s="16" t="s">
        <v>294</v>
      </c>
    </row>
    <row r="180" spans="1:11" ht="12.6" customHeight="1" x14ac:dyDescent="0.2">
      <c r="A180" s="13"/>
      <c r="B180" s="19" t="s">
        <v>296</v>
      </c>
      <c r="C180" s="15"/>
      <c r="D180" s="14">
        <v>1.5</v>
      </c>
      <c r="E180" s="15">
        <f t="shared" si="13"/>
        <v>38.396000000000001</v>
      </c>
      <c r="F180" s="14"/>
      <c r="G180" s="15">
        <f t="shared" si="12"/>
        <v>0</v>
      </c>
      <c r="H180" s="34"/>
      <c r="I180" s="15">
        <f t="shared" si="14"/>
        <v>32</v>
      </c>
      <c r="J180" s="14"/>
      <c r="K180" s="13" t="s">
        <v>295</v>
      </c>
    </row>
    <row r="181" spans="1:11" ht="12.6" customHeight="1" x14ac:dyDescent="0.2">
      <c r="A181" s="13">
        <v>37988</v>
      </c>
      <c r="B181" s="19"/>
      <c r="C181" s="15">
        <v>1.25</v>
      </c>
      <c r="D181" s="14"/>
      <c r="E181" s="15">
        <f t="shared" si="13"/>
        <v>39.646000000000001</v>
      </c>
      <c r="F181" s="14"/>
      <c r="G181" s="15">
        <f t="shared" si="12"/>
        <v>1.25</v>
      </c>
      <c r="H181" s="34"/>
      <c r="I181" s="15">
        <f t="shared" si="14"/>
        <v>33.25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11.25</v>
      </c>
      <c r="D182" s="15">
        <f>SUM(D156:D181)</f>
        <v>13.36</v>
      </c>
      <c r="E182" s="36"/>
      <c r="F182" s="37"/>
      <c r="G182" s="15">
        <f>SUM(G156:G181)</f>
        <v>11.25</v>
      </c>
      <c r="H182" s="15">
        <f>SUM(H156:H181)</f>
        <v>26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ONAL, EDMON L.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SEPTEMBER 01, 1995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 t="s">
        <v>52</v>
      </c>
      <c r="C191" s="15"/>
      <c r="D191" s="14"/>
      <c r="E191" s="15">
        <f>E181+C191-D191</f>
        <v>39.646000000000001</v>
      </c>
      <c r="F191" s="14"/>
      <c r="G191" s="15">
        <f>C191</f>
        <v>0</v>
      </c>
      <c r="H191" s="34">
        <v>2</v>
      </c>
      <c r="I191" s="15">
        <f>I181+G191-H191</f>
        <v>31.25</v>
      </c>
      <c r="J191" s="14"/>
      <c r="K191" s="13" t="s">
        <v>297</v>
      </c>
    </row>
    <row r="192" spans="1:11" ht="12.6" customHeight="1" x14ac:dyDescent="0.2">
      <c r="A192" s="13"/>
      <c r="B192" s="19" t="s">
        <v>45</v>
      </c>
      <c r="C192" s="15"/>
      <c r="D192" s="14"/>
      <c r="E192" s="15">
        <f>E191+C192-D192</f>
        <v>39.646000000000001</v>
      </c>
      <c r="F192" s="14"/>
      <c r="G192" s="15">
        <f t="shared" ref="G192:G216" si="15">C192</f>
        <v>0</v>
      </c>
      <c r="H192" s="34"/>
      <c r="I192" s="15">
        <f>I191+G192-H192</f>
        <v>31.25</v>
      </c>
      <c r="J192" s="14"/>
      <c r="K192" s="13" t="s">
        <v>298</v>
      </c>
    </row>
    <row r="193" spans="1:11" ht="12.6" customHeight="1" x14ac:dyDescent="0.2">
      <c r="A193" s="13">
        <v>37989</v>
      </c>
      <c r="B193" s="19"/>
      <c r="C193" s="15">
        <v>1.25</v>
      </c>
      <c r="D193" s="14"/>
      <c r="E193" s="15">
        <f t="shared" ref="E193:E216" si="16">E192+C193-D193</f>
        <v>40.896000000000001</v>
      </c>
      <c r="F193" s="22"/>
      <c r="G193" s="15">
        <f t="shared" si="15"/>
        <v>1.25</v>
      </c>
      <c r="H193" s="34"/>
      <c r="I193" s="15">
        <f t="shared" ref="I193:I216" si="17">I192+G193-H193</f>
        <v>32.5</v>
      </c>
      <c r="J193" s="14"/>
      <c r="K193" s="38"/>
    </row>
    <row r="194" spans="1:11" ht="12.6" customHeight="1" x14ac:dyDescent="0.2">
      <c r="A194" s="13"/>
      <c r="B194" s="19" t="s">
        <v>47</v>
      </c>
      <c r="C194" s="15"/>
      <c r="D194" s="14"/>
      <c r="E194" s="15">
        <f t="shared" si="16"/>
        <v>40.896000000000001</v>
      </c>
      <c r="F194" s="14"/>
      <c r="G194" s="15">
        <f t="shared" si="15"/>
        <v>0</v>
      </c>
      <c r="H194" s="34">
        <v>1</v>
      </c>
      <c r="I194" s="15">
        <f t="shared" si="17"/>
        <v>31.5</v>
      </c>
      <c r="J194" s="14"/>
      <c r="K194" s="13">
        <v>37989</v>
      </c>
    </row>
    <row r="195" spans="1:11" ht="12.6" customHeight="1" x14ac:dyDescent="0.2">
      <c r="A195" s="13"/>
      <c r="B195" s="19" t="s">
        <v>47</v>
      </c>
      <c r="C195" s="15"/>
      <c r="D195" s="14"/>
      <c r="E195" s="15">
        <f t="shared" si="16"/>
        <v>40.896000000000001</v>
      </c>
      <c r="F195" s="14"/>
      <c r="G195" s="15">
        <f t="shared" si="15"/>
        <v>0</v>
      </c>
      <c r="H195" s="32">
        <v>1</v>
      </c>
      <c r="I195" s="15">
        <f t="shared" si="17"/>
        <v>30.5</v>
      </c>
      <c r="J195" s="14"/>
      <c r="K195" s="13" t="s">
        <v>299</v>
      </c>
    </row>
    <row r="196" spans="1:11" ht="12.6" customHeight="1" x14ac:dyDescent="0.2">
      <c r="A196" s="13"/>
      <c r="B196" s="19" t="s">
        <v>282</v>
      </c>
      <c r="C196" s="15"/>
      <c r="D196" s="14">
        <v>0.5</v>
      </c>
      <c r="E196" s="15">
        <f t="shared" si="16"/>
        <v>40.396000000000001</v>
      </c>
      <c r="F196" s="14"/>
      <c r="G196" s="15">
        <f t="shared" si="15"/>
        <v>0</v>
      </c>
      <c r="H196" s="34"/>
      <c r="I196" s="15">
        <f t="shared" si="17"/>
        <v>30.5</v>
      </c>
      <c r="J196" s="14"/>
      <c r="K196" s="13" t="s">
        <v>300</v>
      </c>
    </row>
    <row r="197" spans="1:11" ht="12.6" customHeight="1" x14ac:dyDescent="0.2">
      <c r="A197" s="13"/>
      <c r="B197" s="19" t="s">
        <v>282</v>
      </c>
      <c r="C197" s="15"/>
      <c r="D197" s="14">
        <v>0.5</v>
      </c>
      <c r="E197" s="15">
        <f t="shared" si="16"/>
        <v>39.896000000000001</v>
      </c>
      <c r="F197" s="14"/>
      <c r="G197" s="15">
        <f t="shared" si="15"/>
        <v>0</v>
      </c>
      <c r="H197" s="34"/>
      <c r="I197" s="15">
        <f t="shared" si="17"/>
        <v>30.5</v>
      </c>
      <c r="J197" s="14"/>
      <c r="K197" s="13" t="s">
        <v>301</v>
      </c>
    </row>
    <row r="198" spans="1:11" ht="12.6" customHeight="1" x14ac:dyDescent="0.2">
      <c r="A198" s="13">
        <v>37990</v>
      </c>
      <c r="B198" s="19"/>
      <c r="C198" s="15">
        <v>1.25</v>
      </c>
      <c r="D198" s="22"/>
      <c r="E198" s="15">
        <f t="shared" si="16"/>
        <v>41.146000000000001</v>
      </c>
      <c r="F198" s="22"/>
      <c r="G198" s="15">
        <f t="shared" si="15"/>
        <v>1.25</v>
      </c>
      <c r="H198" s="34"/>
      <c r="I198" s="15">
        <f t="shared" si="17"/>
        <v>31.75</v>
      </c>
      <c r="J198" s="14"/>
      <c r="K198" s="16"/>
    </row>
    <row r="199" spans="1:11" ht="12.6" customHeight="1" x14ac:dyDescent="0.2">
      <c r="A199" s="13"/>
      <c r="B199" s="19" t="s">
        <v>47</v>
      </c>
      <c r="C199" s="15"/>
      <c r="D199" s="22"/>
      <c r="E199" s="15">
        <f t="shared" si="16"/>
        <v>41.146000000000001</v>
      </c>
      <c r="F199" s="14"/>
      <c r="G199" s="15">
        <f t="shared" si="15"/>
        <v>0</v>
      </c>
      <c r="H199" s="34">
        <v>1</v>
      </c>
      <c r="I199" s="15">
        <f t="shared" si="17"/>
        <v>30.75</v>
      </c>
      <c r="J199" s="14"/>
      <c r="K199" s="13">
        <v>38325</v>
      </c>
    </row>
    <row r="200" spans="1:11" ht="12.6" customHeight="1" x14ac:dyDescent="0.2">
      <c r="A200" s="13"/>
      <c r="B200" s="19" t="s">
        <v>60</v>
      </c>
      <c r="C200" s="15"/>
      <c r="D200" s="14">
        <v>5</v>
      </c>
      <c r="E200" s="15">
        <f t="shared" si="16"/>
        <v>36.146000000000001</v>
      </c>
      <c r="F200" s="14"/>
      <c r="G200" s="15">
        <f t="shared" si="15"/>
        <v>0</v>
      </c>
      <c r="H200" s="34"/>
      <c r="I200" s="15">
        <f t="shared" si="17"/>
        <v>30.75</v>
      </c>
      <c r="J200" s="14"/>
      <c r="K200" s="13" t="s">
        <v>302</v>
      </c>
    </row>
    <row r="201" spans="1:11" ht="12.6" customHeight="1" x14ac:dyDescent="0.2">
      <c r="A201" s="13"/>
      <c r="B201" s="19" t="s">
        <v>45</v>
      </c>
      <c r="C201" s="15"/>
      <c r="D201" s="22"/>
      <c r="E201" s="15">
        <f t="shared" si="16"/>
        <v>36.146000000000001</v>
      </c>
      <c r="F201" s="22"/>
      <c r="G201" s="15">
        <f t="shared" si="15"/>
        <v>0</v>
      </c>
      <c r="H201" s="34"/>
      <c r="I201" s="15">
        <f t="shared" si="17"/>
        <v>30.75</v>
      </c>
      <c r="J201" s="14"/>
      <c r="K201" s="13" t="s">
        <v>303</v>
      </c>
    </row>
    <row r="202" spans="1:11" ht="12.6" customHeight="1" x14ac:dyDescent="0.2">
      <c r="A202" s="13">
        <v>37991</v>
      </c>
      <c r="B202" s="19"/>
      <c r="C202" s="15">
        <v>1.25</v>
      </c>
      <c r="D202" s="14"/>
      <c r="E202" s="15">
        <f t="shared" si="16"/>
        <v>37.396000000000001</v>
      </c>
      <c r="F202" s="22"/>
      <c r="G202" s="15">
        <f t="shared" si="15"/>
        <v>1.25</v>
      </c>
      <c r="H202" s="34"/>
      <c r="I202" s="15">
        <f t="shared" si="17"/>
        <v>32</v>
      </c>
      <c r="J202" s="14"/>
      <c r="K202" s="13"/>
    </row>
    <row r="203" spans="1:11" ht="12.6" customHeight="1" x14ac:dyDescent="0.2">
      <c r="A203" s="13"/>
      <c r="B203" s="19" t="s">
        <v>129</v>
      </c>
      <c r="C203" s="15"/>
      <c r="D203" s="14"/>
      <c r="E203" s="15">
        <f t="shared" si="16"/>
        <v>37.396000000000001</v>
      </c>
      <c r="F203" s="14"/>
      <c r="G203" s="15">
        <f t="shared" si="15"/>
        <v>0</v>
      </c>
      <c r="H203" s="35">
        <v>0.5</v>
      </c>
      <c r="I203" s="15">
        <f t="shared" si="17"/>
        <v>31.5</v>
      </c>
      <c r="J203" s="14"/>
      <c r="K203" s="16" t="s">
        <v>304</v>
      </c>
    </row>
    <row r="204" spans="1:11" ht="12.6" customHeight="1" x14ac:dyDescent="0.2">
      <c r="A204" s="13"/>
      <c r="B204" s="19" t="s">
        <v>271</v>
      </c>
      <c r="C204" s="15"/>
      <c r="D204" s="14"/>
      <c r="E204" s="15">
        <f t="shared" si="16"/>
        <v>37.396000000000001</v>
      </c>
      <c r="F204" s="22"/>
      <c r="G204" s="15">
        <f t="shared" si="15"/>
        <v>0</v>
      </c>
      <c r="H204" s="34">
        <v>5</v>
      </c>
      <c r="I204" s="15">
        <f t="shared" si="17"/>
        <v>26.5</v>
      </c>
      <c r="J204" s="14"/>
      <c r="K204" s="16" t="s">
        <v>305</v>
      </c>
    </row>
    <row r="205" spans="1:11" ht="12.6" customHeight="1" x14ac:dyDescent="0.2">
      <c r="A205" s="13">
        <v>37992</v>
      </c>
      <c r="B205" s="19"/>
      <c r="C205" s="15">
        <v>1.25</v>
      </c>
      <c r="D205" s="14"/>
      <c r="E205" s="15">
        <f t="shared" si="16"/>
        <v>38.646000000000001</v>
      </c>
      <c r="F205" s="14"/>
      <c r="G205" s="15">
        <f t="shared" si="15"/>
        <v>1.25</v>
      </c>
      <c r="H205" s="34"/>
      <c r="I205" s="15">
        <f t="shared" si="17"/>
        <v>27.75</v>
      </c>
      <c r="J205" s="14"/>
      <c r="K205" s="16"/>
    </row>
    <row r="206" spans="1:11" ht="12.6" customHeight="1" x14ac:dyDescent="0.2">
      <c r="A206" s="13"/>
      <c r="B206" s="19" t="s">
        <v>308</v>
      </c>
      <c r="C206" s="15"/>
      <c r="D206" s="22">
        <v>1</v>
      </c>
      <c r="E206" s="15">
        <f t="shared" si="16"/>
        <v>37.646000000000001</v>
      </c>
      <c r="F206" s="14"/>
      <c r="G206" s="15">
        <f t="shared" si="15"/>
        <v>0</v>
      </c>
      <c r="H206" s="34"/>
      <c r="I206" s="15">
        <f t="shared" si="17"/>
        <v>27.75</v>
      </c>
      <c r="J206" s="14"/>
      <c r="K206" s="16" t="s">
        <v>306</v>
      </c>
    </row>
    <row r="207" spans="1:11" ht="12.6" customHeight="1" x14ac:dyDescent="0.2">
      <c r="A207" s="13"/>
      <c r="B207" s="19" t="s">
        <v>45</v>
      </c>
      <c r="C207" s="15"/>
      <c r="D207" s="22"/>
      <c r="E207" s="15">
        <f t="shared" si="16"/>
        <v>37.646000000000001</v>
      </c>
      <c r="F207" s="14"/>
      <c r="G207" s="15">
        <f t="shared" si="15"/>
        <v>0</v>
      </c>
      <c r="H207" s="34"/>
      <c r="I207" s="15">
        <f t="shared" si="17"/>
        <v>27.75</v>
      </c>
      <c r="J207" s="14"/>
      <c r="K207" s="13">
        <v>38297</v>
      </c>
    </row>
    <row r="208" spans="1:11" ht="12.6" customHeight="1" x14ac:dyDescent="0.2">
      <c r="A208" s="13"/>
      <c r="B208" s="19" t="s">
        <v>52</v>
      </c>
      <c r="C208" s="15"/>
      <c r="D208" s="14"/>
      <c r="E208" s="15">
        <f t="shared" si="16"/>
        <v>37.646000000000001</v>
      </c>
      <c r="F208" s="14"/>
      <c r="G208" s="15">
        <f t="shared" si="15"/>
        <v>0</v>
      </c>
      <c r="H208" s="34">
        <v>2</v>
      </c>
      <c r="I208" s="15">
        <f t="shared" si="17"/>
        <v>25.75</v>
      </c>
      <c r="J208" s="14"/>
      <c r="K208" s="13" t="s">
        <v>307</v>
      </c>
    </row>
    <row r="209" spans="1:11" ht="12.6" customHeight="1" x14ac:dyDescent="0.2">
      <c r="A209" s="13"/>
      <c r="B209" s="19" t="s">
        <v>129</v>
      </c>
      <c r="C209" s="15"/>
      <c r="D209" s="14"/>
      <c r="E209" s="15">
        <f t="shared" si="16"/>
        <v>37.646000000000001</v>
      </c>
      <c r="F209" s="22"/>
      <c r="G209" s="15">
        <f t="shared" si="15"/>
        <v>0</v>
      </c>
      <c r="H209" s="35">
        <v>0.5</v>
      </c>
      <c r="I209" s="15">
        <f t="shared" si="17"/>
        <v>25.25</v>
      </c>
      <c r="J209" s="14"/>
      <c r="K209" s="16" t="s">
        <v>309</v>
      </c>
    </row>
    <row r="210" spans="1:11" ht="12.6" customHeight="1" x14ac:dyDescent="0.2">
      <c r="A210" s="13">
        <v>37993</v>
      </c>
      <c r="B210" s="19"/>
      <c r="C210" s="15">
        <v>1.25</v>
      </c>
      <c r="D210" s="14"/>
      <c r="E210" s="15">
        <f t="shared" si="16"/>
        <v>38.896000000000001</v>
      </c>
      <c r="F210" s="22"/>
      <c r="G210" s="15">
        <f t="shared" si="15"/>
        <v>1.25</v>
      </c>
      <c r="H210" s="34"/>
      <c r="I210" s="15">
        <f t="shared" si="17"/>
        <v>26.5</v>
      </c>
      <c r="J210" s="14"/>
      <c r="K210" s="13"/>
    </row>
    <row r="211" spans="1:11" ht="12.6" customHeight="1" x14ac:dyDescent="0.2">
      <c r="A211" s="13"/>
      <c r="B211" s="19" t="s">
        <v>308</v>
      </c>
      <c r="C211" s="15"/>
      <c r="D211" s="14">
        <v>1</v>
      </c>
      <c r="E211" s="15">
        <f t="shared" si="16"/>
        <v>37.896000000000001</v>
      </c>
      <c r="F211" s="14"/>
      <c r="G211" s="15">
        <f t="shared" si="15"/>
        <v>0</v>
      </c>
      <c r="H211" s="34"/>
      <c r="I211" s="15">
        <f t="shared" si="17"/>
        <v>26.5</v>
      </c>
      <c r="J211" s="14"/>
      <c r="K211" s="16" t="s">
        <v>310</v>
      </c>
    </row>
    <row r="212" spans="1:11" ht="12.6" customHeight="1" x14ac:dyDescent="0.2">
      <c r="A212" s="13"/>
      <c r="B212" s="19" t="s">
        <v>47</v>
      </c>
      <c r="C212" s="15"/>
      <c r="D212" s="14"/>
      <c r="E212" s="15">
        <f t="shared" si="16"/>
        <v>37.896000000000001</v>
      </c>
      <c r="F212" s="14"/>
      <c r="G212" s="15">
        <f t="shared" si="15"/>
        <v>0</v>
      </c>
      <c r="H212" s="34">
        <v>1</v>
      </c>
      <c r="I212" s="15">
        <f t="shared" si="17"/>
        <v>25.5</v>
      </c>
      <c r="J212" s="14"/>
      <c r="K212" s="13" t="s">
        <v>311</v>
      </c>
    </row>
    <row r="213" spans="1:11" ht="12.6" customHeight="1" x14ac:dyDescent="0.2">
      <c r="A213" s="13">
        <v>37994</v>
      </c>
      <c r="B213" s="19"/>
      <c r="C213" s="15">
        <v>1.25</v>
      </c>
      <c r="D213" s="14"/>
      <c r="E213" s="15">
        <f t="shared" si="16"/>
        <v>39.146000000000001</v>
      </c>
      <c r="F213" s="14"/>
      <c r="G213" s="15">
        <f t="shared" si="15"/>
        <v>1.25</v>
      </c>
      <c r="H213" s="34"/>
      <c r="I213" s="15">
        <f t="shared" si="17"/>
        <v>26.75</v>
      </c>
      <c r="J213" s="14"/>
      <c r="K213" s="13"/>
    </row>
    <row r="214" spans="1:11" ht="12.6" customHeight="1" x14ac:dyDescent="0.2">
      <c r="A214" s="13"/>
      <c r="B214" s="19" t="s">
        <v>52</v>
      </c>
      <c r="C214" s="15"/>
      <c r="D214" s="14"/>
      <c r="E214" s="15">
        <f t="shared" si="16"/>
        <v>39.146000000000001</v>
      </c>
      <c r="F214" s="14"/>
      <c r="G214" s="15">
        <f t="shared" si="15"/>
        <v>0</v>
      </c>
      <c r="H214" s="14">
        <v>2</v>
      </c>
      <c r="I214" s="15">
        <f t="shared" si="17"/>
        <v>24.75</v>
      </c>
      <c r="J214" s="14"/>
      <c r="K214" s="16" t="s">
        <v>312</v>
      </c>
    </row>
    <row r="215" spans="1:11" ht="12.6" customHeight="1" x14ac:dyDescent="0.2">
      <c r="A215" s="13"/>
      <c r="B215" s="19" t="s">
        <v>314</v>
      </c>
      <c r="C215" s="15"/>
      <c r="D215" s="14">
        <v>0.79300000000000004</v>
      </c>
      <c r="E215" s="15">
        <f t="shared" si="16"/>
        <v>38.353000000000002</v>
      </c>
      <c r="F215" s="14"/>
      <c r="G215" s="15">
        <f t="shared" si="15"/>
        <v>0</v>
      </c>
      <c r="H215" s="14"/>
      <c r="I215" s="15">
        <f t="shared" si="17"/>
        <v>24.75</v>
      </c>
      <c r="J215" s="14"/>
      <c r="K215" s="13" t="s">
        <v>313</v>
      </c>
    </row>
    <row r="216" spans="1:11" ht="12.6" customHeight="1" x14ac:dyDescent="0.2">
      <c r="A216" s="13">
        <v>37995</v>
      </c>
      <c r="B216" s="19"/>
      <c r="C216" s="15">
        <v>1.25</v>
      </c>
      <c r="D216" s="14"/>
      <c r="E216" s="15">
        <f t="shared" si="16"/>
        <v>39.603000000000002</v>
      </c>
      <c r="F216" s="14"/>
      <c r="G216" s="15">
        <f t="shared" si="15"/>
        <v>1.25</v>
      </c>
      <c r="H216" s="14"/>
      <c r="I216" s="15">
        <f t="shared" si="17"/>
        <v>26</v>
      </c>
      <c r="J216" s="14"/>
      <c r="K216" s="16"/>
    </row>
    <row r="217" spans="1:11" ht="12.6" customHeight="1" x14ac:dyDescent="0.2">
      <c r="A217" s="57"/>
      <c r="B217" s="19"/>
      <c r="C217" s="15">
        <f>SUM(C191:C216)</f>
        <v>8.75</v>
      </c>
      <c r="D217" s="15">
        <f>SUM(D191:D216)</f>
        <v>8.7929999999999993</v>
      </c>
      <c r="E217" s="36"/>
      <c r="F217" s="39"/>
      <c r="G217" s="15">
        <f>SUM(G191:G216)</f>
        <v>8.75</v>
      </c>
      <c r="H217" s="15">
        <f>SUM(H191:H216)</f>
        <v>16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ONAL, EDMON L.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SEPTEMBER 01, 1995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 t="s">
        <v>52</v>
      </c>
      <c r="C230" s="15"/>
      <c r="D230" s="14"/>
      <c r="E230" s="15">
        <f>E216+C230-D230</f>
        <v>39.603000000000002</v>
      </c>
      <c r="F230" s="14"/>
      <c r="G230" s="15">
        <f>C230</f>
        <v>0</v>
      </c>
      <c r="H230" s="14">
        <v>2</v>
      </c>
      <c r="I230" s="15">
        <f>I216+G230-H230</f>
        <v>24</v>
      </c>
      <c r="J230" s="14"/>
      <c r="K230" s="16" t="s">
        <v>315</v>
      </c>
    </row>
    <row r="231" spans="1:11" ht="12.6" customHeight="1" x14ac:dyDescent="0.2">
      <c r="A231" s="13"/>
      <c r="B231" s="19" t="s">
        <v>129</v>
      </c>
      <c r="C231" s="15"/>
      <c r="D231" s="14"/>
      <c r="E231" s="15">
        <f>E230+C231-D231</f>
        <v>39.603000000000002</v>
      </c>
      <c r="F231" s="14"/>
      <c r="G231" s="15">
        <f t="shared" ref="G231:G255" si="18">C231</f>
        <v>0</v>
      </c>
      <c r="H231" s="14">
        <v>0.5</v>
      </c>
      <c r="I231" s="15">
        <f>I230+G231-H231</f>
        <v>23.5</v>
      </c>
      <c r="J231" s="14"/>
      <c r="K231" s="13" t="s">
        <v>316</v>
      </c>
    </row>
    <row r="232" spans="1:11" ht="12.6" customHeight="1" x14ac:dyDescent="0.2">
      <c r="A232" s="13">
        <v>37996</v>
      </c>
      <c r="B232" s="19"/>
      <c r="C232" s="15">
        <v>1.25</v>
      </c>
      <c r="D232" s="14"/>
      <c r="E232" s="15">
        <f t="shared" ref="E232:E255" si="19">E231+C232-D232</f>
        <v>40.853000000000002</v>
      </c>
      <c r="F232" s="14"/>
      <c r="G232" s="15">
        <f t="shared" si="18"/>
        <v>1.25</v>
      </c>
      <c r="H232" s="14"/>
      <c r="I232" s="15">
        <f t="shared" ref="I232:I255" si="20">I231+G232-H232</f>
        <v>24.75</v>
      </c>
      <c r="J232" s="14"/>
      <c r="K232" s="13"/>
    </row>
    <row r="233" spans="1:11" ht="12.6" customHeight="1" x14ac:dyDescent="0.2">
      <c r="A233" s="13"/>
      <c r="B233" s="19" t="s">
        <v>144</v>
      </c>
      <c r="C233" s="15"/>
      <c r="D233" s="14"/>
      <c r="E233" s="15">
        <f t="shared" si="19"/>
        <v>40.853000000000002</v>
      </c>
      <c r="F233" s="14"/>
      <c r="G233" s="15">
        <f t="shared" si="18"/>
        <v>0</v>
      </c>
      <c r="H233" s="14">
        <v>1.5</v>
      </c>
      <c r="I233" s="15">
        <f t="shared" si="20"/>
        <v>23.25</v>
      </c>
      <c r="J233" s="14"/>
      <c r="K233" s="16" t="s">
        <v>318</v>
      </c>
    </row>
    <row r="234" spans="1:11" ht="12.6" customHeight="1" x14ac:dyDescent="0.2">
      <c r="A234" s="13"/>
      <c r="B234" s="19" t="s">
        <v>129</v>
      </c>
      <c r="C234" s="15"/>
      <c r="D234" s="14"/>
      <c r="E234" s="15">
        <f t="shared" si="19"/>
        <v>40.853000000000002</v>
      </c>
      <c r="F234" s="14"/>
      <c r="G234" s="15">
        <f t="shared" si="18"/>
        <v>0</v>
      </c>
      <c r="H234" s="14">
        <v>0.5</v>
      </c>
      <c r="I234" s="15">
        <f t="shared" si="20"/>
        <v>22.75</v>
      </c>
      <c r="J234" s="14"/>
      <c r="K234" s="13" t="s">
        <v>317</v>
      </c>
    </row>
    <row r="235" spans="1:11" ht="12.6" customHeight="1" x14ac:dyDescent="0.2">
      <c r="A235" s="13">
        <v>37997</v>
      </c>
      <c r="B235" s="19"/>
      <c r="C235" s="15">
        <v>1.25</v>
      </c>
      <c r="D235" s="14"/>
      <c r="E235" s="15">
        <f t="shared" si="19"/>
        <v>42.103000000000002</v>
      </c>
      <c r="F235" s="14"/>
      <c r="G235" s="15">
        <f t="shared" si="18"/>
        <v>1.25</v>
      </c>
      <c r="H235" s="14"/>
      <c r="I235" s="15">
        <f t="shared" si="20"/>
        <v>24</v>
      </c>
      <c r="J235" s="14"/>
      <c r="K235" s="16"/>
    </row>
    <row r="236" spans="1:11" ht="12.6" customHeight="1" x14ac:dyDescent="0.2">
      <c r="A236" s="13"/>
      <c r="B236" s="19" t="s">
        <v>52</v>
      </c>
      <c r="C236" s="15"/>
      <c r="D236" s="14"/>
      <c r="E236" s="15">
        <f t="shared" si="19"/>
        <v>42.103000000000002</v>
      </c>
      <c r="F236" s="14"/>
      <c r="G236" s="15">
        <f t="shared" si="18"/>
        <v>0</v>
      </c>
      <c r="H236" s="14">
        <v>2</v>
      </c>
      <c r="I236" s="15">
        <f t="shared" si="20"/>
        <v>22</v>
      </c>
      <c r="J236" s="14"/>
      <c r="K236" s="13" t="s">
        <v>319</v>
      </c>
    </row>
    <row r="237" spans="1:11" ht="12.6" customHeight="1" x14ac:dyDescent="0.2">
      <c r="A237" s="13">
        <v>38354</v>
      </c>
      <c r="B237" s="19"/>
      <c r="C237" s="15">
        <v>3.75</v>
      </c>
      <c r="D237" s="14"/>
      <c r="E237" s="15">
        <f t="shared" si="19"/>
        <v>45.853000000000002</v>
      </c>
      <c r="F237" s="14"/>
      <c r="G237" s="15">
        <f t="shared" si="18"/>
        <v>3.75</v>
      </c>
      <c r="H237" s="14"/>
      <c r="I237" s="15">
        <f t="shared" si="20"/>
        <v>25.75</v>
      </c>
      <c r="J237" s="14"/>
      <c r="K237" s="13"/>
    </row>
    <row r="238" spans="1:11" ht="12.6" customHeight="1" x14ac:dyDescent="0.2">
      <c r="A238" s="13"/>
      <c r="B238" s="19" t="s">
        <v>52</v>
      </c>
      <c r="C238" s="15"/>
      <c r="D238" s="14"/>
      <c r="E238" s="15">
        <f t="shared" si="19"/>
        <v>45.853000000000002</v>
      </c>
      <c r="F238" s="14"/>
      <c r="G238" s="15">
        <f t="shared" si="18"/>
        <v>0</v>
      </c>
      <c r="H238" s="14">
        <v>2</v>
      </c>
      <c r="I238" s="15">
        <f t="shared" si="20"/>
        <v>23.75</v>
      </c>
      <c r="J238" s="14"/>
      <c r="K238" s="16" t="s">
        <v>320</v>
      </c>
    </row>
    <row r="239" spans="1:11" ht="12.6" customHeight="1" x14ac:dyDescent="0.2">
      <c r="A239" s="13"/>
      <c r="B239" s="19" t="s">
        <v>129</v>
      </c>
      <c r="C239" s="15"/>
      <c r="D239" s="14"/>
      <c r="E239" s="15">
        <f t="shared" si="19"/>
        <v>45.853000000000002</v>
      </c>
      <c r="F239" s="14"/>
      <c r="G239" s="15">
        <f t="shared" si="18"/>
        <v>0</v>
      </c>
      <c r="H239" s="14">
        <v>0.5</v>
      </c>
      <c r="I239" s="15">
        <f t="shared" si="20"/>
        <v>23.25</v>
      </c>
      <c r="J239" s="14"/>
      <c r="K239" s="13" t="s">
        <v>321</v>
      </c>
    </row>
    <row r="240" spans="1:11" ht="12.6" customHeight="1" x14ac:dyDescent="0.2">
      <c r="A240" s="13"/>
      <c r="B240" s="19" t="s">
        <v>45</v>
      </c>
      <c r="C240" s="15"/>
      <c r="D240" s="14"/>
      <c r="E240" s="15">
        <f t="shared" si="19"/>
        <v>45.853000000000002</v>
      </c>
      <c r="F240" s="14"/>
      <c r="G240" s="15">
        <f t="shared" si="18"/>
        <v>0</v>
      </c>
      <c r="H240" s="14"/>
      <c r="I240" s="15">
        <f t="shared" si="20"/>
        <v>23.25</v>
      </c>
      <c r="J240" s="14"/>
      <c r="K240" s="13">
        <v>38355</v>
      </c>
    </row>
    <row r="241" spans="1:11" ht="12.6" customHeight="1" x14ac:dyDescent="0.2">
      <c r="A241" s="13">
        <v>38355</v>
      </c>
      <c r="B241" s="19"/>
      <c r="C241" s="15">
        <v>1.25</v>
      </c>
      <c r="D241" s="14"/>
      <c r="E241" s="15">
        <f t="shared" si="19"/>
        <v>47.103000000000002</v>
      </c>
      <c r="F241" s="14"/>
      <c r="G241" s="15">
        <f t="shared" si="18"/>
        <v>1.25</v>
      </c>
      <c r="H241" s="14"/>
      <c r="I241" s="15">
        <f t="shared" si="20"/>
        <v>24.5</v>
      </c>
      <c r="J241" s="14"/>
      <c r="K241" s="13"/>
    </row>
    <row r="242" spans="1:11" ht="12.6" customHeight="1" x14ac:dyDescent="0.2">
      <c r="A242" s="13"/>
      <c r="B242" s="19" t="s">
        <v>323</v>
      </c>
      <c r="C242" s="15"/>
      <c r="D242" s="14">
        <v>0.28299999999999997</v>
      </c>
      <c r="E242" s="15">
        <f t="shared" si="19"/>
        <v>46.82</v>
      </c>
      <c r="F242" s="14"/>
      <c r="G242" s="15">
        <f t="shared" si="18"/>
        <v>0</v>
      </c>
      <c r="H242" s="14"/>
      <c r="I242" s="15">
        <f t="shared" si="20"/>
        <v>24.5</v>
      </c>
      <c r="J242" s="14"/>
      <c r="K242" s="13" t="s">
        <v>322</v>
      </c>
    </row>
    <row r="243" spans="1:11" ht="12.6" customHeight="1" x14ac:dyDescent="0.2">
      <c r="A243" s="13"/>
      <c r="B243" s="19" t="s">
        <v>129</v>
      </c>
      <c r="C243" s="15"/>
      <c r="D243" s="14"/>
      <c r="E243" s="15">
        <f t="shared" si="19"/>
        <v>46.82</v>
      </c>
      <c r="F243" s="14"/>
      <c r="G243" s="15">
        <f t="shared" si="18"/>
        <v>0</v>
      </c>
      <c r="H243" s="14">
        <v>0.5</v>
      </c>
      <c r="I243" s="15">
        <f t="shared" si="20"/>
        <v>24</v>
      </c>
      <c r="J243" s="14"/>
      <c r="K243" s="13" t="s">
        <v>324</v>
      </c>
    </row>
    <row r="244" spans="1:11" ht="12.6" customHeight="1" x14ac:dyDescent="0.2">
      <c r="A244" s="13">
        <v>38356</v>
      </c>
      <c r="B244" s="19"/>
      <c r="C244" s="15">
        <v>1.25</v>
      </c>
      <c r="D244" s="14"/>
      <c r="E244" s="15">
        <f t="shared" si="19"/>
        <v>48.07</v>
      </c>
      <c r="F244" s="14"/>
      <c r="G244" s="15">
        <f t="shared" si="18"/>
        <v>1.25</v>
      </c>
      <c r="H244" s="14"/>
      <c r="I244" s="15">
        <f t="shared" si="20"/>
        <v>25.25</v>
      </c>
      <c r="J244" s="14"/>
      <c r="K244" s="13"/>
    </row>
    <row r="245" spans="1:11" ht="12.6" customHeight="1" x14ac:dyDescent="0.2">
      <c r="A245" s="13"/>
      <c r="B245" s="19" t="s">
        <v>67</v>
      </c>
      <c r="C245" s="15"/>
      <c r="D245" s="14"/>
      <c r="E245" s="15">
        <f t="shared" si="19"/>
        <v>48.07</v>
      </c>
      <c r="F245" s="14"/>
      <c r="G245" s="15">
        <f t="shared" si="18"/>
        <v>0</v>
      </c>
      <c r="H245" s="14">
        <v>3</v>
      </c>
      <c r="I245" s="15">
        <f t="shared" si="20"/>
        <v>22.25</v>
      </c>
      <c r="J245" s="14"/>
      <c r="K245" s="13" t="s">
        <v>333</v>
      </c>
    </row>
    <row r="246" spans="1:11" ht="12.6" customHeight="1" x14ac:dyDescent="0.2">
      <c r="A246" s="13">
        <v>38357</v>
      </c>
      <c r="B246" s="19"/>
      <c r="C246" s="15">
        <v>1.25</v>
      </c>
      <c r="D246" s="14"/>
      <c r="E246" s="15">
        <f t="shared" si="19"/>
        <v>49.32</v>
      </c>
      <c r="F246" s="14"/>
      <c r="G246" s="15">
        <f t="shared" si="18"/>
        <v>1.25</v>
      </c>
      <c r="H246" s="14"/>
      <c r="I246" s="15">
        <f t="shared" si="20"/>
        <v>23.5</v>
      </c>
      <c r="J246" s="14"/>
      <c r="K246" s="13" t="s">
        <v>325</v>
      </c>
    </row>
    <row r="247" spans="1:11" ht="12.6" customHeight="1" x14ac:dyDescent="0.2">
      <c r="A247" s="13"/>
      <c r="B247" s="19" t="s">
        <v>76</v>
      </c>
      <c r="C247" s="15"/>
      <c r="D247" s="15">
        <v>2</v>
      </c>
      <c r="E247" s="15">
        <f t="shared" si="19"/>
        <v>47.32</v>
      </c>
      <c r="F247" s="14"/>
      <c r="G247" s="15">
        <f t="shared" si="18"/>
        <v>0</v>
      </c>
      <c r="H247" s="14"/>
      <c r="I247" s="15">
        <f t="shared" si="20"/>
        <v>23.5</v>
      </c>
      <c r="J247" s="14"/>
      <c r="K247" s="13" t="s">
        <v>326</v>
      </c>
    </row>
    <row r="248" spans="1:11" ht="12.6" customHeight="1" x14ac:dyDescent="0.2">
      <c r="A248" s="13"/>
      <c r="B248" s="19" t="s">
        <v>45</v>
      </c>
      <c r="C248" s="15"/>
      <c r="D248" s="14"/>
      <c r="E248" s="15">
        <f t="shared" si="19"/>
        <v>47.32</v>
      </c>
      <c r="F248" s="14"/>
      <c r="G248" s="15">
        <f t="shared" si="18"/>
        <v>0</v>
      </c>
      <c r="H248" s="14"/>
      <c r="I248" s="15">
        <f t="shared" si="20"/>
        <v>23.5</v>
      </c>
      <c r="J248" s="14"/>
      <c r="K248" s="13">
        <v>38358</v>
      </c>
    </row>
    <row r="249" spans="1:11" ht="12.6" customHeight="1" x14ac:dyDescent="0.2">
      <c r="A249" s="13">
        <v>38360</v>
      </c>
      <c r="B249" s="19"/>
      <c r="C249" s="15">
        <v>3.75</v>
      </c>
      <c r="D249" s="15"/>
      <c r="E249" s="15">
        <f t="shared" si="19"/>
        <v>51.07</v>
      </c>
      <c r="F249" s="14"/>
      <c r="G249" s="15">
        <f t="shared" si="18"/>
        <v>3.75</v>
      </c>
      <c r="H249" s="14"/>
      <c r="I249" s="15">
        <f t="shared" si="20"/>
        <v>27.25</v>
      </c>
      <c r="J249" s="14"/>
      <c r="K249" s="13"/>
    </row>
    <row r="250" spans="1:11" ht="12.6" customHeight="1" x14ac:dyDescent="0.2">
      <c r="A250" s="13"/>
      <c r="B250" s="19" t="s">
        <v>74</v>
      </c>
      <c r="C250" s="15"/>
      <c r="D250" s="14">
        <v>1</v>
      </c>
      <c r="E250" s="15">
        <f t="shared" si="19"/>
        <v>50.07</v>
      </c>
      <c r="F250" s="14"/>
      <c r="G250" s="15">
        <f t="shared" si="18"/>
        <v>0</v>
      </c>
      <c r="H250" s="14"/>
      <c r="I250" s="15">
        <f t="shared" si="20"/>
        <v>27.25</v>
      </c>
      <c r="J250" s="14"/>
      <c r="K250" s="13">
        <v>38572</v>
      </c>
    </row>
    <row r="251" spans="1:11" ht="12.6" customHeight="1" x14ac:dyDescent="0.2">
      <c r="A251" s="13"/>
      <c r="B251" s="19" t="s">
        <v>125</v>
      </c>
      <c r="C251" s="15"/>
      <c r="D251" s="14"/>
      <c r="E251" s="15">
        <f t="shared" si="19"/>
        <v>50.07</v>
      </c>
      <c r="F251" s="14"/>
      <c r="G251" s="15">
        <f t="shared" si="18"/>
        <v>0</v>
      </c>
      <c r="H251" s="14">
        <v>4</v>
      </c>
      <c r="I251" s="15">
        <f t="shared" si="20"/>
        <v>23.25</v>
      </c>
      <c r="J251" s="14"/>
      <c r="K251" s="13" t="s">
        <v>327</v>
      </c>
    </row>
    <row r="252" spans="1:11" ht="12.6" customHeight="1" x14ac:dyDescent="0.2">
      <c r="A252" s="13"/>
      <c r="B252" s="19" t="s">
        <v>45</v>
      </c>
      <c r="C252" s="15"/>
      <c r="D252" s="14"/>
      <c r="E252" s="15">
        <f t="shared" si="19"/>
        <v>50.07</v>
      </c>
      <c r="F252" s="14"/>
      <c r="G252" s="15">
        <f t="shared" si="18"/>
        <v>0</v>
      </c>
      <c r="H252" s="14"/>
      <c r="I252" s="15">
        <f t="shared" si="20"/>
        <v>23.25</v>
      </c>
      <c r="J252" s="14"/>
      <c r="K252" s="13" t="s">
        <v>328</v>
      </c>
    </row>
    <row r="253" spans="1:11" ht="12.6" customHeight="1" x14ac:dyDescent="0.2">
      <c r="A253" s="13">
        <v>38361</v>
      </c>
      <c r="B253" s="19"/>
      <c r="C253" s="15">
        <v>1.25</v>
      </c>
      <c r="D253" s="14"/>
      <c r="E253" s="15">
        <f t="shared" si="19"/>
        <v>51.32</v>
      </c>
      <c r="F253" s="14"/>
      <c r="G253" s="15">
        <f t="shared" si="18"/>
        <v>1.25</v>
      </c>
      <c r="H253" s="14"/>
      <c r="I253" s="15">
        <f t="shared" si="20"/>
        <v>24.5</v>
      </c>
      <c r="J253" s="14"/>
      <c r="K253" s="13"/>
    </row>
    <row r="254" spans="1:11" ht="12.6" customHeight="1" x14ac:dyDescent="0.2">
      <c r="A254" s="13"/>
      <c r="B254" s="19" t="s">
        <v>144</v>
      </c>
      <c r="C254" s="15"/>
      <c r="D254" s="14"/>
      <c r="E254" s="15">
        <f t="shared" si="19"/>
        <v>51.32</v>
      </c>
      <c r="F254" s="14"/>
      <c r="G254" s="15">
        <f t="shared" si="18"/>
        <v>0</v>
      </c>
      <c r="H254" s="14">
        <v>1.5</v>
      </c>
      <c r="I254" s="15">
        <f t="shared" si="20"/>
        <v>23</v>
      </c>
      <c r="J254" s="14"/>
      <c r="K254" s="16" t="s">
        <v>329</v>
      </c>
    </row>
    <row r="255" spans="1:11" ht="12.6" customHeight="1" x14ac:dyDescent="0.2">
      <c r="A255" s="13"/>
      <c r="B255" s="19" t="s">
        <v>129</v>
      </c>
      <c r="C255" s="15"/>
      <c r="D255" s="14"/>
      <c r="E255" s="15">
        <f t="shared" si="19"/>
        <v>51.32</v>
      </c>
      <c r="F255" s="14"/>
      <c r="G255" s="15">
        <f t="shared" si="18"/>
        <v>0</v>
      </c>
      <c r="H255" s="14">
        <v>0.5</v>
      </c>
      <c r="I255" s="15">
        <f t="shared" si="20"/>
        <v>22.5</v>
      </c>
      <c r="J255" s="14"/>
      <c r="K255" s="71" t="s">
        <v>330</v>
      </c>
    </row>
    <row r="256" spans="1:11" ht="12.6" customHeight="1" x14ac:dyDescent="0.2">
      <c r="A256" s="19"/>
      <c r="B256" s="19"/>
      <c r="C256" s="36">
        <f>SUM(C230:C255)</f>
        <v>15</v>
      </c>
      <c r="D256" s="36">
        <f>SUM(D230:D255)</f>
        <v>3.2829999999999999</v>
      </c>
      <c r="E256" s="36"/>
      <c r="F256" s="37"/>
      <c r="G256" s="36">
        <f>SUM(G230:G255)</f>
        <v>15</v>
      </c>
      <c r="H256" s="36">
        <f>SUM(H230:H255)</f>
        <v>18.5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ONAL, EDMON L.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SEPTEMBER 01, 1995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129</v>
      </c>
      <c r="C265" s="15"/>
      <c r="D265" s="14"/>
      <c r="E265" s="15">
        <f>E255+C265-D265</f>
        <v>51.32</v>
      </c>
      <c r="F265" s="14"/>
      <c r="G265" s="15">
        <f>C265</f>
        <v>0</v>
      </c>
      <c r="H265" s="14">
        <v>0.5</v>
      </c>
      <c r="I265" s="15">
        <f>I255+G265-H265</f>
        <v>22</v>
      </c>
      <c r="J265" s="14"/>
      <c r="K265" s="71" t="s">
        <v>331</v>
      </c>
    </row>
    <row r="266" spans="1:11" ht="12.6" customHeight="1" x14ac:dyDescent="0.2">
      <c r="A266" s="13"/>
      <c r="B266" s="19" t="s">
        <v>47</v>
      </c>
      <c r="C266" s="15"/>
      <c r="D266" s="14"/>
      <c r="E266" s="15">
        <f>E265+C266-D266</f>
        <v>51.32</v>
      </c>
      <c r="F266" s="14"/>
      <c r="G266" s="15">
        <f t="shared" ref="G266:G290" si="21">C266</f>
        <v>0</v>
      </c>
      <c r="H266" s="14">
        <v>1</v>
      </c>
      <c r="I266" s="15">
        <f>I265+G266-H266</f>
        <v>21</v>
      </c>
      <c r="J266" s="14"/>
      <c r="K266" s="16" t="s">
        <v>332</v>
      </c>
    </row>
    <row r="267" spans="1:11" ht="12.6" customHeight="1" x14ac:dyDescent="0.2">
      <c r="A267" s="13">
        <v>38362</v>
      </c>
      <c r="B267" s="19"/>
      <c r="C267" s="15">
        <v>1.25</v>
      </c>
      <c r="D267" s="14"/>
      <c r="E267" s="15">
        <f t="shared" ref="E267:E290" si="22">E266+C267-D267</f>
        <v>52.57</v>
      </c>
      <c r="F267" s="14"/>
      <c r="G267" s="15">
        <f t="shared" si="21"/>
        <v>1.25</v>
      </c>
      <c r="H267" s="14"/>
      <c r="I267" s="15">
        <f t="shared" ref="I267:I290" si="23">I266+G267-H267</f>
        <v>22.25</v>
      </c>
      <c r="J267" s="14"/>
      <c r="K267" s="13"/>
    </row>
    <row r="268" spans="1:11" ht="12.6" customHeight="1" x14ac:dyDescent="0.2">
      <c r="A268" s="13"/>
      <c r="B268" s="19" t="s">
        <v>129</v>
      </c>
      <c r="C268" s="15"/>
      <c r="D268" s="14"/>
      <c r="E268" s="15">
        <f t="shared" si="22"/>
        <v>52.57</v>
      </c>
      <c r="F268" s="14"/>
      <c r="G268" s="15">
        <f t="shared" si="21"/>
        <v>0</v>
      </c>
      <c r="H268" s="14">
        <v>0.5</v>
      </c>
      <c r="I268" s="15">
        <f t="shared" si="23"/>
        <v>21.75</v>
      </c>
      <c r="J268" s="14"/>
      <c r="K268" s="16" t="s">
        <v>334</v>
      </c>
    </row>
    <row r="269" spans="1:11" ht="12.6" customHeight="1" x14ac:dyDescent="0.2">
      <c r="A269" s="13"/>
      <c r="B269" s="19" t="s">
        <v>47</v>
      </c>
      <c r="C269" s="15"/>
      <c r="D269" s="14"/>
      <c r="E269" s="15">
        <f t="shared" si="22"/>
        <v>52.57</v>
      </c>
      <c r="F269" s="14"/>
      <c r="G269" s="15">
        <f t="shared" si="21"/>
        <v>0</v>
      </c>
      <c r="H269" s="14">
        <v>1</v>
      </c>
      <c r="I269" s="15">
        <f t="shared" si="23"/>
        <v>20.75</v>
      </c>
      <c r="J269" s="14"/>
      <c r="K269" s="13" t="s">
        <v>335</v>
      </c>
    </row>
    <row r="270" spans="1:11" ht="12.6" customHeight="1" x14ac:dyDescent="0.2">
      <c r="A270" s="13"/>
      <c r="B270" s="19" t="s">
        <v>129</v>
      </c>
      <c r="C270" s="15"/>
      <c r="D270" s="14"/>
      <c r="E270" s="15">
        <f t="shared" si="22"/>
        <v>52.57</v>
      </c>
      <c r="F270" s="14"/>
      <c r="G270" s="15">
        <f t="shared" si="21"/>
        <v>0</v>
      </c>
      <c r="H270" s="14">
        <v>0.5</v>
      </c>
      <c r="I270" s="15">
        <f t="shared" si="23"/>
        <v>20.25</v>
      </c>
      <c r="J270" s="14"/>
      <c r="K270" s="16" t="s">
        <v>336</v>
      </c>
    </row>
    <row r="271" spans="1:11" ht="12.6" customHeight="1" x14ac:dyDescent="0.2">
      <c r="A271" s="13"/>
      <c r="B271" s="19" t="s">
        <v>74</v>
      </c>
      <c r="C271" s="15"/>
      <c r="D271" s="14">
        <v>1</v>
      </c>
      <c r="E271" s="15">
        <f t="shared" si="22"/>
        <v>51.57</v>
      </c>
      <c r="F271" s="14"/>
      <c r="G271" s="15">
        <f t="shared" si="21"/>
        <v>0</v>
      </c>
      <c r="H271" s="14"/>
      <c r="I271" s="15">
        <f t="shared" si="23"/>
        <v>20.25</v>
      </c>
      <c r="J271" s="14"/>
      <c r="K271" s="13" t="s">
        <v>337</v>
      </c>
    </row>
    <row r="272" spans="1:11" ht="12.6" customHeight="1" x14ac:dyDescent="0.2">
      <c r="A272" s="13">
        <v>38364</v>
      </c>
      <c r="B272" s="19"/>
      <c r="C272" s="15">
        <v>2.5</v>
      </c>
      <c r="D272" s="14"/>
      <c r="E272" s="15">
        <f t="shared" si="22"/>
        <v>54.07</v>
      </c>
      <c r="F272" s="14"/>
      <c r="G272" s="15">
        <f t="shared" si="21"/>
        <v>2.5</v>
      </c>
      <c r="H272" s="14"/>
      <c r="I272" s="15">
        <f t="shared" si="23"/>
        <v>22.75</v>
      </c>
      <c r="J272" s="14"/>
      <c r="K272" s="13"/>
    </row>
    <row r="273" spans="1:11" ht="12.6" customHeight="1" x14ac:dyDescent="0.2">
      <c r="A273" s="13"/>
      <c r="B273" s="19" t="s">
        <v>129</v>
      </c>
      <c r="C273" s="15"/>
      <c r="D273" s="14"/>
      <c r="E273" s="15">
        <f t="shared" si="22"/>
        <v>54.07</v>
      </c>
      <c r="F273" s="14"/>
      <c r="G273" s="15">
        <f t="shared" si="21"/>
        <v>0</v>
      </c>
      <c r="H273" s="14">
        <v>0.5</v>
      </c>
      <c r="I273" s="15">
        <f t="shared" si="23"/>
        <v>22.25</v>
      </c>
      <c r="J273" s="14"/>
      <c r="K273" s="16" t="s">
        <v>338</v>
      </c>
    </row>
    <row r="274" spans="1:11" ht="12.6" customHeight="1" x14ac:dyDescent="0.2">
      <c r="A274" s="13">
        <v>38718</v>
      </c>
      <c r="B274" s="19"/>
      <c r="C274" s="15">
        <v>1.25</v>
      </c>
      <c r="D274" s="14"/>
      <c r="E274" s="15">
        <f t="shared" si="22"/>
        <v>55.32</v>
      </c>
      <c r="F274" s="14"/>
      <c r="G274" s="15">
        <f t="shared" si="21"/>
        <v>1.25</v>
      </c>
      <c r="H274" s="14"/>
      <c r="I274" s="15">
        <f t="shared" si="23"/>
        <v>23.5</v>
      </c>
      <c r="J274" s="14"/>
      <c r="K274" s="16"/>
    </row>
    <row r="275" spans="1:11" ht="12.6" customHeight="1" x14ac:dyDescent="0.2">
      <c r="A275" s="13"/>
      <c r="B275" s="19" t="s">
        <v>57</v>
      </c>
      <c r="C275" s="15"/>
      <c r="D275" s="14">
        <v>1</v>
      </c>
      <c r="E275" s="15">
        <f t="shared" si="22"/>
        <v>54.32</v>
      </c>
      <c r="F275" s="14"/>
      <c r="G275" s="15">
        <f t="shared" si="21"/>
        <v>0</v>
      </c>
      <c r="H275" s="14"/>
      <c r="I275" s="15">
        <f t="shared" si="23"/>
        <v>23.5</v>
      </c>
      <c r="J275" s="14"/>
      <c r="K275" s="13" t="s">
        <v>339</v>
      </c>
    </row>
    <row r="276" spans="1:11" ht="12.6" customHeight="1" x14ac:dyDescent="0.2">
      <c r="A276" s="13"/>
      <c r="B276" s="19" t="s">
        <v>271</v>
      </c>
      <c r="C276" s="15"/>
      <c r="D276" s="14"/>
      <c r="E276" s="15">
        <f t="shared" si="22"/>
        <v>54.32</v>
      </c>
      <c r="F276" s="14"/>
      <c r="G276" s="15">
        <f t="shared" si="21"/>
        <v>0</v>
      </c>
      <c r="H276" s="14">
        <v>5</v>
      </c>
      <c r="I276" s="15">
        <f t="shared" si="23"/>
        <v>18.5</v>
      </c>
      <c r="J276" s="14"/>
      <c r="K276" s="13" t="s">
        <v>340</v>
      </c>
    </row>
    <row r="277" spans="1:11" ht="12.6" customHeight="1" x14ac:dyDescent="0.2">
      <c r="A277" s="13"/>
      <c r="B277" s="19" t="s">
        <v>52</v>
      </c>
      <c r="C277" s="15"/>
      <c r="D277" s="14"/>
      <c r="E277" s="15">
        <f t="shared" si="22"/>
        <v>54.32</v>
      </c>
      <c r="F277" s="14"/>
      <c r="G277" s="15">
        <f t="shared" si="21"/>
        <v>0</v>
      </c>
      <c r="H277" s="14">
        <v>2</v>
      </c>
      <c r="I277" s="15">
        <f t="shared" si="23"/>
        <v>16.5</v>
      </c>
      <c r="J277" s="14"/>
      <c r="K277" s="13" t="s">
        <v>341</v>
      </c>
    </row>
    <row r="278" spans="1:11" ht="12.6" customHeight="1" x14ac:dyDescent="0.2">
      <c r="A278" s="13">
        <v>38719</v>
      </c>
      <c r="B278" s="19"/>
      <c r="C278" s="15">
        <v>1.25</v>
      </c>
      <c r="D278" s="14"/>
      <c r="E278" s="15">
        <f t="shared" si="22"/>
        <v>55.57</v>
      </c>
      <c r="F278" s="14"/>
      <c r="G278" s="15">
        <f t="shared" si="21"/>
        <v>1.25</v>
      </c>
      <c r="H278" s="14"/>
      <c r="I278" s="15">
        <f t="shared" si="23"/>
        <v>17.75</v>
      </c>
      <c r="J278" s="14"/>
      <c r="K278" s="13"/>
    </row>
    <row r="279" spans="1:11" ht="12.6" customHeight="1" x14ac:dyDescent="0.2">
      <c r="A279" s="13"/>
      <c r="B279" s="19" t="s">
        <v>45</v>
      </c>
      <c r="C279" s="15"/>
      <c r="D279" s="14"/>
      <c r="E279" s="15">
        <f t="shared" si="22"/>
        <v>55.57</v>
      </c>
      <c r="F279" s="14"/>
      <c r="G279" s="15">
        <f t="shared" si="21"/>
        <v>0</v>
      </c>
      <c r="H279" s="14"/>
      <c r="I279" s="15">
        <f t="shared" si="23"/>
        <v>17.75</v>
      </c>
      <c r="J279" s="14"/>
      <c r="K279" s="13" t="s">
        <v>342</v>
      </c>
    </row>
    <row r="280" spans="1:11" ht="12.6" customHeight="1" x14ac:dyDescent="0.2">
      <c r="A280" s="13">
        <v>38720</v>
      </c>
      <c r="B280" s="19"/>
      <c r="C280" s="15">
        <v>1.25</v>
      </c>
      <c r="D280" s="14"/>
      <c r="E280" s="15">
        <f t="shared" si="22"/>
        <v>56.82</v>
      </c>
      <c r="F280" s="14"/>
      <c r="G280" s="15">
        <f t="shared" si="21"/>
        <v>1.25</v>
      </c>
      <c r="H280" s="14"/>
      <c r="I280" s="15">
        <f t="shared" si="23"/>
        <v>19</v>
      </c>
      <c r="J280" s="14"/>
      <c r="K280" s="13" t="s">
        <v>343</v>
      </c>
    </row>
    <row r="281" spans="1:11" ht="12.6" customHeight="1" x14ac:dyDescent="0.2">
      <c r="A281" s="13"/>
      <c r="B281" s="19" t="s">
        <v>144</v>
      </c>
      <c r="C281" s="15"/>
      <c r="D281" s="14"/>
      <c r="E281" s="15">
        <f t="shared" si="22"/>
        <v>56.82</v>
      </c>
      <c r="F281" s="14"/>
      <c r="G281" s="15">
        <f t="shared" si="21"/>
        <v>0</v>
      </c>
      <c r="H281" s="14">
        <v>1.5</v>
      </c>
      <c r="I281" s="15">
        <f t="shared" si="23"/>
        <v>17.5</v>
      </c>
      <c r="J281" s="14"/>
      <c r="K281" s="13" t="s">
        <v>344</v>
      </c>
    </row>
    <row r="282" spans="1:11" ht="12.6" customHeight="1" x14ac:dyDescent="0.2">
      <c r="A282" s="13"/>
      <c r="B282" s="19" t="s">
        <v>45</v>
      </c>
      <c r="C282" s="15"/>
      <c r="D282" s="15"/>
      <c r="E282" s="15">
        <f t="shared" si="22"/>
        <v>56.82</v>
      </c>
      <c r="F282" s="14"/>
      <c r="G282" s="15">
        <f t="shared" si="21"/>
        <v>0</v>
      </c>
      <c r="H282" s="14"/>
      <c r="I282" s="15">
        <f t="shared" si="23"/>
        <v>17.5</v>
      </c>
      <c r="J282" s="14"/>
      <c r="K282" s="13" t="s">
        <v>345</v>
      </c>
    </row>
    <row r="283" spans="1:11" ht="12.6" customHeight="1" x14ac:dyDescent="0.2">
      <c r="A283" s="13">
        <v>38721</v>
      </c>
      <c r="B283" s="19"/>
      <c r="C283" s="15">
        <v>1.25</v>
      </c>
      <c r="D283" s="14"/>
      <c r="E283" s="15">
        <f t="shared" si="22"/>
        <v>58.07</v>
      </c>
      <c r="F283" s="14"/>
      <c r="G283" s="15">
        <f t="shared" si="21"/>
        <v>1.25</v>
      </c>
      <c r="H283" s="14"/>
      <c r="I283" s="15">
        <f t="shared" si="23"/>
        <v>18.75</v>
      </c>
      <c r="J283" s="14"/>
      <c r="K283" s="16"/>
    </row>
    <row r="284" spans="1:11" ht="12.6" customHeight="1" x14ac:dyDescent="0.2">
      <c r="A284" s="13"/>
      <c r="B284" s="19" t="s">
        <v>144</v>
      </c>
      <c r="C284" s="15"/>
      <c r="D284" s="15"/>
      <c r="E284" s="15">
        <f t="shared" si="22"/>
        <v>58.07</v>
      </c>
      <c r="F284" s="14"/>
      <c r="G284" s="15">
        <f t="shared" si="21"/>
        <v>0</v>
      </c>
      <c r="H284" s="14">
        <v>1.5</v>
      </c>
      <c r="I284" s="15">
        <f t="shared" si="23"/>
        <v>17.25</v>
      </c>
      <c r="J284" s="14"/>
      <c r="K284" s="13" t="s">
        <v>346</v>
      </c>
    </row>
    <row r="285" spans="1:11" ht="12.6" customHeight="1" x14ac:dyDescent="0.2">
      <c r="A285" s="13"/>
      <c r="B285" s="19" t="s">
        <v>45</v>
      </c>
      <c r="C285" s="15"/>
      <c r="D285" s="14"/>
      <c r="E285" s="15">
        <f t="shared" si="22"/>
        <v>58.07</v>
      </c>
      <c r="F285" s="14"/>
      <c r="G285" s="15">
        <f t="shared" si="21"/>
        <v>0</v>
      </c>
      <c r="H285" s="14"/>
      <c r="I285" s="15">
        <f t="shared" si="23"/>
        <v>17.25</v>
      </c>
      <c r="J285" s="14"/>
      <c r="K285" s="16" t="s">
        <v>347</v>
      </c>
    </row>
    <row r="286" spans="1:11" ht="12.6" customHeight="1" x14ac:dyDescent="0.2">
      <c r="A286" s="13">
        <v>38722</v>
      </c>
      <c r="B286" s="19"/>
      <c r="C286" s="15">
        <v>1.25</v>
      </c>
      <c r="D286" s="14"/>
      <c r="E286" s="15">
        <f t="shared" si="22"/>
        <v>59.32</v>
      </c>
      <c r="F286" s="14"/>
      <c r="G286" s="15">
        <f t="shared" si="21"/>
        <v>1.25</v>
      </c>
      <c r="H286" s="14"/>
      <c r="I286" s="15">
        <f t="shared" si="23"/>
        <v>18.5</v>
      </c>
      <c r="J286" s="14"/>
      <c r="K286" s="13"/>
    </row>
    <row r="287" spans="1:11" ht="12.6" customHeight="1" x14ac:dyDescent="0.2">
      <c r="A287" s="13"/>
      <c r="B287" s="19" t="s">
        <v>248</v>
      </c>
      <c r="C287" s="15"/>
      <c r="D287" s="14"/>
      <c r="E287" s="15">
        <f t="shared" si="22"/>
        <v>59.32</v>
      </c>
      <c r="F287" s="14"/>
      <c r="G287" s="15">
        <f t="shared" si="21"/>
        <v>0</v>
      </c>
      <c r="H287" s="14">
        <v>2.5</v>
      </c>
      <c r="I287" s="15">
        <f t="shared" si="23"/>
        <v>16</v>
      </c>
      <c r="J287" s="14"/>
      <c r="K287" s="13" t="s">
        <v>348</v>
      </c>
    </row>
    <row r="288" spans="1:11" ht="12.6" customHeight="1" x14ac:dyDescent="0.2">
      <c r="A288" s="13"/>
      <c r="B288" s="19" t="s">
        <v>129</v>
      </c>
      <c r="C288" s="15"/>
      <c r="D288" s="14"/>
      <c r="E288" s="15">
        <f t="shared" si="22"/>
        <v>59.32</v>
      </c>
      <c r="F288" s="14"/>
      <c r="G288" s="15">
        <f t="shared" si="21"/>
        <v>0</v>
      </c>
      <c r="H288" s="14">
        <v>0.5</v>
      </c>
      <c r="I288" s="15">
        <f t="shared" si="23"/>
        <v>15.5</v>
      </c>
      <c r="J288" s="14"/>
      <c r="K288" s="13" t="s">
        <v>349</v>
      </c>
    </row>
    <row r="289" spans="1:11" ht="12.6" customHeight="1" x14ac:dyDescent="0.2">
      <c r="A289" s="13">
        <v>38723</v>
      </c>
      <c r="B289" s="19"/>
      <c r="C289" s="15">
        <v>1.25</v>
      </c>
      <c r="D289" s="14"/>
      <c r="E289" s="15">
        <f t="shared" si="22"/>
        <v>60.57</v>
      </c>
      <c r="F289" s="14"/>
      <c r="G289" s="15">
        <f t="shared" si="21"/>
        <v>1.25</v>
      </c>
      <c r="H289" s="14"/>
      <c r="I289" s="15">
        <f t="shared" si="23"/>
        <v>16.75</v>
      </c>
      <c r="J289" s="14"/>
      <c r="K289" s="13"/>
    </row>
    <row r="290" spans="1:11" ht="12.6" customHeight="1" x14ac:dyDescent="0.2">
      <c r="A290" s="13"/>
      <c r="B290" s="19" t="s">
        <v>52</v>
      </c>
      <c r="C290" s="15"/>
      <c r="D290" s="14"/>
      <c r="E290" s="15">
        <f t="shared" si="22"/>
        <v>60.57</v>
      </c>
      <c r="F290" s="14"/>
      <c r="G290" s="15">
        <f t="shared" si="21"/>
        <v>0</v>
      </c>
      <c r="H290" s="14">
        <v>2</v>
      </c>
      <c r="I290" s="15">
        <f t="shared" si="23"/>
        <v>14.75</v>
      </c>
      <c r="J290" s="14"/>
      <c r="K290" s="16" t="s">
        <v>350</v>
      </c>
    </row>
    <row r="291" spans="1:11" ht="12.6" customHeight="1" x14ac:dyDescent="0.2">
      <c r="A291" s="19"/>
      <c r="B291" s="19"/>
      <c r="C291" s="36">
        <f>SUM(C265:C290)</f>
        <v>11.25</v>
      </c>
      <c r="D291" s="36">
        <f>SUM(D265:D290)</f>
        <v>2</v>
      </c>
      <c r="E291" s="36"/>
      <c r="F291" s="37"/>
      <c r="G291" s="36">
        <f>SUM(G265:G290)</f>
        <v>11.25</v>
      </c>
      <c r="H291" s="36">
        <f>SUM(H265:H290)</f>
        <v>19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ONAL, EDMON L.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SEPTEMBER 01, 1995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 t="s">
        <v>74</v>
      </c>
      <c r="C304" s="15"/>
      <c r="D304" s="14">
        <v>1</v>
      </c>
      <c r="E304" s="15">
        <f>E290+C304-D304</f>
        <v>59.57</v>
      </c>
      <c r="F304" s="14"/>
      <c r="G304" s="15">
        <f>C304</f>
        <v>0</v>
      </c>
      <c r="H304" s="14"/>
      <c r="I304" s="15">
        <f>I290+G304-H304</f>
        <v>14.75</v>
      </c>
      <c r="J304" s="14"/>
      <c r="K304" s="16" t="s">
        <v>351</v>
      </c>
    </row>
    <row r="305" spans="1:11" ht="12.6" customHeight="1" x14ac:dyDescent="0.2">
      <c r="A305" s="13"/>
      <c r="B305" s="19" t="s">
        <v>47</v>
      </c>
      <c r="C305" s="15"/>
      <c r="D305" s="14"/>
      <c r="E305" s="15">
        <f>E304+C305-D305</f>
        <v>59.57</v>
      </c>
      <c r="F305" s="14"/>
      <c r="G305" s="15">
        <f t="shared" ref="G305:G329" si="24">C305</f>
        <v>0</v>
      </c>
      <c r="H305" s="14">
        <v>1</v>
      </c>
      <c r="I305" s="15">
        <f>I304+G305-H305</f>
        <v>13.75</v>
      </c>
      <c r="J305" s="14"/>
      <c r="K305" s="13" t="s">
        <v>352</v>
      </c>
    </row>
    <row r="306" spans="1:11" ht="12.6" customHeight="1" x14ac:dyDescent="0.2">
      <c r="A306" s="13">
        <v>38724</v>
      </c>
      <c r="B306" s="19"/>
      <c r="C306" s="15">
        <v>1.25</v>
      </c>
      <c r="D306" s="14"/>
      <c r="E306" s="15">
        <f t="shared" ref="E306:E329" si="25">E305+C306-D306</f>
        <v>60.82</v>
      </c>
      <c r="F306" s="14"/>
      <c r="G306" s="15">
        <f t="shared" si="24"/>
        <v>1.25</v>
      </c>
      <c r="H306" s="14"/>
      <c r="I306" s="15">
        <f t="shared" ref="I306:I329" si="26">I305+G306-H306</f>
        <v>15</v>
      </c>
      <c r="J306" s="14"/>
      <c r="K306" s="13"/>
    </row>
    <row r="307" spans="1:11" ht="12.6" customHeight="1" x14ac:dyDescent="0.2">
      <c r="A307" s="13"/>
      <c r="B307" s="19" t="s">
        <v>248</v>
      </c>
      <c r="C307" s="15"/>
      <c r="D307" s="14"/>
      <c r="E307" s="15">
        <f t="shared" si="25"/>
        <v>60.82</v>
      </c>
      <c r="F307" s="14"/>
      <c r="G307" s="15">
        <f t="shared" si="24"/>
        <v>0</v>
      </c>
      <c r="H307" s="14">
        <v>2.5</v>
      </c>
      <c r="I307" s="15">
        <f t="shared" si="26"/>
        <v>12.5</v>
      </c>
      <c r="J307" s="14"/>
      <c r="K307" s="16" t="s">
        <v>353</v>
      </c>
    </row>
    <row r="308" spans="1:11" ht="12.6" customHeight="1" x14ac:dyDescent="0.2">
      <c r="A308" s="13"/>
      <c r="B308" s="19" t="s">
        <v>356</v>
      </c>
      <c r="C308" s="15"/>
      <c r="D308" s="14">
        <v>1.137</v>
      </c>
      <c r="E308" s="15">
        <f t="shared" si="25"/>
        <v>59.683</v>
      </c>
      <c r="F308" s="14"/>
      <c r="G308" s="15">
        <f t="shared" si="24"/>
        <v>0</v>
      </c>
      <c r="H308" s="14"/>
      <c r="I308" s="15">
        <f t="shared" si="26"/>
        <v>12.5</v>
      </c>
      <c r="J308" s="14"/>
      <c r="K308" s="38" t="s">
        <v>354</v>
      </c>
    </row>
    <row r="309" spans="1:11" ht="12.6" customHeight="1" x14ac:dyDescent="0.2">
      <c r="A309" s="13"/>
      <c r="B309" s="19" t="s">
        <v>74</v>
      </c>
      <c r="C309" s="15"/>
      <c r="D309" s="14">
        <v>1</v>
      </c>
      <c r="E309" s="15">
        <f t="shared" si="25"/>
        <v>58.683</v>
      </c>
      <c r="F309" s="14"/>
      <c r="G309" s="15">
        <f t="shared" si="24"/>
        <v>0</v>
      </c>
      <c r="H309" s="14"/>
      <c r="I309" s="15">
        <f t="shared" si="26"/>
        <v>12.5</v>
      </c>
      <c r="J309" s="14"/>
      <c r="K309" s="13" t="s">
        <v>355</v>
      </c>
    </row>
    <row r="310" spans="1:11" ht="12.6" customHeight="1" x14ac:dyDescent="0.2">
      <c r="A310" s="13">
        <v>38725</v>
      </c>
      <c r="B310" s="19"/>
      <c r="C310" s="15">
        <v>1.25</v>
      </c>
      <c r="D310" s="14"/>
      <c r="E310" s="15">
        <f t="shared" si="25"/>
        <v>59.933</v>
      </c>
      <c r="F310" s="14"/>
      <c r="G310" s="15">
        <f t="shared" si="24"/>
        <v>1.25</v>
      </c>
      <c r="H310" s="14"/>
      <c r="I310" s="15">
        <f t="shared" si="26"/>
        <v>13.75</v>
      </c>
      <c r="J310" s="14"/>
      <c r="K310" s="13"/>
    </row>
    <row r="311" spans="1:11" ht="12.6" customHeight="1" x14ac:dyDescent="0.2">
      <c r="A311" s="13"/>
      <c r="B311" s="19" t="s">
        <v>52</v>
      </c>
      <c r="C311" s="15"/>
      <c r="D311" s="14"/>
      <c r="E311" s="15">
        <f t="shared" si="25"/>
        <v>59.933</v>
      </c>
      <c r="F311" s="14"/>
      <c r="G311" s="15">
        <f t="shared" si="24"/>
        <v>0</v>
      </c>
      <c r="H311" s="14">
        <v>2</v>
      </c>
      <c r="I311" s="15">
        <f t="shared" si="26"/>
        <v>11.75</v>
      </c>
      <c r="J311" s="14"/>
      <c r="K311" s="13" t="s">
        <v>357</v>
      </c>
    </row>
    <row r="312" spans="1:11" ht="12.6" customHeight="1" x14ac:dyDescent="0.2">
      <c r="A312" s="13"/>
      <c r="B312" s="19" t="s">
        <v>47</v>
      </c>
      <c r="C312" s="15"/>
      <c r="D312" s="14"/>
      <c r="E312" s="15">
        <f t="shared" si="25"/>
        <v>59.933</v>
      </c>
      <c r="F312" s="14"/>
      <c r="G312" s="15">
        <f t="shared" si="24"/>
        <v>0</v>
      </c>
      <c r="H312" s="14">
        <v>1</v>
      </c>
      <c r="I312" s="15">
        <f t="shared" si="26"/>
        <v>10.75</v>
      </c>
      <c r="J312" s="14"/>
      <c r="K312" s="16" t="s">
        <v>358</v>
      </c>
    </row>
    <row r="313" spans="1:11" ht="12.6" customHeight="1" x14ac:dyDescent="0.2">
      <c r="A313" s="13"/>
      <c r="B313" s="19" t="s">
        <v>95</v>
      </c>
      <c r="C313" s="15"/>
      <c r="D313" s="14">
        <v>3</v>
      </c>
      <c r="E313" s="15">
        <f t="shared" si="25"/>
        <v>56.933</v>
      </c>
      <c r="F313" s="14"/>
      <c r="G313" s="15">
        <f t="shared" si="24"/>
        <v>0</v>
      </c>
      <c r="H313" s="14"/>
      <c r="I313" s="15">
        <f t="shared" si="26"/>
        <v>10.75</v>
      </c>
      <c r="J313" s="14"/>
      <c r="K313" s="16" t="s">
        <v>359</v>
      </c>
    </row>
    <row r="314" spans="1:11" ht="12.6" customHeight="1" x14ac:dyDescent="0.2">
      <c r="A314" s="13">
        <v>38728</v>
      </c>
      <c r="B314" s="19"/>
      <c r="C314" s="15">
        <v>3.75</v>
      </c>
      <c r="D314" s="14"/>
      <c r="E314" s="15">
        <f t="shared" si="25"/>
        <v>60.683</v>
      </c>
      <c r="F314" s="14"/>
      <c r="G314" s="15">
        <f t="shared" si="24"/>
        <v>3.75</v>
      </c>
      <c r="H314" s="14"/>
      <c r="I314" s="15">
        <f t="shared" si="26"/>
        <v>14.5</v>
      </c>
      <c r="J314" s="14"/>
      <c r="K314" s="16"/>
    </row>
    <row r="315" spans="1:11" ht="12.6" customHeight="1" x14ac:dyDescent="0.2">
      <c r="A315" s="13"/>
      <c r="B315" s="19" t="s">
        <v>52</v>
      </c>
      <c r="C315" s="15"/>
      <c r="D315" s="14"/>
      <c r="E315" s="15">
        <f t="shared" si="25"/>
        <v>60.683</v>
      </c>
      <c r="F315" s="14"/>
      <c r="G315" s="15">
        <f t="shared" si="24"/>
        <v>0</v>
      </c>
      <c r="H315" s="14">
        <v>2</v>
      </c>
      <c r="I315" s="15">
        <f t="shared" si="26"/>
        <v>12.5</v>
      </c>
      <c r="J315" s="14"/>
      <c r="K315" s="13" t="s">
        <v>360</v>
      </c>
    </row>
    <row r="316" spans="1:11" ht="12.6" customHeight="1" x14ac:dyDescent="0.2">
      <c r="A316" s="13">
        <v>38729</v>
      </c>
      <c r="B316" s="19"/>
      <c r="C316" s="15">
        <v>1.25</v>
      </c>
      <c r="D316" s="14"/>
      <c r="E316" s="15">
        <f t="shared" si="25"/>
        <v>61.933</v>
      </c>
      <c r="F316" s="14"/>
      <c r="G316" s="15">
        <f t="shared" si="24"/>
        <v>1.25</v>
      </c>
      <c r="H316" s="14"/>
      <c r="I316" s="15">
        <f t="shared" si="26"/>
        <v>13.75</v>
      </c>
      <c r="J316" s="14"/>
      <c r="K316" s="13"/>
    </row>
    <row r="317" spans="1:11" ht="12.6" customHeight="1" x14ac:dyDescent="0.2">
      <c r="A317" s="13"/>
      <c r="B317" s="19" t="s">
        <v>52</v>
      </c>
      <c r="C317" s="15"/>
      <c r="D317" s="14"/>
      <c r="E317" s="15">
        <f t="shared" si="25"/>
        <v>61.933</v>
      </c>
      <c r="F317" s="14"/>
      <c r="G317" s="15">
        <f t="shared" si="24"/>
        <v>0</v>
      </c>
      <c r="H317" s="14">
        <v>2</v>
      </c>
      <c r="I317" s="15">
        <f t="shared" si="26"/>
        <v>11.75</v>
      </c>
      <c r="J317" s="14"/>
      <c r="K317" s="13" t="s">
        <v>361</v>
      </c>
    </row>
    <row r="318" spans="1:11" ht="12.6" customHeight="1" x14ac:dyDescent="0.2">
      <c r="A318" s="13"/>
      <c r="B318" s="19" t="s">
        <v>74</v>
      </c>
      <c r="C318" s="15"/>
      <c r="D318" s="14">
        <v>1</v>
      </c>
      <c r="E318" s="15">
        <f t="shared" si="25"/>
        <v>60.933</v>
      </c>
      <c r="F318" s="14"/>
      <c r="G318" s="15">
        <f t="shared" si="24"/>
        <v>0</v>
      </c>
      <c r="H318" s="14"/>
      <c r="I318" s="15">
        <f t="shared" si="26"/>
        <v>11.75</v>
      </c>
      <c r="J318" s="14"/>
      <c r="K318" s="13" t="s">
        <v>362</v>
      </c>
    </row>
    <row r="319" spans="1:11" ht="12.6" customHeight="1" x14ac:dyDescent="0.2">
      <c r="A319" s="13">
        <v>39084</v>
      </c>
      <c r="B319" s="19"/>
      <c r="C319" s="15">
        <v>2.5</v>
      </c>
      <c r="D319" s="14"/>
      <c r="E319" s="15">
        <f t="shared" si="25"/>
        <v>63.433</v>
      </c>
      <c r="F319" s="14"/>
      <c r="G319" s="15">
        <f t="shared" si="24"/>
        <v>2.5</v>
      </c>
      <c r="H319" s="14"/>
      <c r="I319" s="15">
        <f t="shared" si="26"/>
        <v>14.25</v>
      </c>
      <c r="J319" s="14"/>
      <c r="K319" s="13"/>
    </row>
    <row r="320" spans="1:11" ht="12.6" customHeight="1" x14ac:dyDescent="0.2">
      <c r="A320" s="13"/>
      <c r="B320" s="19" t="s">
        <v>364</v>
      </c>
      <c r="C320" s="15"/>
      <c r="D320" s="14"/>
      <c r="E320" s="15">
        <f t="shared" si="25"/>
        <v>63.433</v>
      </c>
      <c r="F320" s="14"/>
      <c r="G320" s="15">
        <f t="shared" si="24"/>
        <v>0</v>
      </c>
      <c r="H320" s="14">
        <v>3.5</v>
      </c>
      <c r="I320" s="15">
        <f t="shared" si="26"/>
        <v>10.75</v>
      </c>
      <c r="J320" s="14"/>
      <c r="K320" s="13" t="s">
        <v>363</v>
      </c>
    </row>
    <row r="321" spans="1:11" ht="12.6" customHeight="1" x14ac:dyDescent="0.2">
      <c r="A321" s="13">
        <v>39085</v>
      </c>
      <c r="B321" s="19"/>
      <c r="C321" s="15">
        <v>1.25</v>
      </c>
      <c r="D321" s="15"/>
      <c r="E321" s="15">
        <f t="shared" si="25"/>
        <v>64.682999999999993</v>
      </c>
      <c r="F321" s="14"/>
      <c r="G321" s="15">
        <f t="shared" si="24"/>
        <v>1.25</v>
      </c>
      <c r="H321" s="14"/>
      <c r="I321" s="15">
        <f t="shared" si="26"/>
        <v>12</v>
      </c>
      <c r="J321" s="14"/>
      <c r="K321" s="13"/>
    </row>
    <row r="322" spans="1:11" ht="12.6" customHeight="1" x14ac:dyDescent="0.2">
      <c r="A322" s="13"/>
      <c r="B322" s="19" t="s">
        <v>95</v>
      </c>
      <c r="C322" s="15"/>
      <c r="D322" s="15">
        <v>3</v>
      </c>
      <c r="E322" s="15">
        <f t="shared" si="25"/>
        <v>61.682999999999993</v>
      </c>
      <c r="F322" s="14"/>
      <c r="G322" s="15">
        <f t="shared" si="24"/>
        <v>0</v>
      </c>
      <c r="H322" s="14"/>
      <c r="I322" s="15">
        <f t="shared" si="26"/>
        <v>12</v>
      </c>
      <c r="J322" s="14"/>
      <c r="K322" s="13" t="s">
        <v>365</v>
      </c>
    </row>
    <row r="323" spans="1:11" ht="12.6" customHeight="1" x14ac:dyDescent="0.2">
      <c r="A323" s="13">
        <v>39086</v>
      </c>
      <c r="B323" s="19"/>
      <c r="C323" s="15">
        <v>1.25</v>
      </c>
      <c r="D323" s="15"/>
      <c r="E323" s="15">
        <f t="shared" si="25"/>
        <v>62.932999999999993</v>
      </c>
      <c r="F323" s="14"/>
      <c r="G323" s="15">
        <f t="shared" si="24"/>
        <v>1.25</v>
      </c>
      <c r="H323" s="14"/>
      <c r="I323" s="15">
        <f t="shared" si="26"/>
        <v>13.25</v>
      </c>
      <c r="J323" s="14"/>
      <c r="K323" s="13"/>
    </row>
    <row r="324" spans="1:11" ht="12.6" customHeight="1" x14ac:dyDescent="0.2">
      <c r="A324" s="13"/>
      <c r="B324" s="19" t="s">
        <v>367</v>
      </c>
      <c r="C324" s="15"/>
      <c r="D324" s="14">
        <v>1.905</v>
      </c>
      <c r="E324" s="15">
        <f t="shared" si="25"/>
        <v>61.027999999999992</v>
      </c>
      <c r="F324" s="14"/>
      <c r="G324" s="15">
        <f t="shared" si="24"/>
        <v>0</v>
      </c>
      <c r="H324" s="14"/>
      <c r="I324" s="15">
        <f t="shared" si="26"/>
        <v>13.25</v>
      </c>
      <c r="J324" s="14"/>
      <c r="K324" s="13" t="s">
        <v>366</v>
      </c>
    </row>
    <row r="325" spans="1:11" ht="12.6" customHeight="1" x14ac:dyDescent="0.2">
      <c r="A325" s="13"/>
      <c r="B325" s="19" t="s">
        <v>90</v>
      </c>
      <c r="C325" s="15"/>
      <c r="D325" s="14"/>
      <c r="E325" s="15">
        <f t="shared" si="25"/>
        <v>61.027999999999992</v>
      </c>
      <c r="F325" s="14"/>
      <c r="G325" s="15">
        <f t="shared" si="24"/>
        <v>0</v>
      </c>
      <c r="H325" s="14"/>
      <c r="I325" s="15">
        <f t="shared" si="26"/>
        <v>13.25</v>
      </c>
      <c r="J325" s="14"/>
      <c r="K325" s="13" t="s">
        <v>368</v>
      </c>
    </row>
    <row r="326" spans="1:11" ht="12.6" customHeight="1" x14ac:dyDescent="0.2">
      <c r="A326" s="13">
        <v>39087</v>
      </c>
      <c r="B326" s="19"/>
      <c r="C326" s="15">
        <v>1.25</v>
      </c>
      <c r="D326" s="14"/>
      <c r="E326" s="15">
        <f t="shared" si="25"/>
        <v>62.277999999999992</v>
      </c>
      <c r="F326" s="14"/>
      <c r="G326" s="15">
        <f t="shared" si="24"/>
        <v>1.25</v>
      </c>
      <c r="H326" s="14"/>
      <c r="I326" s="15">
        <f t="shared" si="26"/>
        <v>14.5</v>
      </c>
      <c r="J326" s="14"/>
      <c r="K326" s="13"/>
    </row>
    <row r="327" spans="1:11" ht="12.6" customHeight="1" x14ac:dyDescent="0.2">
      <c r="A327" s="13"/>
      <c r="B327" s="19" t="s">
        <v>52</v>
      </c>
      <c r="C327" s="15"/>
      <c r="D327" s="14"/>
      <c r="E327" s="15">
        <f t="shared" si="25"/>
        <v>62.277999999999992</v>
      </c>
      <c r="F327" s="14"/>
      <c r="G327" s="15">
        <f t="shared" si="24"/>
        <v>0</v>
      </c>
      <c r="H327" s="14">
        <v>2</v>
      </c>
      <c r="I327" s="15">
        <f t="shared" si="26"/>
        <v>12.5</v>
      </c>
      <c r="J327" s="14"/>
      <c r="K327" s="13" t="s">
        <v>369</v>
      </c>
    </row>
    <row r="328" spans="1:11" ht="12.6" customHeight="1" x14ac:dyDescent="0.2">
      <c r="A328" s="13"/>
      <c r="B328" s="19" t="s">
        <v>56</v>
      </c>
      <c r="C328" s="15"/>
      <c r="D328" s="14">
        <v>4</v>
      </c>
      <c r="E328" s="15">
        <f t="shared" si="25"/>
        <v>58.277999999999992</v>
      </c>
      <c r="F328" s="14"/>
      <c r="G328" s="15">
        <f t="shared" si="24"/>
        <v>0</v>
      </c>
      <c r="H328" s="14"/>
      <c r="I328" s="15">
        <f t="shared" si="26"/>
        <v>12.5</v>
      </c>
      <c r="J328" s="14"/>
      <c r="K328" s="13" t="s">
        <v>370</v>
      </c>
    </row>
    <row r="329" spans="1:11" ht="12.6" customHeight="1" x14ac:dyDescent="0.2">
      <c r="A329" s="13"/>
      <c r="B329" s="19" t="s">
        <v>76</v>
      </c>
      <c r="C329" s="15"/>
      <c r="D329" s="14">
        <v>2</v>
      </c>
      <c r="E329" s="15">
        <f t="shared" si="25"/>
        <v>56.277999999999992</v>
      </c>
      <c r="F329" s="14"/>
      <c r="G329" s="15">
        <f t="shared" si="24"/>
        <v>0</v>
      </c>
      <c r="H329" s="14"/>
      <c r="I329" s="15">
        <f t="shared" si="26"/>
        <v>12.5</v>
      </c>
      <c r="J329" s="14"/>
      <c r="K329" s="16" t="s">
        <v>371</v>
      </c>
    </row>
    <row r="330" spans="1:11" ht="12.6" customHeight="1" x14ac:dyDescent="0.2">
      <c r="A330" s="19"/>
      <c r="B330" s="19"/>
      <c r="C330" s="36">
        <f>SUM(C304:C329)</f>
        <v>13.75</v>
      </c>
      <c r="D330" s="36">
        <f>SUM(D304:D329)</f>
        <v>18.042000000000002</v>
      </c>
      <c r="E330" s="36"/>
      <c r="F330" s="37"/>
      <c r="G330" s="36">
        <f>SUM(G304:G329)</f>
        <v>13.75</v>
      </c>
      <c r="H330" s="36">
        <f>SUM(H304:H329)</f>
        <v>16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ONAL, EDMON L.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SEPTEMBER 01, 1995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>
        <v>39088</v>
      </c>
      <c r="B339" s="19"/>
      <c r="C339" s="15">
        <v>1.25</v>
      </c>
      <c r="D339" s="14"/>
      <c r="E339" s="15">
        <f>E329+C339-D339</f>
        <v>57.527999999999992</v>
      </c>
      <c r="F339" s="14"/>
      <c r="G339" s="15">
        <f>C339</f>
        <v>1.25</v>
      </c>
      <c r="H339" s="14"/>
      <c r="I339" s="15">
        <f>I329+G339-H339</f>
        <v>13.75</v>
      </c>
      <c r="J339" s="14"/>
      <c r="K339" s="16"/>
    </row>
    <row r="340" spans="1:11" ht="12.6" customHeight="1" x14ac:dyDescent="0.2">
      <c r="A340" s="13"/>
      <c r="B340" s="19" t="s">
        <v>271</v>
      </c>
      <c r="C340" s="15"/>
      <c r="D340" s="14"/>
      <c r="E340" s="15">
        <f>E339+C340-D340</f>
        <v>57.527999999999992</v>
      </c>
      <c r="F340" s="14"/>
      <c r="G340" s="15">
        <f t="shared" ref="G340:G364" si="27">C340</f>
        <v>0</v>
      </c>
      <c r="H340" s="14">
        <v>5</v>
      </c>
      <c r="I340" s="15">
        <f>I339+G340-H340</f>
        <v>8.75</v>
      </c>
      <c r="J340" s="14"/>
      <c r="K340" s="13" t="s">
        <v>372</v>
      </c>
    </row>
    <row r="341" spans="1:11" ht="12.6" customHeight="1" x14ac:dyDescent="0.2">
      <c r="A341" s="13"/>
      <c r="B341" s="19" t="s">
        <v>95</v>
      </c>
      <c r="C341" s="15"/>
      <c r="D341" s="14">
        <v>3</v>
      </c>
      <c r="E341" s="15">
        <f t="shared" ref="E341:E364" si="28">E340+C341-D341</f>
        <v>54.527999999999992</v>
      </c>
      <c r="F341" s="14"/>
      <c r="G341" s="15">
        <f t="shared" si="27"/>
        <v>0</v>
      </c>
      <c r="H341" s="14"/>
      <c r="I341" s="15">
        <f t="shared" ref="I341:I364" si="29">I340+G341-H341</f>
        <v>8.75</v>
      </c>
      <c r="J341" s="14"/>
      <c r="K341" s="13" t="s">
        <v>375</v>
      </c>
    </row>
    <row r="342" spans="1:11" ht="12.6" customHeight="1" x14ac:dyDescent="0.2">
      <c r="A342" s="13">
        <v>39089</v>
      </c>
      <c r="B342" s="19"/>
      <c r="C342" s="15">
        <v>1.25</v>
      </c>
      <c r="D342" s="14"/>
      <c r="E342" s="15">
        <f t="shared" si="28"/>
        <v>55.777999999999992</v>
      </c>
      <c r="F342" s="14"/>
      <c r="G342" s="15">
        <f t="shared" si="27"/>
        <v>1.25</v>
      </c>
      <c r="H342" s="14"/>
      <c r="I342" s="15">
        <f t="shared" si="29"/>
        <v>10</v>
      </c>
      <c r="J342" s="14"/>
      <c r="K342" s="13"/>
    </row>
    <row r="343" spans="1:11" ht="12.6" customHeight="1" x14ac:dyDescent="0.2">
      <c r="A343" s="13"/>
      <c r="B343" s="19" t="s">
        <v>60</v>
      </c>
      <c r="C343" s="15"/>
      <c r="D343" s="14">
        <v>5</v>
      </c>
      <c r="E343" s="15">
        <f t="shared" si="28"/>
        <v>50.777999999999992</v>
      </c>
      <c r="F343" s="14"/>
      <c r="G343" s="15">
        <f t="shared" si="27"/>
        <v>0</v>
      </c>
      <c r="H343" s="14"/>
      <c r="I343" s="15">
        <f t="shared" si="29"/>
        <v>10</v>
      </c>
      <c r="J343" s="14"/>
      <c r="K343" s="13" t="s">
        <v>373</v>
      </c>
    </row>
    <row r="344" spans="1:11" ht="12.6" customHeight="1" x14ac:dyDescent="0.2">
      <c r="A344" s="13"/>
      <c r="B344" s="19" t="s">
        <v>60</v>
      </c>
      <c r="C344" s="15"/>
      <c r="D344" s="14">
        <v>5</v>
      </c>
      <c r="E344" s="15">
        <f t="shared" si="28"/>
        <v>45.777999999999992</v>
      </c>
      <c r="F344" s="14"/>
      <c r="G344" s="15">
        <f t="shared" si="27"/>
        <v>0</v>
      </c>
      <c r="H344" s="14"/>
      <c r="I344" s="15">
        <f t="shared" si="29"/>
        <v>10</v>
      </c>
      <c r="J344" s="14"/>
      <c r="K344" s="13" t="s">
        <v>374</v>
      </c>
    </row>
    <row r="345" spans="1:11" ht="12.6" customHeight="1" x14ac:dyDescent="0.2">
      <c r="A345" s="13">
        <v>39090</v>
      </c>
      <c r="B345" s="19"/>
      <c r="C345" s="15">
        <v>1.25</v>
      </c>
      <c r="D345" s="14"/>
      <c r="E345" s="15">
        <f t="shared" si="28"/>
        <v>47.027999999999992</v>
      </c>
      <c r="F345" s="14"/>
      <c r="G345" s="15">
        <f t="shared" si="27"/>
        <v>1.25</v>
      </c>
      <c r="H345" s="14"/>
      <c r="I345" s="15">
        <f t="shared" si="29"/>
        <v>11.25</v>
      </c>
      <c r="J345" s="14"/>
      <c r="K345" s="13"/>
    </row>
    <row r="346" spans="1:11" ht="12.6" customHeight="1" x14ac:dyDescent="0.2">
      <c r="A346" s="13"/>
      <c r="B346" s="19" t="s">
        <v>129</v>
      </c>
      <c r="C346" s="15"/>
      <c r="D346" s="14"/>
      <c r="E346" s="15">
        <f t="shared" si="28"/>
        <v>47.027999999999992</v>
      </c>
      <c r="F346" s="14"/>
      <c r="G346" s="15">
        <f t="shared" si="27"/>
        <v>0</v>
      </c>
      <c r="H346" s="14">
        <v>0.5</v>
      </c>
      <c r="I346" s="15">
        <f t="shared" si="29"/>
        <v>10.75</v>
      </c>
      <c r="J346" s="14"/>
      <c r="K346" s="13" t="s">
        <v>376</v>
      </c>
    </row>
    <row r="347" spans="1:11" ht="12.6" customHeight="1" x14ac:dyDescent="0.2">
      <c r="A347" s="13"/>
      <c r="B347" s="19" t="s">
        <v>47</v>
      </c>
      <c r="C347" s="15"/>
      <c r="D347" s="14"/>
      <c r="E347" s="15">
        <f t="shared" si="28"/>
        <v>47.027999999999992</v>
      </c>
      <c r="F347" s="14"/>
      <c r="G347" s="15">
        <f t="shared" si="27"/>
        <v>0</v>
      </c>
      <c r="H347" s="14">
        <v>1</v>
      </c>
      <c r="I347" s="15">
        <f t="shared" si="29"/>
        <v>9.75</v>
      </c>
      <c r="J347" s="14"/>
      <c r="K347" s="13" t="s">
        <v>377</v>
      </c>
    </row>
    <row r="348" spans="1:11" ht="12.6" customHeight="1" x14ac:dyDescent="0.2">
      <c r="A348" s="13"/>
      <c r="B348" s="19" t="s">
        <v>74</v>
      </c>
      <c r="C348" s="15"/>
      <c r="D348" s="14">
        <v>1</v>
      </c>
      <c r="E348" s="15">
        <f t="shared" si="28"/>
        <v>46.027999999999992</v>
      </c>
      <c r="F348" s="14"/>
      <c r="G348" s="15">
        <f t="shared" si="27"/>
        <v>0</v>
      </c>
      <c r="H348" s="14"/>
      <c r="I348" s="15">
        <f t="shared" si="29"/>
        <v>9.75</v>
      </c>
      <c r="J348" s="14"/>
      <c r="K348" s="16" t="s">
        <v>378</v>
      </c>
    </row>
    <row r="349" spans="1:11" ht="12.6" customHeight="1" x14ac:dyDescent="0.2">
      <c r="A349" s="13">
        <v>39091</v>
      </c>
      <c r="B349" s="19"/>
      <c r="C349" s="15">
        <v>1.25</v>
      </c>
      <c r="D349" s="14"/>
      <c r="E349" s="15">
        <f t="shared" si="28"/>
        <v>47.277999999999992</v>
      </c>
      <c r="F349" s="14"/>
      <c r="G349" s="15">
        <f t="shared" si="27"/>
        <v>1.25</v>
      </c>
      <c r="H349" s="14"/>
      <c r="I349" s="15">
        <f t="shared" si="29"/>
        <v>11</v>
      </c>
      <c r="J349" s="14"/>
      <c r="K349" s="13"/>
    </row>
    <row r="350" spans="1:11" ht="12.6" customHeight="1" x14ac:dyDescent="0.2">
      <c r="A350" s="13"/>
      <c r="B350" s="19" t="s">
        <v>47</v>
      </c>
      <c r="C350" s="15"/>
      <c r="D350" s="14"/>
      <c r="E350" s="15">
        <f t="shared" si="28"/>
        <v>47.277999999999992</v>
      </c>
      <c r="F350" s="14"/>
      <c r="G350" s="15">
        <f t="shared" si="27"/>
        <v>0</v>
      </c>
      <c r="H350" s="14">
        <v>1</v>
      </c>
      <c r="I350" s="15">
        <f t="shared" si="29"/>
        <v>10</v>
      </c>
      <c r="J350" s="14"/>
      <c r="K350" s="13">
        <v>39150</v>
      </c>
    </row>
    <row r="351" spans="1:11" ht="12.6" customHeight="1" x14ac:dyDescent="0.2">
      <c r="A351" s="13"/>
      <c r="B351" s="19" t="s">
        <v>47</v>
      </c>
      <c r="C351" s="15"/>
      <c r="D351" s="14"/>
      <c r="E351" s="15">
        <f t="shared" si="28"/>
        <v>47.277999999999992</v>
      </c>
      <c r="F351" s="14"/>
      <c r="G351" s="15">
        <f t="shared" si="27"/>
        <v>0</v>
      </c>
      <c r="H351" s="14">
        <v>1</v>
      </c>
      <c r="I351" s="15">
        <f t="shared" si="29"/>
        <v>9</v>
      </c>
      <c r="J351" s="14"/>
      <c r="K351" s="13" t="s">
        <v>379</v>
      </c>
    </row>
    <row r="352" spans="1:11" ht="12.6" customHeight="1" x14ac:dyDescent="0.2">
      <c r="A352" s="13">
        <v>39093</v>
      </c>
      <c r="B352" s="19"/>
      <c r="C352" s="15">
        <v>2.5</v>
      </c>
      <c r="D352" s="14"/>
      <c r="E352" s="15">
        <f t="shared" si="28"/>
        <v>49.777999999999992</v>
      </c>
      <c r="F352" s="14"/>
      <c r="G352" s="15">
        <f t="shared" si="27"/>
        <v>2.5</v>
      </c>
      <c r="H352" s="14"/>
      <c r="I352" s="15">
        <f t="shared" si="29"/>
        <v>11.5</v>
      </c>
      <c r="J352" s="14"/>
      <c r="K352" s="13"/>
    </row>
    <row r="353" spans="1:11" ht="12.6" customHeight="1" x14ac:dyDescent="0.2">
      <c r="A353" s="13"/>
      <c r="B353" s="19" t="s">
        <v>52</v>
      </c>
      <c r="C353" s="15"/>
      <c r="D353" s="14"/>
      <c r="E353" s="15">
        <f t="shared" si="28"/>
        <v>49.777999999999992</v>
      </c>
      <c r="F353" s="14"/>
      <c r="G353" s="15">
        <f t="shared" si="27"/>
        <v>0</v>
      </c>
      <c r="H353" s="14">
        <v>2</v>
      </c>
      <c r="I353" s="15">
        <f t="shared" si="29"/>
        <v>9.5</v>
      </c>
      <c r="J353" s="14"/>
      <c r="K353" s="72" t="s">
        <v>380</v>
      </c>
    </row>
    <row r="354" spans="1:11" ht="12.6" customHeight="1" x14ac:dyDescent="0.2">
      <c r="A354" s="13">
        <v>39094</v>
      </c>
      <c r="B354" s="19"/>
      <c r="C354" s="15">
        <v>1.25</v>
      </c>
      <c r="D354" s="14"/>
      <c r="E354" s="15">
        <f t="shared" si="28"/>
        <v>51.027999999999992</v>
      </c>
      <c r="F354" s="14"/>
      <c r="G354" s="15">
        <f t="shared" si="27"/>
        <v>1.25</v>
      </c>
      <c r="H354" s="14"/>
      <c r="I354" s="15">
        <f t="shared" si="29"/>
        <v>10.75</v>
      </c>
      <c r="J354" s="14"/>
      <c r="K354" s="13"/>
    </row>
    <row r="355" spans="1:11" ht="12.6" customHeight="1" x14ac:dyDescent="0.2">
      <c r="A355" s="13"/>
      <c r="B355" s="19" t="s">
        <v>47</v>
      </c>
      <c r="C355" s="15"/>
      <c r="D355" s="14"/>
      <c r="E355" s="15">
        <f t="shared" si="28"/>
        <v>51.027999999999992</v>
      </c>
      <c r="F355" s="14"/>
      <c r="G355" s="15">
        <f t="shared" si="27"/>
        <v>0</v>
      </c>
      <c r="H355" s="14">
        <v>1</v>
      </c>
      <c r="I355" s="15">
        <f t="shared" si="29"/>
        <v>9.75</v>
      </c>
      <c r="J355" s="14"/>
      <c r="K355" s="13" t="s">
        <v>381</v>
      </c>
    </row>
    <row r="356" spans="1:11" ht="12.6" customHeight="1" x14ac:dyDescent="0.2">
      <c r="A356" s="13"/>
      <c r="B356" s="19" t="s">
        <v>74</v>
      </c>
      <c r="C356" s="15"/>
      <c r="D356" s="15">
        <v>1</v>
      </c>
      <c r="E356" s="15">
        <f t="shared" si="28"/>
        <v>50.027999999999992</v>
      </c>
      <c r="F356" s="14"/>
      <c r="G356" s="15">
        <f t="shared" si="27"/>
        <v>0</v>
      </c>
      <c r="H356" s="14"/>
      <c r="I356" s="15">
        <f t="shared" si="29"/>
        <v>9.75</v>
      </c>
      <c r="J356" s="14"/>
      <c r="K356" s="13" t="s">
        <v>383</v>
      </c>
    </row>
    <row r="357" spans="1:11" ht="12.6" customHeight="1" x14ac:dyDescent="0.2">
      <c r="A357" s="13">
        <v>39448</v>
      </c>
      <c r="B357" s="19"/>
      <c r="C357" s="15">
        <v>1.25</v>
      </c>
      <c r="D357" s="14"/>
      <c r="E357" s="15">
        <f t="shared" si="28"/>
        <v>51.277999999999992</v>
      </c>
      <c r="F357" s="14"/>
      <c r="G357" s="15">
        <f t="shared" si="27"/>
        <v>1.25</v>
      </c>
      <c r="H357" s="14"/>
      <c r="I357" s="15">
        <f t="shared" si="29"/>
        <v>11</v>
      </c>
      <c r="J357" s="14"/>
      <c r="K357" s="16"/>
    </row>
    <row r="358" spans="1:11" ht="12.6" customHeight="1" x14ac:dyDescent="0.2">
      <c r="A358" s="13"/>
      <c r="B358" s="19" t="s">
        <v>47</v>
      </c>
      <c r="C358" s="15"/>
      <c r="D358" s="15"/>
      <c r="E358" s="15">
        <f t="shared" si="28"/>
        <v>51.277999999999992</v>
      </c>
      <c r="F358" s="14"/>
      <c r="G358" s="15">
        <f t="shared" si="27"/>
        <v>0</v>
      </c>
      <c r="H358" s="14">
        <v>1</v>
      </c>
      <c r="I358" s="15">
        <f t="shared" si="29"/>
        <v>10</v>
      </c>
      <c r="J358" s="14"/>
      <c r="K358" s="13" t="s">
        <v>382</v>
      </c>
    </row>
    <row r="359" spans="1:11" ht="12.6" customHeight="1" x14ac:dyDescent="0.2">
      <c r="A359" s="13"/>
      <c r="B359" s="19" t="s">
        <v>74</v>
      </c>
      <c r="C359" s="15"/>
      <c r="D359" s="14">
        <v>1</v>
      </c>
      <c r="E359" s="15">
        <f t="shared" si="28"/>
        <v>50.277999999999992</v>
      </c>
      <c r="F359" s="14"/>
      <c r="G359" s="15">
        <f t="shared" si="27"/>
        <v>0</v>
      </c>
      <c r="H359" s="14"/>
      <c r="I359" s="15">
        <f t="shared" si="29"/>
        <v>10</v>
      </c>
      <c r="J359" s="14"/>
      <c r="K359" s="13" t="s">
        <v>384</v>
      </c>
    </row>
    <row r="360" spans="1:11" ht="12.6" customHeight="1" x14ac:dyDescent="0.2">
      <c r="A360" s="13">
        <v>39449</v>
      </c>
      <c r="B360" s="19"/>
      <c r="C360" s="15">
        <v>1.25</v>
      </c>
      <c r="D360" s="14"/>
      <c r="E360" s="15">
        <f t="shared" si="28"/>
        <v>51.527999999999992</v>
      </c>
      <c r="F360" s="14"/>
      <c r="G360" s="15">
        <f t="shared" si="27"/>
        <v>1.25</v>
      </c>
      <c r="H360" s="14"/>
      <c r="I360" s="15">
        <f t="shared" si="29"/>
        <v>11.25</v>
      </c>
      <c r="J360" s="14"/>
      <c r="K360" s="13"/>
    </row>
    <row r="361" spans="1:11" ht="12.6" customHeight="1" x14ac:dyDescent="0.2">
      <c r="A361" s="13"/>
      <c r="B361" s="19" t="s">
        <v>387</v>
      </c>
      <c r="C361" s="15"/>
      <c r="D361" s="14"/>
      <c r="E361" s="15">
        <f t="shared" si="28"/>
        <v>51.527999999999992</v>
      </c>
      <c r="F361" s="14"/>
      <c r="G361" s="15">
        <f t="shared" si="27"/>
        <v>0</v>
      </c>
      <c r="H361" s="14">
        <v>8</v>
      </c>
      <c r="I361" s="15">
        <f t="shared" si="29"/>
        <v>3.25</v>
      </c>
      <c r="J361" s="14"/>
      <c r="K361" s="13" t="s">
        <v>385</v>
      </c>
    </row>
    <row r="362" spans="1:11" ht="12.6" customHeight="1" x14ac:dyDescent="0.2">
      <c r="A362" s="13"/>
      <c r="B362" s="19" t="s">
        <v>245</v>
      </c>
      <c r="C362" s="15"/>
      <c r="D362" s="14">
        <v>7</v>
      </c>
      <c r="E362" s="15">
        <f t="shared" si="28"/>
        <v>44.527999999999992</v>
      </c>
      <c r="F362" s="14"/>
      <c r="G362" s="15">
        <f t="shared" si="27"/>
        <v>0</v>
      </c>
      <c r="H362" s="14"/>
      <c r="I362" s="15">
        <f t="shared" si="29"/>
        <v>3.25</v>
      </c>
      <c r="J362" s="14"/>
      <c r="K362" s="13" t="s">
        <v>386</v>
      </c>
    </row>
    <row r="363" spans="1:11" ht="12.6" customHeight="1" x14ac:dyDescent="0.2">
      <c r="A363" s="13"/>
      <c r="B363" s="19" t="s">
        <v>389</v>
      </c>
      <c r="C363" s="15"/>
      <c r="D363" s="14">
        <v>2.048</v>
      </c>
      <c r="E363" s="15">
        <f t="shared" si="28"/>
        <v>42.47999999999999</v>
      </c>
      <c r="F363" s="14"/>
      <c r="G363" s="15">
        <f t="shared" si="27"/>
        <v>0</v>
      </c>
      <c r="H363" s="14"/>
      <c r="I363" s="15">
        <f t="shared" si="29"/>
        <v>3.25</v>
      </c>
      <c r="J363" s="14"/>
      <c r="K363" s="13" t="s">
        <v>388</v>
      </c>
    </row>
    <row r="364" spans="1:11" ht="12.6" customHeight="1" x14ac:dyDescent="0.2">
      <c r="A364" s="13">
        <v>39451</v>
      </c>
      <c r="B364" s="19"/>
      <c r="C364" s="15">
        <v>2.5</v>
      </c>
      <c r="D364" s="14"/>
      <c r="E364" s="15">
        <f t="shared" si="28"/>
        <v>44.97999999999999</v>
      </c>
      <c r="F364" s="14"/>
      <c r="G364" s="15">
        <f t="shared" si="27"/>
        <v>2.5</v>
      </c>
      <c r="H364" s="14"/>
      <c r="I364" s="15">
        <f t="shared" si="29"/>
        <v>5.75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13.75</v>
      </c>
      <c r="D365" s="36">
        <f>SUM(D339:D364)</f>
        <v>25.048000000000002</v>
      </c>
      <c r="E365" s="36"/>
      <c r="F365" s="37"/>
      <c r="G365" s="36">
        <f>SUM(G339:G364)</f>
        <v>13.75</v>
      </c>
      <c r="H365" s="36">
        <f>SUM(H339:H364)</f>
        <v>20.5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3" spans="1:11" ht="12.6" customHeight="1" x14ac:dyDescent="0.2">
      <c r="A373" s="102" t="str">
        <f>A1</f>
        <v>ONAL, EDMON L.</v>
      </c>
      <c r="B373" s="102"/>
      <c r="C373" s="102"/>
      <c r="D373" s="102"/>
      <c r="E373" s="102"/>
      <c r="F373" s="102"/>
      <c r="G373" s="102"/>
      <c r="H373" s="1"/>
      <c r="I373" s="103" t="s">
        <v>0</v>
      </c>
      <c r="J373" s="103"/>
      <c r="K373" s="2" t="str">
        <f>K1</f>
        <v>SEPTEMBER 01, 1995</v>
      </c>
    </row>
    <row r="375" spans="1:11" ht="12.6" customHeight="1" x14ac:dyDescent="0.2">
      <c r="A375" s="104" t="s">
        <v>1</v>
      </c>
      <c r="B375" s="104" t="s">
        <v>2</v>
      </c>
      <c r="C375" s="107" t="s">
        <v>3</v>
      </c>
      <c r="D375" s="108"/>
      <c r="E375" s="108"/>
      <c r="F375" s="109"/>
      <c r="G375" s="107" t="s">
        <v>4</v>
      </c>
      <c r="H375" s="108"/>
      <c r="I375" s="108"/>
      <c r="J375" s="109"/>
      <c r="K375" s="4"/>
    </row>
    <row r="376" spans="1:11" ht="12.6" customHeight="1" x14ac:dyDescent="0.2">
      <c r="A376" s="105"/>
      <c r="B376" s="105"/>
      <c r="C376" s="94" t="s">
        <v>6</v>
      </c>
      <c r="D376" s="5" t="s">
        <v>7</v>
      </c>
      <c r="E376" s="94" t="s">
        <v>8</v>
      </c>
      <c r="F376" s="6" t="s">
        <v>7</v>
      </c>
      <c r="G376" s="94" t="s">
        <v>6</v>
      </c>
      <c r="H376" s="5" t="s">
        <v>7</v>
      </c>
      <c r="I376" s="94" t="s">
        <v>8</v>
      </c>
      <c r="J376" s="1" t="s">
        <v>7</v>
      </c>
      <c r="K376" s="7"/>
    </row>
    <row r="377" spans="1:11" ht="12.6" customHeight="1" x14ac:dyDescent="0.2">
      <c r="A377" s="105"/>
      <c r="B377" s="105"/>
      <c r="C377" s="95"/>
      <c r="D377" s="8" t="s">
        <v>10</v>
      </c>
      <c r="E377" s="95"/>
      <c r="F377" s="6" t="s">
        <v>10</v>
      </c>
      <c r="G377" s="95"/>
      <c r="H377" s="8" t="s">
        <v>10</v>
      </c>
      <c r="I377" s="95"/>
      <c r="J377" s="1" t="s">
        <v>10</v>
      </c>
      <c r="K377" s="7"/>
    </row>
    <row r="378" spans="1:11" ht="12.6" customHeight="1" x14ac:dyDescent="0.2">
      <c r="A378" s="106"/>
      <c r="B378" s="106"/>
      <c r="C378" s="96"/>
      <c r="D378" s="9" t="s">
        <v>12</v>
      </c>
      <c r="E378" s="96"/>
      <c r="F378" s="10" t="s">
        <v>13</v>
      </c>
      <c r="G378" s="96"/>
      <c r="H378" s="9" t="s">
        <v>12</v>
      </c>
      <c r="I378" s="96"/>
      <c r="J378" s="11" t="s">
        <v>13</v>
      </c>
      <c r="K378" s="12"/>
    </row>
    <row r="379" spans="1:11" ht="12.6" customHeight="1" x14ac:dyDescent="0.2">
      <c r="A379" s="13"/>
      <c r="B379" s="19" t="s">
        <v>90</v>
      </c>
      <c r="C379" s="15"/>
      <c r="D379" s="14"/>
      <c r="E379" s="15">
        <f>E364+C379-D379</f>
        <v>44.97999999999999</v>
      </c>
      <c r="F379" s="14"/>
      <c r="G379" s="15">
        <f>C379</f>
        <v>0</v>
      </c>
      <c r="H379" s="14"/>
      <c r="I379" s="15">
        <f>I364+G379-H379</f>
        <v>5.75</v>
      </c>
      <c r="J379" s="14"/>
      <c r="K379" s="16" t="s">
        <v>390</v>
      </c>
    </row>
    <row r="380" spans="1:11" ht="12.6" customHeight="1" x14ac:dyDescent="0.2">
      <c r="A380" s="13">
        <v>39452</v>
      </c>
      <c r="B380" s="19"/>
      <c r="C380" s="15">
        <v>1.25</v>
      </c>
      <c r="D380" s="14"/>
      <c r="E380" s="15">
        <f>E379+C380-D380</f>
        <v>46.22999999999999</v>
      </c>
      <c r="F380" s="14"/>
      <c r="G380" s="15">
        <f t="shared" ref="G380:G404" si="30">C380</f>
        <v>1.25</v>
      </c>
      <c r="H380" s="14"/>
      <c r="I380" s="15">
        <f>I379+G380-H380</f>
        <v>7</v>
      </c>
      <c r="J380" s="14"/>
      <c r="K380" s="13"/>
    </row>
    <row r="381" spans="1:11" ht="12.6" customHeight="1" x14ac:dyDescent="0.2">
      <c r="A381" s="13"/>
      <c r="B381" s="19" t="s">
        <v>47</v>
      </c>
      <c r="C381" s="15"/>
      <c r="D381" s="14"/>
      <c r="E381" s="15">
        <f t="shared" ref="E381:E404" si="31">E380+C381-D381</f>
        <v>46.22999999999999</v>
      </c>
      <c r="F381" s="14"/>
      <c r="G381" s="15">
        <f t="shared" si="30"/>
        <v>0</v>
      </c>
      <c r="H381" s="14">
        <v>1</v>
      </c>
      <c r="I381" s="15">
        <f t="shared" ref="I381:I404" si="32">I380+G381-H381</f>
        <v>6</v>
      </c>
      <c r="J381" s="14"/>
      <c r="K381" s="13">
        <v>39634</v>
      </c>
    </row>
    <row r="382" spans="1:11" ht="12.6" customHeight="1" x14ac:dyDescent="0.2">
      <c r="A382" s="13"/>
      <c r="B382" s="19" t="s">
        <v>95</v>
      </c>
      <c r="C382" s="15"/>
      <c r="D382" s="14">
        <v>3</v>
      </c>
      <c r="E382" s="15">
        <f t="shared" si="31"/>
        <v>43.22999999999999</v>
      </c>
      <c r="F382" s="14"/>
      <c r="G382" s="15">
        <f t="shared" si="30"/>
        <v>0</v>
      </c>
      <c r="H382" s="14"/>
      <c r="I382" s="15">
        <f t="shared" si="32"/>
        <v>6</v>
      </c>
      <c r="J382" s="14"/>
      <c r="K382" s="16" t="s">
        <v>391</v>
      </c>
    </row>
    <row r="383" spans="1:11" ht="12.6" customHeight="1" x14ac:dyDescent="0.2">
      <c r="A383" s="13"/>
      <c r="B383" s="19" t="s">
        <v>393</v>
      </c>
      <c r="C383" s="15"/>
      <c r="D383" s="14">
        <v>1.1419999999999999</v>
      </c>
      <c r="E383" s="15">
        <f t="shared" si="31"/>
        <v>42.087999999999987</v>
      </c>
      <c r="F383" s="14"/>
      <c r="G383" s="15">
        <f t="shared" si="30"/>
        <v>0</v>
      </c>
      <c r="H383" s="14"/>
      <c r="I383" s="15">
        <f t="shared" si="32"/>
        <v>6</v>
      </c>
      <c r="J383" s="14"/>
      <c r="K383" s="13" t="s">
        <v>392</v>
      </c>
    </row>
    <row r="384" spans="1:11" ht="12.6" customHeight="1" x14ac:dyDescent="0.2">
      <c r="A384" s="13">
        <v>39454</v>
      </c>
      <c r="B384" s="19"/>
      <c r="C384" s="15">
        <v>2.5</v>
      </c>
      <c r="D384" s="14"/>
      <c r="E384" s="15">
        <f t="shared" si="31"/>
        <v>44.587999999999987</v>
      </c>
      <c r="F384" s="14"/>
      <c r="G384" s="15">
        <f t="shared" si="30"/>
        <v>2.5</v>
      </c>
      <c r="H384" s="14"/>
      <c r="I384" s="15">
        <f t="shared" si="32"/>
        <v>8.5</v>
      </c>
      <c r="J384" s="14"/>
      <c r="K384" s="16"/>
    </row>
    <row r="385" spans="1:11" ht="12.6" customHeight="1" x14ac:dyDescent="0.2">
      <c r="A385" s="13"/>
      <c r="B385" s="19" t="s">
        <v>76</v>
      </c>
      <c r="C385" s="15"/>
      <c r="D385" s="14">
        <v>2</v>
      </c>
      <c r="E385" s="15">
        <f t="shared" si="31"/>
        <v>42.587999999999987</v>
      </c>
      <c r="F385" s="14"/>
      <c r="G385" s="15">
        <f t="shared" si="30"/>
        <v>0</v>
      </c>
      <c r="H385" s="14"/>
      <c r="I385" s="15">
        <f t="shared" si="32"/>
        <v>8.5</v>
      </c>
      <c r="J385" s="14"/>
      <c r="K385" s="13" t="s">
        <v>394</v>
      </c>
    </row>
    <row r="386" spans="1:11" ht="12.6" customHeight="1" x14ac:dyDescent="0.2">
      <c r="A386" s="13">
        <v>39455</v>
      </c>
      <c r="B386" s="19"/>
      <c r="C386" s="15">
        <v>1.25</v>
      </c>
      <c r="D386" s="14"/>
      <c r="E386" s="15">
        <f t="shared" si="31"/>
        <v>43.837999999999987</v>
      </c>
      <c r="F386" s="14"/>
      <c r="G386" s="15">
        <f t="shared" si="30"/>
        <v>1.25</v>
      </c>
      <c r="H386" s="14"/>
      <c r="I386" s="15">
        <f t="shared" si="32"/>
        <v>9.75</v>
      </c>
      <c r="J386" s="14"/>
      <c r="K386" s="13"/>
    </row>
    <row r="387" spans="1:11" ht="12.6" customHeight="1" x14ac:dyDescent="0.2">
      <c r="A387" s="13"/>
      <c r="B387" s="19" t="s">
        <v>52</v>
      </c>
      <c r="C387" s="15"/>
      <c r="D387" s="14"/>
      <c r="E387" s="15">
        <f t="shared" si="31"/>
        <v>43.837999999999987</v>
      </c>
      <c r="F387" s="14"/>
      <c r="G387" s="15">
        <f t="shared" si="30"/>
        <v>0</v>
      </c>
      <c r="H387" s="14">
        <v>2</v>
      </c>
      <c r="I387" s="15">
        <f t="shared" si="32"/>
        <v>7.75</v>
      </c>
      <c r="J387" s="14"/>
      <c r="K387" s="16" t="s">
        <v>395</v>
      </c>
    </row>
    <row r="388" spans="1:11" ht="12.6" customHeight="1" x14ac:dyDescent="0.2">
      <c r="A388" s="13">
        <v>39456</v>
      </c>
      <c r="B388" s="19"/>
      <c r="C388" s="15">
        <v>1.25</v>
      </c>
      <c r="D388" s="14"/>
      <c r="E388" s="15">
        <f t="shared" si="31"/>
        <v>45.087999999999987</v>
      </c>
      <c r="F388" s="14"/>
      <c r="G388" s="15">
        <f t="shared" si="30"/>
        <v>1.25</v>
      </c>
      <c r="H388" s="14"/>
      <c r="I388" s="15">
        <f t="shared" si="32"/>
        <v>9</v>
      </c>
      <c r="J388" s="14"/>
      <c r="K388" s="16"/>
    </row>
    <row r="389" spans="1:11" ht="12.6" customHeight="1" x14ac:dyDescent="0.2">
      <c r="A389" s="13"/>
      <c r="B389" s="19" t="s">
        <v>47</v>
      </c>
      <c r="C389" s="15"/>
      <c r="D389" s="14"/>
      <c r="E389" s="15">
        <f t="shared" si="31"/>
        <v>45.087999999999987</v>
      </c>
      <c r="F389" s="14"/>
      <c r="G389" s="15">
        <f t="shared" si="30"/>
        <v>0</v>
      </c>
      <c r="H389" s="14">
        <v>1</v>
      </c>
      <c r="I389" s="15">
        <f t="shared" si="32"/>
        <v>8</v>
      </c>
      <c r="J389" s="14"/>
      <c r="K389" s="13">
        <v>39456</v>
      </c>
    </row>
    <row r="390" spans="1:11" ht="12.6" customHeight="1" x14ac:dyDescent="0.2">
      <c r="A390" s="13"/>
      <c r="B390" s="19" t="s">
        <v>129</v>
      </c>
      <c r="C390" s="15"/>
      <c r="D390" s="14"/>
      <c r="E390" s="15">
        <f t="shared" si="31"/>
        <v>45.087999999999987</v>
      </c>
      <c r="F390" s="14"/>
      <c r="G390" s="15">
        <f t="shared" si="30"/>
        <v>0</v>
      </c>
      <c r="H390" s="14">
        <v>0.5</v>
      </c>
      <c r="I390" s="15">
        <f t="shared" si="32"/>
        <v>7.5</v>
      </c>
      <c r="J390" s="14"/>
      <c r="K390" s="13" t="s">
        <v>396</v>
      </c>
    </row>
    <row r="391" spans="1:11" ht="12.6" customHeight="1" x14ac:dyDescent="0.2">
      <c r="A391" s="13"/>
      <c r="B391" s="19" t="s">
        <v>76</v>
      </c>
      <c r="C391" s="15"/>
      <c r="D391" s="14">
        <v>2</v>
      </c>
      <c r="E391" s="15">
        <f t="shared" si="31"/>
        <v>43.087999999999987</v>
      </c>
      <c r="F391" s="14"/>
      <c r="G391" s="15">
        <f t="shared" si="30"/>
        <v>0</v>
      </c>
      <c r="H391" s="14"/>
      <c r="I391" s="15">
        <f t="shared" si="32"/>
        <v>7.5</v>
      </c>
      <c r="J391" s="14"/>
      <c r="K391" s="13" t="s">
        <v>397</v>
      </c>
    </row>
    <row r="392" spans="1:11" ht="12.6" customHeight="1" x14ac:dyDescent="0.2">
      <c r="A392" s="13">
        <v>39458</v>
      </c>
      <c r="B392" s="19"/>
      <c r="C392" s="15">
        <v>2.5</v>
      </c>
      <c r="D392" s="14"/>
      <c r="E392" s="15">
        <f t="shared" si="31"/>
        <v>45.587999999999987</v>
      </c>
      <c r="F392" s="14"/>
      <c r="G392" s="15">
        <f t="shared" si="30"/>
        <v>2.5</v>
      </c>
      <c r="H392" s="14"/>
      <c r="I392" s="15">
        <f t="shared" si="32"/>
        <v>10</v>
      </c>
      <c r="J392" s="14"/>
      <c r="K392" s="13"/>
    </row>
    <row r="393" spans="1:11" ht="12.6" customHeight="1" x14ac:dyDescent="0.2">
      <c r="A393" s="13"/>
      <c r="B393" s="19" t="s">
        <v>144</v>
      </c>
      <c r="C393" s="15"/>
      <c r="D393" s="14"/>
      <c r="E393" s="15">
        <f t="shared" si="31"/>
        <v>45.587999999999987</v>
      </c>
      <c r="F393" s="14"/>
      <c r="G393" s="15">
        <f t="shared" si="30"/>
        <v>0</v>
      </c>
      <c r="H393" s="14">
        <v>1.5</v>
      </c>
      <c r="I393" s="15">
        <f t="shared" si="32"/>
        <v>8.5</v>
      </c>
      <c r="J393" s="14"/>
      <c r="K393" s="13" t="s">
        <v>398</v>
      </c>
    </row>
    <row r="394" spans="1:11" ht="12.6" customHeight="1" x14ac:dyDescent="0.2">
      <c r="A394" s="13"/>
      <c r="B394" s="19" t="s">
        <v>47</v>
      </c>
      <c r="C394" s="15"/>
      <c r="D394" s="14"/>
      <c r="E394" s="15">
        <f t="shared" si="31"/>
        <v>45.587999999999987</v>
      </c>
      <c r="F394" s="14"/>
      <c r="G394" s="15">
        <f t="shared" si="30"/>
        <v>0</v>
      </c>
      <c r="H394" s="14">
        <v>1</v>
      </c>
      <c r="I394" s="15">
        <f t="shared" si="32"/>
        <v>7.5</v>
      </c>
      <c r="J394" s="14"/>
      <c r="K394" s="13" t="s">
        <v>399</v>
      </c>
    </row>
    <row r="395" spans="1:11" ht="12.6" customHeight="1" x14ac:dyDescent="0.2">
      <c r="A395" s="13">
        <v>39459</v>
      </c>
      <c r="B395" s="19"/>
      <c r="C395" s="15">
        <v>1.25</v>
      </c>
      <c r="D395" s="14"/>
      <c r="E395" s="15">
        <f t="shared" si="31"/>
        <v>46.837999999999987</v>
      </c>
      <c r="F395" s="14"/>
      <c r="G395" s="15">
        <f t="shared" si="30"/>
        <v>1.25</v>
      </c>
      <c r="H395" s="14"/>
      <c r="I395" s="15">
        <f t="shared" si="32"/>
        <v>8.75</v>
      </c>
      <c r="J395" s="14"/>
      <c r="K395" s="13"/>
    </row>
    <row r="396" spans="1:11" ht="12.6" customHeight="1" x14ac:dyDescent="0.2">
      <c r="A396" s="13"/>
      <c r="B396" s="19" t="s">
        <v>144</v>
      </c>
      <c r="C396" s="15"/>
      <c r="D396" s="15"/>
      <c r="E396" s="15">
        <f t="shared" si="31"/>
        <v>46.837999999999987</v>
      </c>
      <c r="F396" s="14"/>
      <c r="G396" s="15">
        <f t="shared" si="30"/>
        <v>0</v>
      </c>
      <c r="H396" s="14">
        <v>1.5</v>
      </c>
      <c r="I396" s="15">
        <f t="shared" si="32"/>
        <v>7.25</v>
      </c>
      <c r="J396" s="14"/>
      <c r="K396" s="13" t="s">
        <v>400</v>
      </c>
    </row>
    <row r="397" spans="1:11" ht="12.6" customHeight="1" x14ac:dyDescent="0.2">
      <c r="A397" s="13">
        <v>39814</v>
      </c>
      <c r="B397" s="19"/>
      <c r="C397" s="15">
        <v>1.25</v>
      </c>
      <c r="D397" s="14"/>
      <c r="E397" s="15">
        <f t="shared" si="31"/>
        <v>48.087999999999987</v>
      </c>
      <c r="F397" s="14"/>
      <c r="G397" s="15">
        <f t="shared" si="30"/>
        <v>1.25</v>
      </c>
      <c r="H397" s="14"/>
      <c r="I397" s="15">
        <f t="shared" si="32"/>
        <v>8.5</v>
      </c>
      <c r="J397" s="14"/>
      <c r="K397" s="16"/>
    </row>
    <row r="398" spans="1:11" ht="12.6" customHeight="1" x14ac:dyDescent="0.2">
      <c r="A398" s="16"/>
      <c r="B398" s="19" t="s">
        <v>47</v>
      </c>
      <c r="C398" s="15"/>
      <c r="D398" s="15"/>
      <c r="E398" s="15">
        <f t="shared" si="31"/>
        <v>48.087999999999987</v>
      </c>
      <c r="F398" s="14"/>
      <c r="G398" s="15">
        <f t="shared" si="30"/>
        <v>0</v>
      </c>
      <c r="H398" s="14">
        <v>1</v>
      </c>
      <c r="I398" s="15">
        <f t="shared" si="32"/>
        <v>7.5</v>
      </c>
      <c r="J398" s="14"/>
      <c r="K398" s="13" t="s">
        <v>401</v>
      </c>
    </row>
    <row r="399" spans="1:11" ht="12.6" customHeight="1" x14ac:dyDescent="0.2">
      <c r="A399" s="13">
        <v>39815</v>
      </c>
      <c r="B399" s="19"/>
      <c r="C399" s="15">
        <v>1.25</v>
      </c>
      <c r="D399" s="14"/>
      <c r="E399" s="15">
        <f t="shared" si="31"/>
        <v>49.337999999999987</v>
      </c>
      <c r="F399" s="14"/>
      <c r="G399" s="15">
        <f t="shared" si="30"/>
        <v>1.25</v>
      </c>
      <c r="H399" s="14"/>
      <c r="I399" s="15">
        <f t="shared" si="32"/>
        <v>8.75</v>
      </c>
      <c r="J399" s="14"/>
      <c r="K399" s="16"/>
    </row>
    <row r="400" spans="1:11" ht="12.6" customHeight="1" x14ac:dyDescent="0.2">
      <c r="A400" s="13"/>
      <c r="B400" s="19" t="s">
        <v>74</v>
      </c>
      <c r="C400" s="15"/>
      <c r="D400" s="14">
        <v>1</v>
      </c>
      <c r="E400" s="15">
        <f t="shared" si="31"/>
        <v>48.337999999999987</v>
      </c>
      <c r="F400" s="14"/>
      <c r="G400" s="15">
        <f t="shared" si="30"/>
        <v>0</v>
      </c>
      <c r="H400" s="14"/>
      <c r="I400" s="15">
        <f t="shared" si="32"/>
        <v>8.75</v>
      </c>
      <c r="J400" s="14"/>
      <c r="K400" s="13">
        <v>40149</v>
      </c>
    </row>
    <row r="401" spans="1:11" ht="12.6" customHeight="1" x14ac:dyDescent="0.2">
      <c r="A401" s="13"/>
      <c r="B401" s="19" t="s">
        <v>45</v>
      </c>
      <c r="C401" s="15"/>
      <c r="D401" s="14"/>
      <c r="E401" s="15">
        <f t="shared" si="31"/>
        <v>48.337999999999987</v>
      </c>
      <c r="F401" s="14"/>
      <c r="G401" s="15">
        <f t="shared" si="30"/>
        <v>0</v>
      </c>
      <c r="H401" s="14"/>
      <c r="I401" s="15">
        <f t="shared" si="32"/>
        <v>8.75</v>
      </c>
      <c r="J401" s="14"/>
      <c r="K401" s="13" t="s">
        <v>402</v>
      </c>
    </row>
    <row r="402" spans="1:11" ht="12.6" customHeight="1" x14ac:dyDescent="0.2">
      <c r="A402" s="13">
        <v>39817</v>
      </c>
      <c r="B402" s="19"/>
      <c r="C402" s="15">
        <v>2.5</v>
      </c>
      <c r="D402" s="14"/>
      <c r="E402" s="15">
        <f t="shared" si="31"/>
        <v>50.837999999999987</v>
      </c>
      <c r="F402" s="14"/>
      <c r="G402" s="15">
        <f t="shared" si="30"/>
        <v>2.5</v>
      </c>
      <c r="H402" s="14"/>
      <c r="I402" s="15">
        <f t="shared" si="32"/>
        <v>11.25</v>
      </c>
      <c r="J402" s="14"/>
      <c r="K402" s="13"/>
    </row>
    <row r="403" spans="1:11" ht="12.6" customHeight="1" x14ac:dyDescent="0.2">
      <c r="A403" s="13"/>
      <c r="B403" s="19" t="s">
        <v>67</v>
      </c>
      <c r="C403" s="15"/>
      <c r="D403" s="14"/>
      <c r="E403" s="15">
        <f t="shared" si="31"/>
        <v>50.837999999999987</v>
      </c>
      <c r="F403" s="14"/>
      <c r="G403" s="15">
        <f t="shared" si="30"/>
        <v>0</v>
      </c>
      <c r="H403" s="14">
        <v>3</v>
      </c>
      <c r="I403" s="15">
        <f t="shared" si="32"/>
        <v>8.25</v>
      </c>
      <c r="J403" s="14"/>
      <c r="K403" s="16" t="s">
        <v>403</v>
      </c>
    </row>
    <row r="404" spans="1:11" ht="12.6" customHeight="1" x14ac:dyDescent="0.2">
      <c r="A404" s="13"/>
      <c r="B404" s="19" t="s">
        <v>74</v>
      </c>
      <c r="C404" s="15"/>
      <c r="D404" s="14">
        <v>1</v>
      </c>
      <c r="E404" s="15">
        <f t="shared" si="31"/>
        <v>49.837999999999987</v>
      </c>
      <c r="F404" s="14"/>
      <c r="G404" s="15">
        <f t="shared" si="30"/>
        <v>0</v>
      </c>
      <c r="H404" s="14"/>
      <c r="I404" s="15">
        <f t="shared" si="32"/>
        <v>8.25</v>
      </c>
      <c r="J404" s="14"/>
      <c r="K404" s="16" t="s">
        <v>404</v>
      </c>
    </row>
    <row r="405" spans="1:11" ht="12.6" customHeight="1" x14ac:dyDescent="0.2">
      <c r="A405" s="19"/>
      <c r="B405" s="19"/>
      <c r="C405" s="36">
        <f>SUM(C379:C404)</f>
        <v>15</v>
      </c>
      <c r="D405" s="36">
        <f>SUM(D379:D404)</f>
        <v>10.141999999999999</v>
      </c>
      <c r="E405" s="36"/>
      <c r="F405" s="37"/>
      <c r="G405" s="36">
        <f>SUM(G379:G404)</f>
        <v>15</v>
      </c>
      <c r="H405" s="36">
        <f>SUM(H379:H404)</f>
        <v>12.5</v>
      </c>
      <c r="I405" s="15"/>
      <c r="J405" s="14"/>
      <c r="K405" s="16"/>
    </row>
    <row r="406" spans="1:11" ht="12.6" customHeight="1" x14ac:dyDescent="0.2">
      <c r="H406" s="27" t="s">
        <v>23</v>
      </c>
      <c r="J406" s="27" t="s">
        <v>28</v>
      </c>
    </row>
    <row r="408" spans="1:11" ht="12.6" customHeight="1" x14ac:dyDescent="0.2">
      <c r="A408" s="102" t="str">
        <f>A1</f>
        <v>ONAL, EDMON L.</v>
      </c>
      <c r="B408" s="102"/>
      <c r="C408" s="102"/>
      <c r="D408" s="102"/>
      <c r="E408" s="102"/>
      <c r="F408" s="102"/>
      <c r="G408" s="102"/>
      <c r="H408" s="1"/>
      <c r="I408" s="103" t="s">
        <v>0</v>
      </c>
      <c r="J408" s="103"/>
      <c r="K408" s="2" t="str">
        <f>K1</f>
        <v>SEPTEMBER 01, 1995</v>
      </c>
    </row>
    <row r="410" spans="1:11" ht="12.6" customHeight="1" x14ac:dyDescent="0.2">
      <c r="A410" s="104" t="s">
        <v>1</v>
      </c>
      <c r="B410" s="104" t="s">
        <v>2</v>
      </c>
      <c r="C410" s="107" t="s">
        <v>3</v>
      </c>
      <c r="D410" s="108"/>
      <c r="E410" s="108"/>
      <c r="F410" s="109"/>
      <c r="G410" s="107" t="s">
        <v>4</v>
      </c>
      <c r="H410" s="108"/>
      <c r="I410" s="108"/>
      <c r="J410" s="109"/>
      <c r="K410" s="4"/>
    </row>
    <row r="411" spans="1:11" ht="12.6" customHeight="1" x14ac:dyDescent="0.2">
      <c r="A411" s="105"/>
      <c r="B411" s="105"/>
      <c r="C411" s="94" t="s">
        <v>6</v>
      </c>
      <c r="D411" s="5" t="s">
        <v>7</v>
      </c>
      <c r="E411" s="94" t="s">
        <v>8</v>
      </c>
      <c r="F411" s="6" t="s">
        <v>7</v>
      </c>
      <c r="G411" s="94" t="s">
        <v>6</v>
      </c>
      <c r="H411" s="5" t="s">
        <v>7</v>
      </c>
      <c r="I411" s="94" t="s">
        <v>8</v>
      </c>
      <c r="J411" s="1" t="s">
        <v>7</v>
      </c>
      <c r="K411" s="7"/>
    </row>
    <row r="412" spans="1:11" ht="12.6" customHeight="1" x14ac:dyDescent="0.2">
      <c r="A412" s="105"/>
      <c r="B412" s="105"/>
      <c r="C412" s="95"/>
      <c r="D412" s="8" t="s">
        <v>10</v>
      </c>
      <c r="E412" s="95"/>
      <c r="F412" s="6" t="s">
        <v>10</v>
      </c>
      <c r="G412" s="95"/>
      <c r="H412" s="8" t="s">
        <v>10</v>
      </c>
      <c r="I412" s="95"/>
      <c r="J412" s="1" t="s">
        <v>10</v>
      </c>
      <c r="K412" s="7"/>
    </row>
    <row r="413" spans="1:11" ht="12.6" customHeight="1" x14ac:dyDescent="0.2">
      <c r="A413" s="106"/>
      <c r="B413" s="106"/>
      <c r="C413" s="96"/>
      <c r="D413" s="9" t="s">
        <v>12</v>
      </c>
      <c r="E413" s="96"/>
      <c r="F413" s="10" t="s">
        <v>13</v>
      </c>
      <c r="G413" s="96"/>
      <c r="H413" s="9" t="s">
        <v>12</v>
      </c>
      <c r="I413" s="96"/>
      <c r="J413" s="11" t="s">
        <v>13</v>
      </c>
      <c r="K413" s="12"/>
    </row>
    <row r="414" spans="1:11" ht="12.6" customHeight="1" x14ac:dyDescent="0.2">
      <c r="A414" s="13"/>
      <c r="B414" s="19" t="s">
        <v>47</v>
      </c>
      <c r="C414" s="15"/>
      <c r="D414" s="14"/>
      <c r="E414" s="15">
        <f>SUM(E404+C414-D414)</f>
        <v>49.837999999999987</v>
      </c>
      <c r="F414" s="14"/>
      <c r="G414" s="15">
        <f t="shared" ref="G414:G439" si="33">C414</f>
        <v>0</v>
      </c>
      <c r="H414" s="14">
        <v>1</v>
      </c>
      <c r="I414" s="15">
        <f>SUM(I404+G414-H414)</f>
        <v>7.25</v>
      </c>
      <c r="J414" s="14"/>
      <c r="K414" s="16" t="s">
        <v>405</v>
      </c>
    </row>
    <row r="415" spans="1:11" ht="12.6" customHeight="1" x14ac:dyDescent="0.2">
      <c r="A415" s="13">
        <v>39818</v>
      </c>
      <c r="B415" s="19"/>
      <c r="C415" s="15">
        <v>1.25</v>
      </c>
      <c r="D415" s="14"/>
      <c r="E415" s="15">
        <f t="shared" ref="E415:E439" si="34">E414+C415-D415</f>
        <v>51.087999999999987</v>
      </c>
      <c r="F415" s="14"/>
      <c r="G415" s="15">
        <f t="shared" si="33"/>
        <v>1.25</v>
      </c>
      <c r="H415" s="14"/>
      <c r="I415" s="15">
        <f t="shared" ref="I415:I439" si="35">I414+G415-H415</f>
        <v>8.5</v>
      </c>
      <c r="J415" s="14"/>
      <c r="K415" s="13"/>
    </row>
    <row r="416" spans="1:11" ht="12.6" customHeight="1" x14ac:dyDescent="0.2">
      <c r="A416" s="13"/>
      <c r="B416" s="19" t="s">
        <v>125</v>
      </c>
      <c r="C416" s="15"/>
      <c r="D416" s="14"/>
      <c r="E416" s="15">
        <f t="shared" si="34"/>
        <v>51.087999999999987</v>
      </c>
      <c r="F416" s="14"/>
      <c r="G416" s="15">
        <f t="shared" si="33"/>
        <v>0</v>
      </c>
      <c r="H416" s="14">
        <v>4</v>
      </c>
      <c r="I416" s="15">
        <f t="shared" si="35"/>
        <v>4.5</v>
      </c>
      <c r="J416" s="14"/>
      <c r="K416" s="13" t="s">
        <v>406</v>
      </c>
    </row>
    <row r="417" spans="1:11" ht="12.6" customHeight="1" x14ac:dyDescent="0.2">
      <c r="A417" s="13"/>
      <c r="B417" s="19" t="s">
        <v>166</v>
      </c>
      <c r="C417" s="15"/>
      <c r="D417" s="14"/>
      <c r="E417" s="15">
        <f t="shared" si="34"/>
        <v>51.087999999999987</v>
      </c>
      <c r="F417" s="14"/>
      <c r="G417" s="15">
        <f t="shared" si="33"/>
        <v>0</v>
      </c>
      <c r="H417" s="14"/>
      <c r="I417" s="15">
        <f t="shared" si="35"/>
        <v>4.5</v>
      </c>
      <c r="J417" s="14"/>
      <c r="K417" s="16" t="s">
        <v>407</v>
      </c>
    </row>
    <row r="418" spans="1:11" ht="12.6" customHeight="1" x14ac:dyDescent="0.2">
      <c r="A418" s="13"/>
      <c r="B418" s="19" t="s">
        <v>76</v>
      </c>
      <c r="C418" s="15"/>
      <c r="D418" s="14">
        <v>2</v>
      </c>
      <c r="E418" s="15">
        <f t="shared" si="34"/>
        <v>49.087999999999987</v>
      </c>
      <c r="F418" s="14"/>
      <c r="G418" s="15">
        <f t="shared" si="33"/>
        <v>0</v>
      </c>
      <c r="H418" s="14"/>
      <c r="I418" s="15">
        <f t="shared" si="35"/>
        <v>4.5</v>
      </c>
      <c r="J418" s="14"/>
      <c r="K418" s="13" t="s">
        <v>408</v>
      </c>
    </row>
    <row r="419" spans="1:11" ht="12.6" customHeight="1" x14ac:dyDescent="0.2">
      <c r="A419" s="13"/>
      <c r="B419" s="19" t="s">
        <v>410</v>
      </c>
      <c r="C419" s="15"/>
      <c r="D419" s="14">
        <v>3.5</v>
      </c>
      <c r="E419" s="15">
        <f t="shared" si="34"/>
        <v>45.587999999999987</v>
      </c>
      <c r="F419" s="14"/>
      <c r="G419" s="15">
        <f t="shared" si="33"/>
        <v>0</v>
      </c>
      <c r="H419" s="14"/>
      <c r="I419" s="15">
        <f t="shared" si="35"/>
        <v>4.5</v>
      </c>
      <c r="J419" s="14"/>
      <c r="K419" s="13" t="s">
        <v>409</v>
      </c>
    </row>
    <row r="420" spans="1:11" ht="12.6" customHeight="1" x14ac:dyDescent="0.2">
      <c r="A420" s="13">
        <v>39819</v>
      </c>
      <c r="B420" s="19"/>
      <c r="C420" s="15">
        <v>1.25</v>
      </c>
      <c r="D420" s="14"/>
      <c r="E420" s="15">
        <f t="shared" si="34"/>
        <v>46.837999999999987</v>
      </c>
      <c r="F420" s="14"/>
      <c r="G420" s="15">
        <f t="shared" si="33"/>
        <v>1.25</v>
      </c>
      <c r="H420" s="14"/>
      <c r="I420" s="15">
        <f t="shared" si="35"/>
        <v>5.75</v>
      </c>
      <c r="J420" s="14"/>
      <c r="K420" s="13"/>
    </row>
    <row r="421" spans="1:11" ht="12.6" customHeight="1" x14ac:dyDescent="0.2">
      <c r="A421" s="13"/>
      <c r="B421" s="19" t="s">
        <v>76</v>
      </c>
      <c r="C421" s="15"/>
      <c r="D421" s="14">
        <v>2</v>
      </c>
      <c r="E421" s="15">
        <f t="shared" si="34"/>
        <v>44.837999999999987</v>
      </c>
      <c r="F421" s="14"/>
      <c r="G421" s="15">
        <f t="shared" si="33"/>
        <v>0</v>
      </c>
      <c r="H421" s="14"/>
      <c r="I421" s="15">
        <f t="shared" si="35"/>
        <v>5.75</v>
      </c>
      <c r="J421" s="14"/>
      <c r="K421" s="13" t="s">
        <v>411</v>
      </c>
    </row>
    <row r="422" spans="1:11" ht="12.6" customHeight="1" x14ac:dyDescent="0.2">
      <c r="A422" s="13">
        <v>39820</v>
      </c>
      <c r="B422" s="19"/>
      <c r="C422" s="15">
        <v>1.25</v>
      </c>
      <c r="D422" s="14"/>
      <c r="E422" s="15">
        <f t="shared" si="34"/>
        <v>46.087999999999987</v>
      </c>
      <c r="F422" s="14"/>
      <c r="G422" s="15">
        <f t="shared" si="33"/>
        <v>1.25</v>
      </c>
      <c r="H422" s="14"/>
      <c r="I422" s="15">
        <f t="shared" si="35"/>
        <v>7</v>
      </c>
      <c r="J422" s="14"/>
      <c r="K422" s="16"/>
    </row>
    <row r="423" spans="1:11" ht="12.6" customHeight="1" x14ac:dyDescent="0.2">
      <c r="A423" s="13"/>
      <c r="B423" s="19" t="s">
        <v>129</v>
      </c>
      <c r="C423" s="15"/>
      <c r="D423" s="14"/>
      <c r="E423" s="15">
        <f t="shared" si="34"/>
        <v>46.087999999999987</v>
      </c>
      <c r="F423" s="14"/>
      <c r="G423" s="15">
        <f t="shared" si="33"/>
        <v>0</v>
      </c>
      <c r="H423" s="14">
        <v>0.5</v>
      </c>
      <c r="I423" s="15">
        <f t="shared" si="35"/>
        <v>6.5</v>
      </c>
      <c r="J423" s="14"/>
      <c r="K423" s="16" t="s">
        <v>412</v>
      </c>
    </row>
    <row r="424" spans="1:11" ht="12.6" customHeight="1" x14ac:dyDescent="0.2">
      <c r="A424" s="13">
        <v>39821</v>
      </c>
      <c r="B424" s="19"/>
      <c r="C424" s="15">
        <v>1.25</v>
      </c>
      <c r="D424" s="14"/>
      <c r="E424" s="15">
        <f t="shared" si="34"/>
        <v>47.337999999999987</v>
      </c>
      <c r="F424" s="14"/>
      <c r="G424" s="15">
        <f t="shared" si="33"/>
        <v>1.25</v>
      </c>
      <c r="H424" s="14"/>
      <c r="I424" s="15">
        <f t="shared" si="35"/>
        <v>7.75</v>
      </c>
      <c r="J424" s="14"/>
      <c r="K424" s="16"/>
    </row>
    <row r="425" spans="1:11" ht="12.6" customHeight="1" x14ac:dyDescent="0.2">
      <c r="A425" s="13"/>
      <c r="B425" s="19" t="s">
        <v>129</v>
      </c>
      <c r="C425" s="15"/>
      <c r="D425" s="14"/>
      <c r="E425" s="15">
        <f t="shared" si="34"/>
        <v>47.337999999999987</v>
      </c>
      <c r="F425" s="14"/>
      <c r="G425" s="15">
        <f t="shared" si="33"/>
        <v>0</v>
      </c>
      <c r="H425" s="14">
        <v>0.5</v>
      </c>
      <c r="I425" s="15">
        <f t="shared" si="35"/>
        <v>7.25</v>
      </c>
      <c r="J425" s="14"/>
      <c r="K425" s="13" t="s">
        <v>413</v>
      </c>
    </row>
    <row r="426" spans="1:11" ht="12.6" customHeight="1" x14ac:dyDescent="0.2">
      <c r="A426" s="13"/>
      <c r="B426" s="19" t="s">
        <v>74</v>
      </c>
      <c r="C426" s="15"/>
      <c r="D426" s="14">
        <v>1</v>
      </c>
      <c r="E426" s="15">
        <f t="shared" si="34"/>
        <v>46.337999999999987</v>
      </c>
      <c r="F426" s="14"/>
      <c r="G426" s="15">
        <f t="shared" si="33"/>
        <v>0</v>
      </c>
      <c r="H426" s="14"/>
      <c r="I426" s="15">
        <f t="shared" si="35"/>
        <v>7.25</v>
      </c>
      <c r="J426" s="14"/>
      <c r="K426" s="13" t="s">
        <v>414</v>
      </c>
    </row>
    <row r="427" spans="1:11" ht="12.6" customHeight="1" x14ac:dyDescent="0.2">
      <c r="A427" s="13">
        <v>39822</v>
      </c>
      <c r="B427" s="19"/>
      <c r="C427" s="15">
        <v>1.25</v>
      </c>
      <c r="D427" s="14"/>
      <c r="E427" s="15">
        <f t="shared" si="34"/>
        <v>47.587999999999987</v>
      </c>
      <c r="F427" s="14"/>
      <c r="G427" s="15">
        <f t="shared" si="33"/>
        <v>1.25</v>
      </c>
      <c r="H427" s="14"/>
      <c r="I427" s="15">
        <f t="shared" si="35"/>
        <v>8.5</v>
      </c>
      <c r="J427" s="14"/>
      <c r="K427" s="13"/>
    </row>
    <row r="428" spans="1:11" ht="12.6" customHeight="1" x14ac:dyDescent="0.2">
      <c r="A428" s="13"/>
      <c r="B428" s="19" t="s">
        <v>47</v>
      </c>
      <c r="C428" s="15"/>
      <c r="D428" s="14"/>
      <c r="E428" s="15">
        <f t="shared" si="34"/>
        <v>47.587999999999987</v>
      </c>
      <c r="F428" s="14"/>
      <c r="G428" s="15">
        <f t="shared" si="33"/>
        <v>0</v>
      </c>
      <c r="H428" s="14">
        <v>1</v>
      </c>
      <c r="I428" s="15">
        <f t="shared" si="35"/>
        <v>7.5</v>
      </c>
      <c r="J428" s="14"/>
      <c r="K428" s="13">
        <v>40065</v>
      </c>
    </row>
    <row r="429" spans="1:11" ht="12.6" customHeight="1" x14ac:dyDescent="0.2">
      <c r="A429" s="13"/>
      <c r="B429" s="19" t="s">
        <v>125</v>
      </c>
      <c r="C429" s="15"/>
      <c r="D429" s="14"/>
      <c r="E429" s="15">
        <f t="shared" si="34"/>
        <v>47.587999999999987</v>
      </c>
      <c r="F429" s="14"/>
      <c r="G429" s="15">
        <f t="shared" si="33"/>
        <v>0</v>
      </c>
      <c r="H429" s="14">
        <v>4</v>
      </c>
      <c r="I429" s="15">
        <f t="shared" si="35"/>
        <v>3.5</v>
      </c>
      <c r="J429" s="14"/>
      <c r="K429" s="13" t="s">
        <v>415</v>
      </c>
    </row>
    <row r="430" spans="1:11" ht="12.6" customHeight="1" x14ac:dyDescent="0.2">
      <c r="A430" s="13">
        <v>39823</v>
      </c>
      <c r="B430" s="19"/>
      <c r="C430" s="15">
        <v>1.25</v>
      </c>
      <c r="D430" s="14"/>
      <c r="E430" s="15">
        <f t="shared" si="34"/>
        <v>48.837999999999987</v>
      </c>
      <c r="F430" s="14"/>
      <c r="G430" s="15">
        <f t="shared" si="33"/>
        <v>1.25</v>
      </c>
      <c r="H430" s="14"/>
      <c r="I430" s="15">
        <f t="shared" si="35"/>
        <v>4.75</v>
      </c>
      <c r="J430" s="14"/>
      <c r="K430" s="13"/>
    </row>
    <row r="431" spans="1:11" ht="12.6" customHeight="1" x14ac:dyDescent="0.2">
      <c r="A431" s="13"/>
      <c r="B431" s="19" t="s">
        <v>95</v>
      </c>
      <c r="C431" s="15"/>
      <c r="D431" s="15">
        <v>3</v>
      </c>
      <c r="E431" s="15">
        <f t="shared" si="34"/>
        <v>45.837999999999987</v>
      </c>
      <c r="F431" s="14"/>
      <c r="G431" s="15">
        <f t="shared" si="33"/>
        <v>0</v>
      </c>
      <c r="H431" s="14"/>
      <c r="I431" s="15">
        <f t="shared" si="35"/>
        <v>4.75</v>
      </c>
      <c r="J431" s="14"/>
      <c r="K431" s="13" t="s">
        <v>416</v>
      </c>
    </row>
    <row r="432" spans="1:11" ht="12.6" customHeight="1" x14ac:dyDescent="0.2">
      <c r="A432" s="13">
        <v>39824</v>
      </c>
      <c r="B432" s="19"/>
      <c r="C432" s="15">
        <v>1.25</v>
      </c>
      <c r="D432" s="14"/>
      <c r="E432" s="15">
        <f t="shared" si="34"/>
        <v>47.087999999999987</v>
      </c>
      <c r="F432" s="14"/>
      <c r="G432" s="15">
        <f t="shared" si="33"/>
        <v>1.25</v>
      </c>
      <c r="H432" s="14"/>
      <c r="I432" s="15">
        <f t="shared" si="35"/>
        <v>6</v>
      </c>
      <c r="J432" s="14"/>
      <c r="K432" s="16"/>
    </row>
    <row r="433" spans="1:11" ht="12.6" customHeight="1" x14ac:dyDescent="0.2">
      <c r="A433" s="13"/>
      <c r="B433" s="19" t="s">
        <v>47</v>
      </c>
      <c r="C433" s="15"/>
      <c r="D433" s="15"/>
      <c r="E433" s="15">
        <f t="shared" si="34"/>
        <v>47.087999999999987</v>
      </c>
      <c r="F433" s="14"/>
      <c r="G433" s="15">
        <f t="shared" si="33"/>
        <v>0</v>
      </c>
      <c r="H433" s="14">
        <v>1</v>
      </c>
      <c r="I433" s="15">
        <f t="shared" si="35"/>
        <v>5</v>
      </c>
      <c r="J433" s="14"/>
      <c r="K433" s="13">
        <v>39883</v>
      </c>
    </row>
    <row r="434" spans="1:11" ht="12.6" customHeight="1" x14ac:dyDescent="0.2">
      <c r="A434" s="13"/>
      <c r="B434" s="19" t="s">
        <v>248</v>
      </c>
      <c r="C434" s="15"/>
      <c r="D434" s="14"/>
      <c r="E434" s="15">
        <f t="shared" si="34"/>
        <v>47.087999999999987</v>
      </c>
      <c r="F434" s="14"/>
      <c r="G434" s="15">
        <f t="shared" si="33"/>
        <v>0</v>
      </c>
      <c r="H434" s="14">
        <v>2.5</v>
      </c>
      <c r="I434" s="15">
        <f t="shared" si="35"/>
        <v>2.5</v>
      </c>
      <c r="J434" s="14"/>
      <c r="K434" s="13" t="s">
        <v>417</v>
      </c>
    </row>
    <row r="435" spans="1:11" ht="12.6" customHeight="1" x14ac:dyDescent="0.2">
      <c r="A435" s="13">
        <v>39825</v>
      </c>
      <c r="B435" s="19"/>
      <c r="C435" s="15">
        <v>1.25</v>
      </c>
      <c r="D435" s="14"/>
      <c r="E435" s="15">
        <f t="shared" si="34"/>
        <v>48.337999999999987</v>
      </c>
      <c r="F435" s="14"/>
      <c r="G435" s="15">
        <f t="shared" si="33"/>
        <v>1.25</v>
      </c>
      <c r="H435" s="14"/>
      <c r="I435" s="15">
        <f t="shared" si="35"/>
        <v>3.75</v>
      </c>
      <c r="J435" s="14"/>
      <c r="K435" s="13"/>
    </row>
    <row r="436" spans="1:11" ht="12.6" customHeight="1" x14ac:dyDescent="0.2">
      <c r="A436" s="13"/>
      <c r="B436" s="19" t="s">
        <v>74</v>
      </c>
      <c r="C436" s="15"/>
      <c r="D436" s="14">
        <v>1</v>
      </c>
      <c r="E436" s="15">
        <f t="shared" si="34"/>
        <v>47.337999999999987</v>
      </c>
      <c r="F436" s="14"/>
      <c r="G436" s="15">
        <f t="shared" si="33"/>
        <v>0</v>
      </c>
      <c r="H436" s="14"/>
      <c r="I436" s="15">
        <f t="shared" si="35"/>
        <v>3.75</v>
      </c>
      <c r="J436" s="14"/>
      <c r="K436" s="13" t="s">
        <v>418</v>
      </c>
    </row>
    <row r="437" spans="1:11" ht="12.6" customHeight="1" x14ac:dyDescent="0.2">
      <c r="A437" s="13"/>
      <c r="B437" s="19" t="s">
        <v>95</v>
      </c>
      <c r="C437" s="15"/>
      <c r="D437" s="14">
        <v>3</v>
      </c>
      <c r="E437" s="15">
        <f t="shared" si="34"/>
        <v>44.337999999999987</v>
      </c>
      <c r="F437" s="14"/>
      <c r="G437" s="15">
        <f t="shared" si="33"/>
        <v>0</v>
      </c>
      <c r="H437" s="14"/>
      <c r="I437" s="15">
        <f t="shared" si="35"/>
        <v>3.75</v>
      </c>
      <c r="J437" s="14"/>
      <c r="K437" s="13" t="s">
        <v>419</v>
      </c>
    </row>
    <row r="438" spans="1:11" ht="12.6" customHeight="1" x14ac:dyDescent="0.2">
      <c r="A438" s="13">
        <v>40180</v>
      </c>
      <c r="B438" s="19"/>
      <c r="C438" s="15">
        <v>2.5</v>
      </c>
      <c r="D438" s="14"/>
      <c r="E438" s="15">
        <f t="shared" si="34"/>
        <v>46.837999999999987</v>
      </c>
      <c r="F438" s="14"/>
      <c r="G438" s="15">
        <f t="shared" si="33"/>
        <v>2.5</v>
      </c>
      <c r="H438" s="14"/>
      <c r="I438" s="15">
        <f t="shared" si="35"/>
        <v>6.25</v>
      </c>
      <c r="J438" s="14"/>
      <c r="K438" s="16"/>
    </row>
    <row r="439" spans="1:11" ht="12.6" customHeight="1" x14ac:dyDescent="0.2">
      <c r="A439" s="13"/>
      <c r="B439" s="19" t="s">
        <v>47</v>
      </c>
      <c r="C439" s="15"/>
      <c r="D439" s="14"/>
      <c r="E439" s="15">
        <f t="shared" si="34"/>
        <v>46.837999999999987</v>
      </c>
      <c r="F439" s="14"/>
      <c r="G439" s="15">
        <f t="shared" si="33"/>
        <v>0</v>
      </c>
      <c r="H439" s="14">
        <v>1</v>
      </c>
      <c r="I439" s="15">
        <f t="shared" si="35"/>
        <v>5.25</v>
      </c>
      <c r="J439" s="14"/>
      <c r="K439" s="13">
        <v>40300</v>
      </c>
    </row>
    <row r="440" spans="1:11" ht="12.6" customHeight="1" x14ac:dyDescent="0.2">
      <c r="A440" s="19"/>
      <c r="B440" s="19"/>
      <c r="C440" s="36">
        <f>SUM(C414:C439)</f>
        <v>12.5</v>
      </c>
      <c r="D440" s="36">
        <f>SUM(D414:D439)</f>
        <v>15.5</v>
      </c>
      <c r="E440" s="36"/>
      <c r="F440" s="37"/>
      <c r="G440" s="36">
        <f>SUM(G414:G439)</f>
        <v>12.5</v>
      </c>
      <c r="H440" s="36">
        <f>SUM(H414:H439)</f>
        <v>15.5</v>
      </c>
      <c r="I440" s="15"/>
      <c r="J440" s="14"/>
      <c r="K440" s="16"/>
    </row>
    <row r="441" spans="1:11" ht="12.6" customHeight="1" x14ac:dyDescent="0.2">
      <c r="H441" s="27" t="s">
        <v>23</v>
      </c>
      <c r="J441" s="27" t="s">
        <v>29</v>
      </c>
    </row>
    <row r="442" spans="1:11" ht="12.6" customHeight="1" x14ac:dyDescent="0.2">
      <c r="A442" s="102"/>
      <c r="B442" s="102"/>
      <c r="C442" s="102"/>
      <c r="D442" s="40"/>
      <c r="E442" s="41"/>
      <c r="F442" s="40"/>
      <c r="G442" s="41"/>
      <c r="H442" s="1"/>
      <c r="I442" s="3"/>
      <c r="J442" s="3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3">
      <c r="A446" s="43"/>
      <c r="B446" s="43"/>
      <c r="C446" s="43"/>
      <c r="D446" s="40"/>
      <c r="E446" s="41"/>
      <c r="F446" s="40"/>
      <c r="G446" s="41"/>
      <c r="H446" s="1"/>
      <c r="I446" s="44"/>
      <c r="J446" s="45"/>
      <c r="K446" s="42"/>
    </row>
    <row r="447" spans="1:11" ht="12.6" customHeight="1" x14ac:dyDescent="0.2">
      <c r="A447" s="102" t="str">
        <f>A1</f>
        <v>ONAL, EDMON L.</v>
      </c>
      <c r="B447" s="102"/>
      <c r="C447" s="102"/>
      <c r="D447" s="102"/>
      <c r="E447" s="102"/>
      <c r="F447" s="102"/>
      <c r="G447" s="102"/>
      <c r="H447" s="1"/>
      <c r="I447" s="103" t="s">
        <v>0</v>
      </c>
      <c r="J447" s="103"/>
      <c r="K447" s="2" t="str">
        <f>K1</f>
        <v>SEPTEMBER 01, 1995</v>
      </c>
    </row>
    <row r="449" spans="1:11" ht="12.6" customHeight="1" x14ac:dyDescent="0.2">
      <c r="A449" s="104" t="s">
        <v>1</v>
      </c>
      <c r="B449" s="104" t="s">
        <v>2</v>
      </c>
      <c r="C449" s="107" t="s">
        <v>3</v>
      </c>
      <c r="D449" s="108"/>
      <c r="E449" s="108"/>
      <c r="F449" s="109"/>
      <c r="G449" s="107" t="s">
        <v>4</v>
      </c>
      <c r="H449" s="108"/>
      <c r="I449" s="108"/>
      <c r="J449" s="109"/>
      <c r="K449" s="4"/>
    </row>
    <row r="450" spans="1:11" ht="12.6" customHeight="1" x14ac:dyDescent="0.2">
      <c r="A450" s="105"/>
      <c r="B450" s="105"/>
      <c r="C450" s="94" t="s">
        <v>6</v>
      </c>
      <c r="D450" s="5" t="s">
        <v>7</v>
      </c>
      <c r="E450" s="94" t="s">
        <v>8</v>
      </c>
      <c r="F450" s="6" t="s">
        <v>7</v>
      </c>
      <c r="G450" s="94" t="s">
        <v>6</v>
      </c>
      <c r="H450" s="5" t="s">
        <v>7</v>
      </c>
      <c r="I450" s="94" t="s">
        <v>8</v>
      </c>
      <c r="J450" s="1" t="s">
        <v>7</v>
      </c>
      <c r="K450" s="7"/>
    </row>
    <row r="451" spans="1:11" ht="12.6" customHeight="1" x14ac:dyDescent="0.2">
      <c r="A451" s="105"/>
      <c r="B451" s="105"/>
      <c r="C451" s="95"/>
      <c r="D451" s="8" t="s">
        <v>10</v>
      </c>
      <c r="E451" s="95"/>
      <c r="F451" s="6" t="s">
        <v>10</v>
      </c>
      <c r="G451" s="95"/>
      <c r="H451" s="8" t="s">
        <v>10</v>
      </c>
      <c r="I451" s="95"/>
      <c r="J451" s="1" t="s">
        <v>10</v>
      </c>
      <c r="K451" s="7"/>
    </row>
    <row r="452" spans="1:11" ht="12.6" customHeight="1" x14ac:dyDescent="0.2">
      <c r="A452" s="106"/>
      <c r="B452" s="106"/>
      <c r="C452" s="96"/>
      <c r="D452" s="9" t="s">
        <v>12</v>
      </c>
      <c r="E452" s="96"/>
      <c r="F452" s="10" t="s">
        <v>13</v>
      </c>
      <c r="G452" s="96"/>
      <c r="H452" s="9" t="s">
        <v>12</v>
      </c>
      <c r="I452" s="96"/>
      <c r="J452" s="11" t="s">
        <v>13</v>
      </c>
      <c r="K452" s="12"/>
    </row>
    <row r="453" spans="1:11" ht="12.6" customHeight="1" x14ac:dyDescent="0.2">
      <c r="A453" s="13"/>
      <c r="B453" s="19" t="s">
        <v>95</v>
      </c>
      <c r="C453" s="15"/>
      <c r="D453" s="14">
        <v>3</v>
      </c>
      <c r="E453" s="15">
        <f>E439+C453-D453</f>
        <v>43.837999999999987</v>
      </c>
      <c r="F453" s="14"/>
      <c r="G453" s="15">
        <f>C453</f>
        <v>0</v>
      </c>
      <c r="H453" s="14"/>
      <c r="I453" s="15">
        <f>I439+G453-H453</f>
        <v>5.25</v>
      </c>
      <c r="J453" s="14"/>
      <c r="K453" s="16" t="s">
        <v>420</v>
      </c>
    </row>
    <row r="454" spans="1:11" ht="12.6" customHeight="1" x14ac:dyDescent="0.2">
      <c r="A454" s="13"/>
      <c r="B454" s="19" t="s">
        <v>45</v>
      </c>
      <c r="C454" s="15"/>
      <c r="D454" s="14"/>
      <c r="E454" s="15">
        <f>E453+C454-D454</f>
        <v>43.837999999999987</v>
      </c>
      <c r="F454" s="14"/>
      <c r="G454" s="15">
        <f t="shared" ref="G454:G478" si="36">C454</f>
        <v>0</v>
      </c>
      <c r="H454" s="14"/>
      <c r="I454" s="15">
        <f>I453+G454-H454</f>
        <v>5.25</v>
      </c>
      <c r="J454" s="14"/>
      <c r="K454" s="13" t="s">
        <v>421</v>
      </c>
    </row>
    <row r="455" spans="1:11" ht="12.6" customHeight="1" x14ac:dyDescent="0.2">
      <c r="A455" s="13">
        <v>40181</v>
      </c>
      <c r="B455" s="19"/>
      <c r="C455" s="15">
        <v>1.25</v>
      </c>
      <c r="D455" s="14"/>
      <c r="E455" s="15">
        <f t="shared" ref="E455:E478" si="37">E454+C455-D455</f>
        <v>45.087999999999987</v>
      </c>
      <c r="F455" s="14"/>
      <c r="G455" s="15">
        <f t="shared" si="36"/>
        <v>1.25</v>
      </c>
      <c r="H455" s="14"/>
      <c r="I455" s="15">
        <f t="shared" ref="I455:I478" si="38">I454+G455-H455</f>
        <v>6.5</v>
      </c>
      <c r="J455" s="14"/>
      <c r="K455" s="13"/>
    </row>
    <row r="456" spans="1:11" ht="12.6" customHeight="1" x14ac:dyDescent="0.2">
      <c r="A456" s="13"/>
      <c r="B456" s="19" t="s">
        <v>76</v>
      </c>
      <c r="C456" s="15"/>
      <c r="D456" s="14">
        <v>2</v>
      </c>
      <c r="E456" s="15">
        <f t="shared" si="37"/>
        <v>43.087999999999987</v>
      </c>
      <c r="F456" s="14"/>
      <c r="G456" s="15">
        <f t="shared" si="36"/>
        <v>0</v>
      </c>
      <c r="H456" s="14"/>
      <c r="I456" s="15">
        <f t="shared" si="38"/>
        <v>6.5</v>
      </c>
      <c r="J456" s="14"/>
      <c r="K456" s="13" t="s">
        <v>422</v>
      </c>
    </row>
    <row r="457" spans="1:11" ht="12.6" customHeight="1" x14ac:dyDescent="0.2">
      <c r="A457" s="13">
        <v>40182</v>
      </c>
      <c r="B457" s="19"/>
      <c r="C457" s="15">
        <v>1.25</v>
      </c>
      <c r="D457" s="14"/>
      <c r="E457" s="15">
        <f t="shared" si="37"/>
        <v>44.337999999999987</v>
      </c>
      <c r="F457" s="14"/>
      <c r="G457" s="15">
        <f t="shared" si="36"/>
        <v>1.25</v>
      </c>
      <c r="H457" s="14"/>
      <c r="I457" s="15">
        <f t="shared" si="38"/>
        <v>7.75</v>
      </c>
      <c r="J457" s="14"/>
      <c r="K457" s="13"/>
    </row>
    <row r="458" spans="1:11" ht="12.6" customHeight="1" x14ac:dyDescent="0.2">
      <c r="A458" s="13"/>
      <c r="B458" s="19" t="s">
        <v>95</v>
      </c>
      <c r="C458" s="15"/>
      <c r="D458" s="14">
        <v>3</v>
      </c>
      <c r="E458" s="15">
        <f t="shared" si="37"/>
        <v>41.337999999999987</v>
      </c>
      <c r="F458" s="14"/>
      <c r="G458" s="15">
        <f t="shared" si="36"/>
        <v>0</v>
      </c>
      <c r="H458" s="14"/>
      <c r="I458" s="15">
        <f t="shared" si="38"/>
        <v>7.75</v>
      </c>
      <c r="J458" s="14"/>
      <c r="K458" s="16" t="s">
        <v>423</v>
      </c>
    </row>
    <row r="459" spans="1:11" ht="12.6" customHeight="1" x14ac:dyDescent="0.2">
      <c r="A459" s="13"/>
      <c r="B459" s="19" t="s">
        <v>166</v>
      </c>
      <c r="C459" s="15"/>
      <c r="D459" s="14"/>
      <c r="E459" s="15">
        <f t="shared" si="37"/>
        <v>41.337999999999987</v>
      </c>
      <c r="F459" s="14"/>
      <c r="G459" s="15">
        <f t="shared" si="36"/>
        <v>0</v>
      </c>
      <c r="H459" s="14"/>
      <c r="I459" s="15">
        <f t="shared" si="38"/>
        <v>7.75</v>
      </c>
      <c r="J459" s="14"/>
      <c r="K459" s="13" t="s">
        <v>424</v>
      </c>
    </row>
    <row r="460" spans="1:11" ht="12.6" customHeight="1" x14ac:dyDescent="0.2">
      <c r="A460" s="13"/>
      <c r="B460" s="19" t="s">
        <v>76</v>
      </c>
      <c r="C460" s="15"/>
      <c r="D460" s="14">
        <v>2</v>
      </c>
      <c r="E460" s="15">
        <f t="shared" si="37"/>
        <v>39.337999999999987</v>
      </c>
      <c r="F460" s="14"/>
      <c r="G460" s="15">
        <f t="shared" si="36"/>
        <v>0</v>
      </c>
      <c r="H460" s="14"/>
      <c r="I460" s="15">
        <f t="shared" si="38"/>
        <v>7.75</v>
      </c>
      <c r="J460" s="14"/>
      <c r="K460" s="13" t="s">
        <v>425</v>
      </c>
    </row>
    <row r="461" spans="1:11" ht="12.6" customHeight="1" x14ac:dyDescent="0.2">
      <c r="A461" s="13">
        <v>40183</v>
      </c>
      <c r="B461" s="19"/>
      <c r="C461" s="15">
        <v>1.25</v>
      </c>
      <c r="D461" s="14"/>
      <c r="E461" s="15">
        <f t="shared" si="37"/>
        <v>40.587999999999987</v>
      </c>
      <c r="F461" s="14"/>
      <c r="G461" s="15">
        <f t="shared" si="36"/>
        <v>1.25</v>
      </c>
      <c r="H461" s="14"/>
      <c r="I461" s="15">
        <f t="shared" si="38"/>
        <v>9</v>
      </c>
      <c r="J461" s="14"/>
      <c r="K461" s="16"/>
    </row>
    <row r="462" spans="1:11" ht="12.6" customHeight="1" x14ac:dyDescent="0.2">
      <c r="A462" s="13"/>
      <c r="B462" s="19" t="s">
        <v>47</v>
      </c>
      <c r="C462" s="15"/>
      <c r="D462" s="14"/>
      <c r="E462" s="15">
        <f t="shared" si="37"/>
        <v>40.587999999999987</v>
      </c>
      <c r="F462" s="14"/>
      <c r="G462" s="15">
        <f t="shared" si="36"/>
        <v>0</v>
      </c>
      <c r="H462" s="14">
        <v>1</v>
      </c>
      <c r="I462" s="15">
        <f t="shared" si="38"/>
        <v>8</v>
      </c>
      <c r="J462" s="14"/>
      <c r="K462" s="16" t="s">
        <v>426</v>
      </c>
    </row>
    <row r="463" spans="1:11" ht="12.6" customHeight="1" x14ac:dyDescent="0.2">
      <c r="A463" s="13"/>
      <c r="B463" s="19" t="s">
        <v>47</v>
      </c>
      <c r="C463" s="15"/>
      <c r="D463" s="14"/>
      <c r="E463" s="15">
        <f t="shared" si="37"/>
        <v>40.587999999999987</v>
      </c>
      <c r="F463" s="14"/>
      <c r="G463" s="15">
        <f t="shared" si="36"/>
        <v>0</v>
      </c>
      <c r="H463" s="14">
        <v>1</v>
      </c>
      <c r="I463" s="15">
        <f t="shared" si="38"/>
        <v>7</v>
      </c>
      <c r="J463" s="14"/>
      <c r="K463" s="16" t="s">
        <v>427</v>
      </c>
    </row>
    <row r="464" spans="1:11" ht="12.6" customHeight="1" x14ac:dyDescent="0.2">
      <c r="A464" s="13">
        <v>40184</v>
      </c>
      <c r="B464" s="19"/>
      <c r="C464" s="15">
        <v>1.25</v>
      </c>
      <c r="D464" s="14"/>
      <c r="E464" s="15">
        <f t="shared" si="37"/>
        <v>41.837999999999987</v>
      </c>
      <c r="F464" s="14"/>
      <c r="G464" s="15">
        <f t="shared" si="36"/>
        <v>1.25</v>
      </c>
      <c r="H464" s="14"/>
      <c r="I464" s="15">
        <f t="shared" si="38"/>
        <v>8.25</v>
      </c>
      <c r="J464" s="14"/>
      <c r="K464" s="16"/>
    </row>
    <row r="465" spans="1:11" ht="12.6" customHeight="1" x14ac:dyDescent="0.2">
      <c r="A465" s="13"/>
      <c r="B465" s="19" t="s">
        <v>74</v>
      </c>
      <c r="C465" s="15"/>
      <c r="D465" s="14">
        <v>1</v>
      </c>
      <c r="E465" s="15">
        <f t="shared" si="37"/>
        <v>40.837999999999987</v>
      </c>
      <c r="F465" s="14"/>
      <c r="G465" s="15">
        <f t="shared" si="36"/>
        <v>0</v>
      </c>
      <c r="H465" s="14"/>
      <c r="I465" s="15">
        <f t="shared" si="38"/>
        <v>8.25</v>
      </c>
      <c r="J465" s="14"/>
      <c r="K465" s="16" t="s">
        <v>428</v>
      </c>
    </row>
    <row r="466" spans="1:11" ht="12.6" customHeight="1" x14ac:dyDescent="0.2">
      <c r="A466" s="13">
        <v>40185</v>
      </c>
      <c r="B466" s="19"/>
      <c r="C466" s="15">
        <v>1.25</v>
      </c>
      <c r="D466" s="14"/>
      <c r="E466" s="15">
        <f t="shared" si="37"/>
        <v>42.087999999999987</v>
      </c>
      <c r="F466" s="14"/>
      <c r="G466" s="15">
        <f t="shared" si="36"/>
        <v>1.25</v>
      </c>
      <c r="H466" s="14"/>
      <c r="I466" s="15">
        <f t="shared" si="38"/>
        <v>9.5</v>
      </c>
      <c r="J466" s="14"/>
      <c r="K466" s="13"/>
    </row>
    <row r="467" spans="1:11" ht="12.6" customHeight="1" x14ac:dyDescent="0.2">
      <c r="A467" s="13"/>
      <c r="B467" s="19" t="s">
        <v>144</v>
      </c>
      <c r="C467" s="15"/>
      <c r="D467" s="14"/>
      <c r="E467" s="15">
        <f t="shared" si="37"/>
        <v>42.087999999999987</v>
      </c>
      <c r="F467" s="14"/>
      <c r="G467" s="15">
        <f t="shared" si="36"/>
        <v>0</v>
      </c>
      <c r="H467" s="14">
        <v>1.5</v>
      </c>
      <c r="I467" s="15">
        <f t="shared" si="38"/>
        <v>8</v>
      </c>
      <c r="J467" s="14"/>
      <c r="K467" s="13" t="s">
        <v>429</v>
      </c>
    </row>
    <row r="468" spans="1:11" ht="12.6" customHeight="1" x14ac:dyDescent="0.2">
      <c r="A468" s="13"/>
      <c r="B468" s="19" t="s">
        <v>95</v>
      </c>
      <c r="C468" s="15"/>
      <c r="D468" s="14"/>
      <c r="E468" s="15">
        <f t="shared" si="37"/>
        <v>42.087999999999987</v>
      </c>
      <c r="F468" s="14"/>
      <c r="G468" s="15">
        <f t="shared" si="36"/>
        <v>0</v>
      </c>
      <c r="H468" s="14">
        <v>3</v>
      </c>
      <c r="I468" s="15">
        <f t="shared" si="38"/>
        <v>5</v>
      </c>
      <c r="J468" s="14"/>
      <c r="K468" s="13" t="s">
        <v>430</v>
      </c>
    </row>
    <row r="469" spans="1:11" ht="12.6" customHeight="1" x14ac:dyDescent="0.2">
      <c r="A469" s="13">
        <v>40186</v>
      </c>
      <c r="B469" s="19"/>
      <c r="C469" s="15">
        <v>1.25</v>
      </c>
      <c r="D469" s="14"/>
      <c r="E469" s="15">
        <f t="shared" si="37"/>
        <v>43.337999999999987</v>
      </c>
      <c r="F469" s="14"/>
      <c r="G469" s="15">
        <f t="shared" si="36"/>
        <v>1.25</v>
      </c>
      <c r="H469" s="14"/>
      <c r="I469" s="15">
        <f t="shared" si="38"/>
        <v>6.25</v>
      </c>
      <c r="J469" s="14"/>
      <c r="K469" s="13"/>
    </row>
    <row r="470" spans="1:11" ht="12.6" customHeight="1" x14ac:dyDescent="0.2">
      <c r="A470" s="13"/>
      <c r="B470" s="19" t="s">
        <v>52</v>
      </c>
      <c r="C470" s="15"/>
      <c r="D470" s="15"/>
      <c r="E470" s="15">
        <f t="shared" si="37"/>
        <v>43.337999999999987</v>
      </c>
      <c r="F470" s="14"/>
      <c r="G470" s="15">
        <f t="shared" si="36"/>
        <v>0</v>
      </c>
      <c r="H470" s="14">
        <v>2</v>
      </c>
      <c r="I470" s="15">
        <f t="shared" si="38"/>
        <v>4.25</v>
      </c>
      <c r="J470" s="14"/>
      <c r="K470" s="13" t="s">
        <v>431</v>
      </c>
    </row>
    <row r="471" spans="1:11" ht="12.6" customHeight="1" x14ac:dyDescent="0.2">
      <c r="A471" s="13"/>
      <c r="B471" s="19" t="s">
        <v>47</v>
      </c>
      <c r="C471" s="15"/>
      <c r="D471" s="14"/>
      <c r="E471" s="15">
        <f t="shared" si="37"/>
        <v>43.337999999999987</v>
      </c>
      <c r="F471" s="14"/>
      <c r="G471" s="15">
        <f t="shared" si="36"/>
        <v>0</v>
      </c>
      <c r="H471" s="14">
        <v>1</v>
      </c>
      <c r="I471" s="15">
        <f t="shared" si="38"/>
        <v>3.25</v>
      </c>
      <c r="J471" s="14"/>
      <c r="K471" s="13">
        <v>40490</v>
      </c>
    </row>
    <row r="472" spans="1:11" ht="12.6" customHeight="1" x14ac:dyDescent="0.2">
      <c r="A472" s="13"/>
      <c r="B472" s="19" t="s">
        <v>47</v>
      </c>
      <c r="C472" s="15"/>
      <c r="D472" s="15"/>
      <c r="E472" s="15">
        <f t="shared" si="37"/>
        <v>43.337999999999987</v>
      </c>
      <c r="F472" s="14"/>
      <c r="G472" s="15">
        <f t="shared" si="36"/>
        <v>0</v>
      </c>
      <c r="H472" s="14">
        <v>1</v>
      </c>
      <c r="I472" s="15">
        <f t="shared" si="38"/>
        <v>2.25</v>
      </c>
      <c r="J472" s="14"/>
      <c r="K472" s="13" t="s">
        <v>432</v>
      </c>
    </row>
    <row r="473" spans="1:11" ht="12.6" customHeight="1" x14ac:dyDescent="0.2">
      <c r="A473" s="13">
        <v>40187</v>
      </c>
      <c r="B473" s="19"/>
      <c r="C473" s="15">
        <v>1.25</v>
      </c>
      <c r="D473" s="14"/>
      <c r="E473" s="15">
        <f t="shared" si="37"/>
        <v>44.587999999999987</v>
      </c>
      <c r="F473" s="14"/>
      <c r="G473" s="15">
        <f t="shared" si="36"/>
        <v>1.25</v>
      </c>
      <c r="H473" s="14"/>
      <c r="I473" s="15">
        <f t="shared" si="38"/>
        <v>3.5</v>
      </c>
      <c r="J473" s="14"/>
      <c r="K473" s="13"/>
    </row>
    <row r="474" spans="1:11" ht="12.6" customHeight="1" x14ac:dyDescent="0.2">
      <c r="A474" s="13"/>
      <c r="B474" s="19" t="s">
        <v>45</v>
      </c>
      <c r="C474" s="15"/>
      <c r="D474" s="14"/>
      <c r="E474" s="15">
        <f t="shared" si="37"/>
        <v>44.587999999999987</v>
      </c>
      <c r="F474" s="14"/>
      <c r="G474" s="15">
        <f t="shared" si="36"/>
        <v>0</v>
      </c>
      <c r="H474" s="14"/>
      <c r="I474" s="15">
        <f t="shared" si="38"/>
        <v>3.5</v>
      </c>
      <c r="J474" s="14"/>
      <c r="K474" s="13">
        <v>40338</v>
      </c>
    </row>
    <row r="475" spans="1:11" ht="12.6" customHeight="1" x14ac:dyDescent="0.2">
      <c r="A475" s="13"/>
      <c r="B475" s="19" t="s">
        <v>95</v>
      </c>
      <c r="C475" s="15"/>
      <c r="D475" s="14">
        <v>3</v>
      </c>
      <c r="E475" s="15">
        <f t="shared" si="37"/>
        <v>41.587999999999987</v>
      </c>
      <c r="F475" s="14"/>
      <c r="G475" s="15">
        <f t="shared" si="36"/>
        <v>0</v>
      </c>
      <c r="H475" s="14"/>
      <c r="I475" s="15">
        <f t="shared" si="38"/>
        <v>3.5</v>
      </c>
      <c r="J475" s="14"/>
      <c r="K475" s="13" t="s">
        <v>433</v>
      </c>
    </row>
    <row r="476" spans="1:11" ht="12.6" customHeight="1" x14ac:dyDescent="0.2">
      <c r="A476" s="13">
        <v>40547</v>
      </c>
      <c r="B476" s="19"/>
      <c r="C476" s="15">
        <v>8.75</v>
      </c>
      <c r="D476" s="14"/>
      <c r="E476" s="15">
        <f t="shared" si="37"/>
        <v>50.337999999999987</v>
      </c>
      <c r="F476" s="14"/>
      <c r="G476" s="15">
        <f t="shared" si="36"/>
        <v>8.75</v>
      </c>
      <c r="H476" s="14"/>
      <c r="I476" s="15">
        <f t="shared" si="38"/>
        <v>12.25</v>
      </c>
      <c r="J476" s="14"/>
      <c r="K476" s="13"/>
    </row>
    <row r="477" spans="1:11" ht="12.6" customHeight="1" x14ac:dyDescent="0.2">
      <c r="A477" s="13"/>
      <c r="B477" s="19" t="s">
        <v>90</v>
      </c>
      <c r="C477" s="15"/>
      <c r="D477" s="14"/>
      <c r="E477" s="15">
        <f t="shared" si="37"/>
        <v>50.337999999999987</v>
      </c>
      <c r="F477" s="14"/>
      <c r="G477" s="15">
        <f t="shared" si="36"/>
        <v>0</v>
      </c>
      <c r="H477" s="14"/>
      <c r="I477" s="15">
        <f t="shared" si="38"/>
        <v>12.25</v>
      </c>
      <c r="J477" s="14"/>
      <c r="K477" s="16" t="s">
        <v>434</v>
      </c>
    </row>
    <row r="478" spans="1:11" ht="12.6" customHeight="1" x14ac:dyDescent="0.2">
      <c r="A478" s="13"/>
      <c r="B478" s="19" t="s">
        <v>74</v>
      </c>
      <c r="C478" s="15"/>
      <c r="D478" s="14">
        <v>1</v>
      </c>
      <c r="E478" s="15">
        <f t="shared" si="37"/>
        <v>49.337999999999987</v>
      </c>
      <c r="F478" s="14"/>
      <c r="G478" s="15">
        <f t="shared" si="36"/>
        <v>0</v>
      </c>
      <c r="H478" s="14"/>
      <c r="I478" s="15">
        <f t="shared" si="38"/>
        <v>12.25</v>
      </c>
      <c r="J478" s="14"/>
      <c r="K478" s="13">
        <v>40699</v>
      </c>
    </row>
    <row r="479" spans="1:11" ht="12.6" customHeight="1" x14ac:dyDescent="0.2">
      <c r="A479" s="19"/>
      <c r="B479" s="19"/>
      <c r="C479" s="36">
        <f>SUM(C453:C478)</f>
        <v>17.5</v>
      </c>
      <c r="D479" s="36">
        <f>SUM(D453:D478)</f>
        <v>15</v>
      </c>
      <c r="E479" s="36"/>
      <c r="F479" s="37"/>
      <c r="G479" s="36">
        <f>SUM(G453:G478)</f>
        <v>17.5</v>
      </c>
      <c r="H479" s="36">
        <f>SUM(H453:H478)</f>
        <v>10.5</v>
      </c>
      <c r="I479" s="15"/>
      <c r="J479" s="14"/>
      <c r="K479" s="16"/>
    </row>
    <row r="480" spans="1:11" ht="12.6" customHeight="1" x14ac:dyDescent="0.2">
      <c r="H480" s="27" t="s">
        <v>23</v>
      </c>
      <c r="J480" s="27" t="s">
        <v>30</v>
      </c>
    </row>
    <row r="482" spans="1:11" ht="12.6" customHeight="1" x14ac:dyDescent="0.2">
      <c r="A482" s="102" t="str">
        <f>A1</f>
        <v>ONAL, EDMON L.</v>
      </c>
      <c r="B482" s="102"/>
      <c r="C482" s="102"/>
      <c r="D482" s="102"/>
      <c r="E482" s="102"/>
      <c r="F482" s="102"/>
      <c r="G482" s="102"/>
      <c r="H482" s="1"/>
      <c r="I482" s="103" t="s">
        <v>0</v>
      </c>
      <c r="J482" s="103"/>
      <c r="K482" s="2" t="str">
        <f>K1</f>
        <v>SEPTEMBER 01, 1995</v>
      </c>
    </row>
    <row r="484" spans="1:11" ht="12.6" customHeight="1" x14ac:dyDescent="0.2">
      <c r="A484" s="104" t="s">
        <v>1</v>
      </c>
      <c r="B484" s="104" t="s">
        <v>2</v>
      </c>
      <c r="C484" s="107" t="s">
        <v>3</v>
      </c>
      <c r="D484" s="108"/>
      <c r="E484" s="108"/>
      <c r="F484" s="109"/>
      <c r="G484" s="107" t="s">
        <v>4</v>
      </c>
      <c r="H484" s="108"/>
      <c r="I484" s="108"/>
      <c r="J484" s="109"/>
      <c r="K484" s="4"/>
    </row>
    <row r="485" spans="1:11" ht="12.6" customHeight="1" x14ac:dyDescent="0.2">
      <c r="A485" s="105"/>
      <c r="B485" s="105"/>
      <c r="C485" s="94" t="s">
        <v>6</v>
      </c>
      <c r="D485" s="5" t="s">
        <v>7</v>
      </c>
      <c r="E485" s="94" t="s">
        <v>8</v>
      </c>
      <c r="F485" s="6" t="s">
        <v>7</v>
      </c>
      <c r="G485" s="94" t="s">
        <v>6</v>
      </c>
      <c r="H485" s="5" t="s">
        <v>7</v>
      </c>
      <c r="I485" s="94" t="s">
        <v>8</v>
      </c>
      <c r="J485" s="1" t="s">
        <v>7</v>
      </c>
      <c r="K485" s="7"/>
    </row>
    <row r="486" spans="1:11" ht="12.6" customHeight="1" x14ac:dyDescent="0.2">
      <c r="A486" s="105"/>
      <c r="B486" s="105"/>
      <c r="C486" s="95"/>
      <c r="D486" s="8" t="s">
        <v>10</v>
      </c>
      <c r="E486" s="95"/>
      <c r="F486" s="6" t="s">
        <v>10</v>
      </c>
      <c r="G486" s="95"/>
      <c r="H486" s="8" t="s">
        <v>10</v>
      </c>
      <c r="I486" s="95"/>
      <c r="J486" s="1" t="s">
        <v>10</v>
      </c>
      <c r="K486" s="7"/>
    </row>
    <row r="487" spans="1:11" ht="12.6" customHeight="1" x14ac:dyDescent="0.2">
      <c r="A487" s="106"/>
      <c r="B487" s="106"/>
      <c r="C487" s="96"/>
      <c r="D487" s="9" t="s">
        <v>12</v>
      </c>
      <c r="E487" s="96"/>
      <c r="F487" s="10" t="s">
        <v>13</v>
      </c>
      <c r="G487" s="96"/>
      <c r="H487" s="9" t="s">
        <v>12</v>
      </c>
      <c r="I487" s="96"/>
      <c r="J487" s="11" t="s">
        <v>13</v>
      </c>
      <c r="K487" s="12"/>
    </row>
    <row r="488" spans="1:11" ht="12.6" customHeight="1" x14ac:dyDescent="0.2">
      <c r="A488" s="13">
        <v>40550</v>
      </c>
      <c r="B488" s="19"/>
      <c r="C488" s="15">
        <v>3.75</v>
      </c>
      <c r="D488" s="14"/>
      <c r="E488" s="15">
        <f>E478+C488-D488</f>
        <v>53.087999999999987</v>
      </c>
      <c r="F488" s="14"/>
      <c r="G488" s="15">
        <f t="shared" ref="G488:G513" si="39">C488</f>
        <v>3.75</v>
      </c>
      <c r="H488" s="14"/>
      <c r="I488" s="15">
        <f>I478+G488-H488</f>
        <v>16</v>
      </c>
      <c r="J488" s="14"/>
      <c r="K488" s="16"/>
    </row>
    <row r="489" spans="1:11" ht="12.6" customHeight="1" x14ac:dyDescent="0.2">
      <c r="A489" s="13"/>
      <c r="B489" s="19" t="s">
        <v>74</v>
      </c>
      <c r="C489" s="15"/>
      <c r="D489" s="14">
        <v>1</v>
      </c>
      <c r="E489" s="15">
        <f>E488+C489-D489</f>
        <v>52.087999999999987</v>
      </c>
      <c r="F489" s="14"/>
      <c r="G489" s="15">
        <f t="shared" si="39"/>
        <v>0</v>
      </c>
      <c r="H489" s="14"/>
      <c r="I489" s="15">
        <f>I488+G489-H489</f>
        <v>16</v>
      </c>
      <c r="J489" s="14"/>
      <c r="K489" s="13" t="s">
        <v>435</v>
      </c>
    </row>
    <row r="490" spans="1:11" ht="12.6" customHeight="1" x14ac:dyDescent="0.2">
      <c r="A490" s="13">
        <v>40554</v>
      </c>
      <c r="B490" s="19"/>
      <c r="C490" s="15">
        <v>5</v>
      </c>
      <c r="D490" s="14"/>
      <c r="E490" s="15">
        <f t="shared" ref="E490:E513" si="40">E489+C490-D490</f>
        <v>57.087999999999987</v>
      </c>
      <c r="F490" s="14"/>
      <c r="G490" s="15">
        <f t="shared" si="39"/>
        <v>5</v>
      </c>
      <c r="H490" s="14"/>
      <c r="I490" s="15">
        <f t="shared" ref="I490:I513" si="41">I489+G490-H490</f>
        <v>21</v>
      </c>
      <c r="J490" s="14"/>
      <c r="K490" s="13"/>
    </row>
    <row r="491" spans="1:11" ht="12.6" customHeight="1" x14ac:dyDescent="0.2">
      <c r="A491" s="13"/>
      <c r="B491" s="19" t="s">
        <v>56</v>
      </c>
      <c r="C491" s="15"/>
      <c r="D491" s="14">
        <v>4</v>
      </c>
      <c r="E491" s="15">
        <f t="shared" si="40"/>
        <v>53.087999999999987</v>
      </c>
      <c r="F491" s="14"/>
      <c r="G491" s="15">
        <f t="shared" si="39"/>
        <v>0</v>
      </c>
      <c r="H491" s="14"/>
      <c r="I491" s="15">
        <f t="shared" si="41"/>
        <v>21</v>
      </c>
      <c r="J491" s="14"/>
      <c r="K491" s="16" t="s">
        <v>436</v>
      </c>
    </row>
    <row r="492" spans="1:11" ht="12.6" customHeight="1" x14ac:dyDescent="0.2">
      <c r="A492" s="13"/>
      <c r="B492" s="19" t="s">
        <v>271</v>
      </c>
      <c r="C492" s="15"/>
      <c r="D492" s="14"/>
      <c r="E492" s="15">
        <f t="shared" si="40"/>
        <v>53.087999999999987</v>
      </c>
      <c r="F492" s="14"/>
      <c r="G492" s="15">
        <f t="shared" si="39"/>
        <v>0</v>
      </c>
      <c r="H492" s="14">
        <v>5</v>
      </c>
      <c r="I492" s="15">
        <f t="shared" si="41"/>
        <v>16</v>
      </c>
      <c r="J492" s="14"/>
      <c r="K492" s="13" t="s">
        <v>437</v>
      </c>
    </row>
    <row r="493" spans="1:11" ht="12.6" customHeight="1" x14ac:dyDescent="0.2">
      <c r="A493" s="13">
        <v>40909</v>
      </c>
      <c r="B493" s="19"/>
      <c r="C493" s="15">
        <v>2.5</v>
      </c>
      <c r="D493" s="14"/>
      <c r="E493" s="15">
        <f t="shared" si="40"/>
        <v>55.587999999999987</v>
      </c>
      <c r="F493" s="14"/>
      <c r="G493" s="15">
        <f t="shared" si="39"/>
        <v>2.5</v>
      </c>
      <c r="H493" s="14"/>
      <c r="I493" s="15">
        <f t="shared" si="41"/>
        <v>18.5</v>
      </c>
      <c r="J493" s="14"/>
      <c r="K493" s="16"/>
    </row>
    <row r="494" spans="1:11" ht="12.6" customHeight="1" x14ac:dyDescent="0.2">
      <c r="A494" s="13"/>
      <c r="B494" s="19" t="s">
        <v>95</v>
      </c>
      <c r="C494" s="15"/>
      <c r="D494" s="14">
        <v>3</v>
      </c>
      <c r="E494" s="15">
        <f t="shared" si="40"/>
        <v>52.587999999999987</v>
      </c>
      <c r="F494" s="14"/>
      <c r="G494" s="15">
        <f t="shared" si="39"/>
        <v>0</v>
      </c>
      <c r="H494" s="14"/>
      <c r="I494" s="15">
        <f t="shared" si="41"/>
        <v>18.5</v>
      </c>
      <c r="J494" s="14"/>
      <c r="K494" s="13" t="s">
        <v>438</v>
      </c>
    </row>
    <row r="495" spans="1:11" ht="12.6" customHeight="1" x14ac:dyDescent="0.2">
      <c r="A495" s="13">
        <v>40910</v>
      </c>
      <c r="B495" s="19"/>
      <c r="C495" s="15">
        <v>1.25</v>
      </c>
      <c r="D495" s="14"/>
      <c r="E495" s="15">
        <f t="shared" si="40"/>
        <v>53.837999999999987</v>
      </c>
      <c r="F495" s="14"/>
      <c r="G495" s="15">
        <f t="shared" si="39"/>
        <v>1.25</v>
      </c>
      <c r="H495" s="14"/>
      <c r="I495" s="15">
        <f t="shared" si="41"/>
        <v>19.75</v>
      </c>
      <c r="J495" s="14"/>
      <c r="K495" s="13"/>
    </row>
    <row r="496" spans="1:11" ht="12.6" customHeight="1" x14ac:dyDescent="0.2">
      <c r="A496" s="13"/>
      <c r="B496" s="19" t="s">
        <v>45</v>
      </c>
      <c r="C496" s="15"/>
      <c r="D496" s="14"/>
      <c r="E496" s="15">
        <f t="shared" si="40"/>
        <v>53.837999999999987</v>
      </c>
      <c r="F496" s="14"/>
      <c r="G496" s="15">
        <f t="shared" si="39"/>
        <v>0</v>
      </c>
      <c r="H496" s="14"/>
      <c r="I496" s="15">
        <f t="shared" si="41"/>
        <v>19.75</v>
      </c>
      <c r="J496" s="14"/>
      <c r="K496" s="16" t="s">
        <v>439</v>
      </c>
    </row>
    <row r="497" spans="1:11" ht="12.6" customHeight="1" x14ac:dyDescent="0.2">
      <c r="A497" s="13">
        <v>40913</v>
      </c>
      <c r="B497" s="19"/>
      <c r="C497" s="15">
        <v>3.75</v>
      </c>
      <c r="D497" s="14"/>
      <c r="E497" s="15">
        <f t="shared" si="40"/>
        <v>57.587999999999987</v>
      </c>
      <c r="F497" s="14"/>
      <c r="G497" s="15">
        <f t="shared" si="39"/>
        <v>3.75</v>
      </c>
      <c r="H497" s="14"/>
      <c r="I497" s="15">
        <f t="shared" si="41"/>
        <v>23.5</v>
      </c>
      <c r="J497" s="14"/>
      <c r="K497" s="16"/>
    </row>
    <row r="498" spans="1:11" ht="12.6" customHeight="1" x14ac:dyDescent="0.2">
      <c r="A498" s="13"/>
      <c r="B498" s="19" t="s">
        <v>52</v>
      </c>
      <c r="C498" s="15"/>
      <c r="D498" s="14"/>
      <c r="E498" s="15">
        <f t="shared" si="40"/>
        <v>57.587999999999987</v>
      </c>
      <c r="F498" s="14"/>
      <c r="G498" s="15">
        <f t="shared" si="39"/>
        <v>0</v>
      </c>
      <c r="H498" s="14">
        <v>2</v>
      </c>
      <c r="I498" s="15">
        <f t="shared" si="41"/>
        <v>21.5</v>
      </c>
      <c r="J498" s="14"/>
      <c r="K498" s="16" t="s">
        <v>440</v>
      </c>
    </row>
    <row r="499" spans="1:11" ht="12.6" customHeight="1" x14ac:dyDescent="0.2">
      <c r="A499" s="13"/>
      <c r="B499" s="19" t="s">
        <v>444</v>
      </c>
      <c r="C499" s="15"/>
      <c r="D499" s="14"/>
      <c r="E499" s="15">
        <f t="shared" si="40"/>
        <v>57.587999999999987</v>
      </c>
      <c r="F499" s="14"/>
      <c r="G499" s="15">
        <f t="shared" si="39"/>
        <v>0</v>
      </c>
      <c r="H499" s="14"/>
      <c r="I499" s="15">
        <f t="shared" si="41"/>
        <v>21.5</v>
      </c>
      <c r="J499" s="14"/>
      <c r="K499" s="13" t="s">
        <v>441</v>
      </c>
    </row>
    <row r="500" spans="1:11" ht="12.6" customHeight="1" x14ac:dyDescent="0.2">
      <c r="A500" s="13"/>
      <c r="B500" s="19" t="s">
        <v>271</v>
      </c>
      <c r="C500" s="15"/>
      <c r="D500" s="14"/>
      <c r="E500" s="15">
        <f t="shared" si="40"/>
        <v>57.587999999999987</v>
      </c>
      <c r="F500" s="14"/>
      <c r="G500" s="15">
        <f t="shared" si="39"/>
        <v>0</v>
      </c>
      <c r="H500" s="14">
        <v>5</v>
      </c>
      <c r="I500" s="15">
        <f t="shared" si="41"/>
        <v>16.5</v>
      </c>
      <c r="J500" s="14"/>
      <c r="K500" s="13" t="s">
        <v>442</v>
      </c>
    </row>
    <row r="501" spans="1:11" ht="12.6" customHeight="1" x14ac:dyDescent="0.2">
      <c r="A501" s="13"/>
      <c r="B501" s="19" t="s">
        <v>95</v>
      </c>
      <c r="C501" s="15"/>
      <c r="D501" s="14">
        <v>3</v>
      </c>
      <c r="E501" s="15">
        <f t="shared" si="40"/>
        <v>54.587999999999987</v>
      </c>
      <c r="F501" s="14"/>
      <c r="G501" s="15">
        <f t="shared" si="39"/>
        <v>0</v>
      </c>
      <c r="H501" s="14"/>
      <c r="I501" s="15">
        <f t="shared" si="41"/>
        <v>16.5</v>
      </c>
      <c r="J501" s="14"/>
      <c r="K501" s="13" t="s">
        <v>443</v>
      </c>
    </row>
    <row r="502" spans="1:11" ht="12.6" customHeight="1" x14ac:dyDescent="0.2">
      <c r="A502" s="13">
        <v>40917</v>
      </c>
      <c r="B502" s="19"/>
      <c r="C502" s="15">
        <v>5</v>
      </c>
      <c r="D502" s="14"/>
      <c r="E502" s="15">
        <f t="shared" si="40"/>
        <v>59.587999999999987</v>
      </c>
      <c r="F502" s="14"/>
      <c r="G502" s="15">
        <f t="shared" si="39"/>
        <v>5</v>
      </c>
      <c r="H502" s="14"/>
      <c r="I502" s="15">
        <f t="shared" si="41"/>
        <v>21.5</v>
      </c>
      <c r="J502" s="14"/>
      <c r="K502" s="13"/>
    </row>
    <row r="503" spans="1:11" ht="12.6" customHeight="1" x14ac:dyDescent="0.2">
      <c r="A503" s="13"/>
      <c r="B503" s="19" t="s">
        <v>47</v>
      </c>
      <c r="C503" s="15"/>
      <c r="D503" s="14"/>
      <c r="E503" s="15">
        <f t="shared" si="40"/>
        <v>59.587999999999987</v>
      </c>
      <c r="F503" s="14"/>
      <c r="G503" s="15">
        <f t="shared" si="39"/>
        <v>0</v>
      </c>
      <c r="H503" s="14">
        <v>1</v>
      </c>
      <c r="I503" s="15">
        <f t="shared" si="41"/>
        <v>20.5</v>
      </c>
      <c r="J503" s="14"/>
      <c r="K503" s="13" t="s">
        <v>445</v>
      </c>
    </row>
    <row r="504" spans="1:11" ht="12.6" customHeight="1" x14ac:dyDescent="0.2">
      <c r="A504" s="16"/>
      <c r="B504" s="19" t="s">
        <v>45</v>
      </c>
      <c r="C504" s="15"/>
      <c r="D504" s="14"/>
      <c r="E504" s="15">
        <f t="shared" si="40"/>
        <v>59.587999999999987</v>
      </c>
      <c r="F504" s="14"/>
      <c r="G504" s="15">
        <f t="shared" si="39"/>
        <v>0</v>
      </c>
      <c r="H504" s="14"/>
      <c r="I504" s="15">
        <f t="shared" si="41"/>
        <v>20.5</v>
      </c>
      <c r="J504" s="14"/>
      <c r="K504" s="13" t="s">
        <v>446</v>
      </c>
    </row>
    <row r="505" spans="1:11" ht="12.6" customHeight="1" x14ac:dyDescent="0.2">
      <c r="A505" s="13">
        <v>40918</v>
      </c>
      <c r="B505" s="19"/>
      <c r="C505" s="15">
        <v>1.25</v>
      </c>
      <c r="D505" s="15"/>
      <c r="E505" s="15">
        <f t="shared" si="40"/>
        <v>60.837999999999987</v>
      </c>
      <c r="F505" s="14"/>
      <c r="G505" s="15">
        <f t="shared" si="39"/>
        <v>1.25</v>
      </c>
      <c r="H505" s="14"/>
      <c r="I505" s="15">
        <f t="shared" si="41"/>
        <v>21.75</v>
      </c>
      <c r="J505" s="14"/>
      <c r="K505" s="13"/>
    </row>
    <row r="506" spans="1:11" ht="12.6" customHeight="1" x14ac:dyDescent="0.2">
      <c r="A506" s="13"/>
      <c r="B506" s="19" t="s">
        <v>52</v>
      </c>
      <c r="C506" s="15"/>
      <c r="D506" s="14"/>
      <c r="E506" s="15">
        <f t="shared" si="40"/>
        <v>60.837999999999987</v>
      </c>
      <c r="F506" s="14"/>
      <c r="G506" s="15">
        <f t="shared" si="39"/>
        <v>0</v>
      </c>
      <c r="H506" s="14">
        <v>2</v>
      </c>
      <c r="I506" s="15">
        <f t="shared" si="41"/>
        <v>19.75</v>
      </c>
      <c r="J506" s="14"/>
      <c r="K506" s="16" t="s">
        <v>447</v>
      </c>
    </row>
    <row r="507" spans="1:11" ht="12.6" customHeight="1" x14ac:dyDescent="0.2">
      <c r="A507" s="13">
        <v>41275</v>
      </c>
      <c r="B507" s="19"/>
      <c r="C507" s="15">
        <v>3.75</v>
      </c>
      <c r="D507" s="15"/>
      <c r="E507" s="15">
        <f t="shared" si="40"/>
        <v>64.587999999999994</v>
      </c>
      <c r="F507" s="14"/>
      <c r="G507" s="15">
        <f t="shared" si="39"/>
        <v>3.75</v>
      </c>
      <c r="H507" s="14"/>
      <c r="I507" s="15">
        <f t="shared" si="41"/>
        <v>23.5</v>
      </c>
      <c r="J507" s="14"/>
      <c r="K507" s="13"/>
    </row>
    <row r="508" spans="1:11" ht="12.6" customHeight="1" x14ac:dyDescent="0.2">
      <c r="A508" s="13"/>
      <c r="B508" s="19" t="s">
        <v>56</v>
      </c>
      <c r="C508" s="15"/>
      <c r="D508" s="14">
        <v>4</v>
      </c>
      <c r="E508" s="15">
        <f t="shared" si="40"/>
        <v>60.587999999999994</v>
      </c>
      <c r="F508" s="14"/>
      <c r="G508" s="15">
        <f t="shared" si="39"/>
        <v>0</v>
      </c>
      <c r="H508" s="14"/>
      <c r="I508" s="15">
        <f t="shared" si="41"/>
        <v>23.5</v>
      </c>
      <c r="J508" s="14"/>
      <c r="K508" s="16" t="s">
        <v>450</v>
      </c>
    </row>
    <row r="509" spans="1:11" ht="12.6" customHeight="1" x14ac:dyDescent="0.2">
      <c r="A509" s="13">
        <v>41278</v>
      </c>
      <c r="B509" s="19"/>
      <c r="C509" s="15">
        <v>3.75</v>
      </c>
      <c r="D509" s="14"/>
      <c r="E509" s="15">
        <f t="shared" si="40"/>
        <v>64.337999999999994</v>
      </c>
      <c r="F509" s="14"/>
      <c r="G509" s="15">
        <f t="shared" si="39"/>
        <v>3.75</v>
      </c>
      <c r="H509" s="14"/>
      <c r="I509" s="15">
        <f t="shared" si="41"/>
        <v>27.25</v>
      </c>
      <c r="J509" s="14"/>
      <c r="K509" s="13"/>
    </row>
    <row r="510" spans="1:11" ht="12.6" customHeight="1" x14ac:dyDescent="0.2">
      <c r="A510" s="13"/>
      <c r="B510" s="19" t="s">
        <v>67</v>
      </c>
      <c r="C510" s="15"/>
      <c r="D510" s="14"/>
      <c r="E510" s="15">
        <f t="shared" si="40"/>
        <v>64.337999999999994</v>
      </c>
      <c r="F510" s="14"/>
      <c r="G510" s="15">
        <f t="shared" si="39"/>
        <v>0</v>
      </c>
      <c r="H510" s="14">
        <v>3</v>
      </c>
      <c r="I510" s="15">
        <f t="shared" si="41"/>
        <v>24.25</v>
      </c>
      <c r="J510" s="14"/>
      <c r="K510" s="13" t="s">
        <v>451</v>
      </c>
    </row>
    <row r="511" spans="1:11" ht="12.6" customHeight="1" x14ac:dyDescent="0.2">
      <c r="A511" s="13">
        <v>41279</v>
      </c>
      <c r="B511" s="19"/>
      <c r="C511" s="15">
        <v>1.25</v>
      </c>
      <c r="D511" s="14"/>
      <c r="E511" s="15">
        <f t="shared" si="40"/>
        <v>65.587999999999994</v>
      </c>
      <c r="F511" s="14"/>
      <c r="G511" s="15">
        <f t="shared" si="39"/>
        <v>1.25</v>
      </c>
      <c r="H511" s="14"/>
      <c r="I511" s="15">
        <f t="shared" si="41"/>
        <v>25.5</v>
      </c>
      <c r="J511" s="14"/>
      <c r="K511" s="16"/>
    </row>
    <row r="512" spans="1:11" ht="12.6" customHeight="1" x14ac:dyDescent="0.2">
      <c r="A512" s="13"/>
      <c r="B512" s="19" t="s">
        <v>45</v>
      </c>
      <c r="C512" s="15"/>
      <c r="D512" s="14"/>
      <c r="E512" s="15">
        <f t="shared" si="40"/>
        <v>65.587999999999994</v>
      </c>
      <c r="F512" s="14"/>
      <c r="G512" s="15">
        <f t="shared" si="39"/>
        <v>0</v>
      </c>
      <c r="H512" s="14"/>
      <c r="I512" s="15">
        <f t="shared" si="41"/>
        <v>25.5</v>
      </c>
      <c r="J512" s="14"/>
      <c r="K512" s="13">
        <v>41430</v>
      </c>
    </row>
    <row r="513" spans="1:11" ht="12.6" customHeight="1" x14ac:dyDescent="0.2">
      <c r="A513" s="13"/>
      <c r="B513" s="19" t="s">
        <v>52</v>
      </c>
      <c r="C513" s="15"/>
      <c r="D513" s="14">
        <v>2</v>
      </c>
      <c r="E513" s="15">
        <f t="shared" si="40"/>
        <v>63.587999999999994</v>
      </c>
      <c r="F513" s="14"/>
      <c r="G513" s="15">
        <f t="shared" si="39"/>
        <v>0</v>
      </c>
      <c r="H513" s="14"/>
      <c r="I513" s="15">
        <f t="shared" si="41"/>
        <v>25.5</v>
      </c>
      <c r="J513" s="14"/>
      <c r="K513" s="16" t="s">
        <v>452</v>
      </c>
    </row>
    <row r="514" spans="1:11" ht="12.6" customHeight="1" x14ac:dyDescent="0.2">
      <c r="A514" s="19"/>
      <c r="B514" s="19"/>
      <c r="C514" s="36">
        <f>SUM(C488:C513)</f>
        <v>31.25</v>
      </c>
      <c r="D514" s="36">
        <f>SUM(D488:D513)</f>
        <v>17</v>
      </c>
      <c r="E514" s="36"/>
      <c r="F514" s="37"/>
      <c r="G514" s="36">
        <f>SUM(G488:G513)</f>
        <v>31.25</v>
      </c>
      <c r="H514" s="36">
        <f>SUM(H488:H513)</f>
        <v>18</v>
      </c>
      <c r="I514" s="15"/>
      <c r="J514" s="14"/>
      <c r="K514" s="16"/>
    </row>
    <row r="515" spans="1:11" ht="12.6" customHeight="1" x14ac:dyDescent="0.2">
      <c r="H515" s="27" t="s">
        <v>23</v>
      </c>
      <c r="J515" s="27" t="s">
        <v>31</v>
      </c>
    </row>
    <row r="522" spans="1:11" ht="12.6" customHeight="1" x14ac:dyDescent="0.2">
      <c r="A522" s="102" t="str">
        <f>A1</f>
        <v>ONAL, EDMON L.</v>
      </c>
      <c r="B522" s="102"/>
      <c r="C522" s="102"/>
      <c r="D522" s="102"/>
      <c r="E522" s="102"/>
      <c r="F522" s="102"/>
      <c r="G522" s="102"/>
      <c r="H522" s="1"/>
      <c r="I522" s="103" t="s">
        <v>0</v>
      </c>
      <c r="J522" s="103"/>
      <c r="K522" s="2" t="str">
        <f>K1</f>
        <v>SEPTEMBER 01, 1995</v>
      </c>
    </row>
    <row r="524" spans="1:11" ht="12.6" customHeight="1" x14ac:dyDescent="0.2">
      <c r="A524" s="104" t="s">
        <v>1</v>
      </c>
      <c r="B524" s="104" t="s">
        <v>2</v>
      </c>
      <c r="C524" s="107" t="s">
        <v>3</v>
      </c>
      <c r="D524" s="108"/>
      <c r="E524" s="108"/>
      <c r="F524" s="109"/>
      <c r="G524" s="107" t="s">
        <v>4</v>
      </c>
      <c r="H524" s="108"/>
      <c r="I524" s="108"/>
      <c r="J524" s="109"/>
      <c r="K524" s="4"/>
    </row>
    <row r="525" spans="1:11" ht="12.6" customHeight="1" x14ac:dyDescent="0.2">
      <c r="A525" s="105"/>
      <c r="B525" s="105"/>
      <c r="C525" s="94" t="s">
        <v>6</v>
      </c>
      <c r="D525" s="5" t="s">
        <v>7</v>
      </c>
      <c r="E525" s="94" t="s">
        <v>8</v>
      </c>
      <c r="F525" s="6" t="s">
        <v>7</v>
      </c>
      <c r="G525" s="94" t="s">
        <v>6</v>
      </c>
      <c r="H525" s="5" t="s">
        <v>7</v>
      </c>
      <c r="I525" s="94" t="s">
        <v>8</v>
      </c>
      <c r="J525" s="1" t="s">
        <v>7</v>
      </c>
      <c r="K525" s="7"/>
    </row>
    <row r="526" spans="1:11" ht="12.6" customHeight="1" x14ac:dyDescent="0.2">
      <c r="A526" s="105"/>
      <c r="B526" s="105"/>
      <c r="C526" s="95"/>
      <c r="D526" s="8" t="s">
        <v>10</v>
      </c>
      <c r="E526" s="95"/>
      <c r="F526" s="6" t="s">
        <v>10</v>
      </c>
      <c r="G526" s="95"/>
      <c r="H526" s="8" t="s">
        <v>10</v>
      </c>
      <c r="I526" s="95"/>
      <c r="J526" s="1" t="s">
        <v>10</v>
      </c>
      <c r="K526" s="7"/>
    </row>
    <row r="527" spans="1:11" ht="12.6" customHeight="1" x14ac:dyDescent="0.2">
      <c r="A527" s="106"/>
      <c r="B527" s="106"/>
      <c r="C527" s="96"/>
      <c r="D527" s="9" t="s">
        <v>12</v>
      </c>
      <c r="E527" s="96"/>
      <c r="F527" s="10" t="s">
        <v>13</v>
      </c>
      <c r="G527" s="96"/>
      <c r="H527" s="9" t="s">
        <v>12</v>
      </c>
      <c r="I527" s="96"/>
      <c r="J527" s="11" t="s">
        <v>13</v>
      </c>
      <c r="K527" s="12"/>
    </row>
    <row r="528" spans="1:11" ht="12.6" customHeight="1" x14ac:dyDescent="0.2">
      <c r="A528" s="13">
        <v>41281</v>
      </c>
      <c r="B528" s="19"/>
      <c r="C528" s="15">
        <v>2.5</v>
      </c>
      <c r="D528" s="14"/>
      <c r="E528" s="15">
        <f>E513+C528-D528</f>
        <v>66.087999999999994</v>
      </c>
      <c r="F528" s="14"/>
      <c r="G528" s="15">
        <f t="shared" ref="G528:G553" si="42">C528</f>
        <v>2.5</v>
      </c>
      <c r="H528" s="14"/>
      <c r="I528" s="15">
        <f>I513+G528-H528</f>
        <v>28</v>
      </c>
      <c r="J528" s="14"/>
      <c r="K528" s="16"/>
    </row>
    <row r="529" spans="1:11" ht="12.6" customHeight="1" x14ac:dyDescent="0.2">
      <c r="A529" s="13"/>
      <c r="B529" s="19" t="s">
        <v>45</v>
      </c>
      <c r="C529" s="15"/>
      <c r="D529" s="14"/>
      <c r="E529" s="15">
        <f>E528+C529-D529</f>
        <v>66.087999999999994</v>
      </c>
      <c r="F529" s="14"/>
      <c r="G529" s="15">
        <f t="shared" si="42"/>
        <v>0</v>
      </c>
      <c r="H529" s="14"/>
      <c r="I529" s="15">
        <f>I528+G529-H529</f>
        <v>28</v>
      </c>
      <c r="J529" s="14"/>
      <c r="K529" s="13">
        <v>41585</v>
      </c>
    </row>
    <row r="530" spans="1:11" ht="12.6" customHeight="1" x14ac:dyDescent="0.2">
      <c r="A530" s="13">
        <v>41282</v>
      </c>
      <c r="B530" s="19"/>
      <c r="C530" s="15">
        <v>1.25</v>
      </c>
      <c r="D530" s="14"/>
      <c r="E530" s="15">
        <f t="shared" ref="E530:E553" si="43">E529+C530-D530</f>
        <v>67.337999999999994</v>
      </c>
      <c r="F530" s="14"/>
      <c r="G530" s="15">
        <f t="shared" si="42"/>
        <v>1.25</v>
      </c>
      <c r="H530" s="14"/>
      <c r="I530" s="15">
        <f t="shared" ref="I530:I553" si="44">I529+G530-H530</f>
        <v>29.25</v>
      </c>
      <c r="J530" s="14"/>
      <c r="K530" s="13"/>
    </row>
    <row r="531" spans="1:11" ht="12.6" customHeight="1" x14ac:dyDescent="0.2">
      <c r="A531" s="13"/>
      <c r="B531" s="19" t="s">
        <v>47</v>
      </c>
      <c r="C531" s="15"/>
      <c r="D531" s="14"/>
      <c r="E531" s="15">
        <f t="shared" si="43"/>
        <v>67.337999999999994</v>
      </c>
      <c r="F531" s="14"/>
      <c r="G531" s="15">
        <f t="shared" si="42"/>
        <v>0</v>
      </c>
      <c r="H531" s="14">
        <v>1</v>
      </c>
      <c r="I531" s="15">
        <f t="shared" si="44"/>
        <v>28.25</v>
      </c>
      <c r="J531" s="14"/>
      <c r="K531" s="16" t="s">
        <v>453</v>
      </c>
    </row>
    <row r="532" spans="1:11" ht="12.6" customHeight="1" x14ac:dyDescent="0.2">
      <c r="A532" s="13">
        <v>41283</v>
      </c>
      <c r="B532" s="19"/>
      <c r="C532" s="15">
        <v>1.25</v>
      </c>
      <c r="D532" s="14"/>
      <c r="E532" s="15">
        <f t="shared" si="43"/>
        <v>68.587999999999994</v>
      </c>
      <c r="F532" s="14"/>
      <c r="G532" s="15">
        <f t="shared" si="42"/>
        <v>1.25</v>
      </c>
      <c r="H532" s="14"/>
      <c r="I532" s="15">
        <f t="shared" si="44"/>
        <v>29.5</v>
      </c>
      <c r="J532" s="14"/>
      <c r="K532" s="13"/>
    </row>
    <row r="533" spans="1:11" ht="12.6" customHeight="1" x14ac:dyDescent="0.2">
      <c r="A533" s="13"/>
      <c r="B533" s="19" t="s">
        <v>47</v>
      </c>
      <c r="C533" s="15"/>
      <c r="D533" s="14"/>
      <c r="E533" s="15">
        <f t="shared" si="43"/>
        <v>68.587999999999994</v>
      </c>
      <c r="F533" s="14"/>
      <c r="G533" s="15">
        <f t="shared" si="42"/>
        <v>0</v>
      </c>
      <c r="H533" s="14">
        <v>1</v>
      </c>
      <c r="I533" s="15">
        <f t="shared" si="44"/>
        <v>28.5</v>
      </c>
      <c r="J533" s="14"/>
      <c r="K533" s="13">
        <v>41342</v>
      </c>
    </row>
    <row r="534" spans="1:11" ht="12.6" customHeight="1" x14ac:dyDescent="0.2">
      <c r="A534" s="13">
        <v>41284</v>
      </c>
      <c r="B534" s="19"/>
      <c r="C534" s="15">
        <v>1.25</v>
      </c>
      <c r="D534" s="14"/>
      <c r="E534" s="15">
        <f t="shared" si="43"/>
        <v>69.837999999999994</v>
      </c>
      <c r="F534" s="14"/>
      <c r="G534" s="15">
        <f t="shared" si="42"/>
        <v>1.25</v>
      </c>
      <c r="H534" s="14"/>
      <c r="I534" s="15">
        <f t="shared" si="44"/>
        <v>29.75</v>
      </c>
      <c r="J534" s="14"/>
      <c r="K534" s="13"/>
    </row>
    <row r="535" spans="1:11" ht="12.6" customHeight="1" x14ac:dyDescent="0.2">
      <c r="A535" s="13"/>
      <c r="B535" s="19" t="s">
        <v>67</v>
      </c>
      <c r="C535" s="15"/>
      <c r="D535" s="14"/>
      <c r="E535" s="15">
        <f t="shared" si="43"/>
        <v>69.837999999999994</v>
      </c>
      <c r="F535" s="14"/>
      <c r="G535" s="15">
        <f t="shared" si="42"/>
        <v>0</v>
      </c>
      <c r="H535" s="14">
        <v>3</v>
      </c>
      <c r="I535" s="15">
        <f t="shared" si="44"/>
        <v>26.75</v>
      </c>
      <c r="J535" s="14"/>
      <c r="K535" s="13" t="s">
        <v>454</v>
      </c>
    </row>
    <row r="536" spans="1:11" ht="12.6" customHeight="1" x14ac:dyDescent="0.2">
      <c r="A536" s="13">
        <v>41285</v>
      </c>
      <c r="B536" s="19"/>
      <c r="C536" s="15">
        <v>1.25</v>
      </c>
      <c r="D536" s="14"/>
      <c r="E536" s="15">
        <f t="shared" si="43"/>
        <v>71.087999999999994</v>
      </c>
      <c r="F536" s="14"/>
      <c r="G536" s="15">
        <f t="shared" si="42"/>
        <v>1.25</v>
      </c>
      <c r="H536" s="14"/>
      <c r="I536" s="15">
        <f t="shared" si="44"/>
        <v>28</v>
      </c>
      <c r="J536" s="14"/>
      <c r="K536" s="16"/>
    </row>
    <row r="537" spans="1:11" ht="12.6" customHeight="1" x14ac:dyDescent="0.2">
      <c r="A537" s="13"/>
      <c r="B537" s="19" t="s">
        <v>67</v>
      </c>
      <c r="C537" s="15"/>
      <c r="D537" s="14"/>
      <c r="E537" s="15">
        <f t="shared" si="43"/>
        <v>71.087999999999994</v>
      </c>
      <c r="F537" s="14"/>
      <c r="G537" s="15">
        <f t="shared" si="42"/>
        <v>0</v>
      </c>
      <c r="H537" s="14">
        <v>3</v>
      </c>
      <c r="I537" s="15">
        <f t="shared" si="44"/>
        <v>25</v>
      </c>
      <c r="J537" s="14"/>
      <c r="K537" s="16" t="s">
        <v>455</v>
      </c>
    </row>
    <row r="538" spans="1:11" ht="12.6" customHeight="1" x14ac:dyDescent="0.2">
      <c r="A538" s="13">
        <v>41286</v>
      </c>
      <c r="B538" s="19"/>
      <c r="C538" s="15">
        <v>1.25</v>
      </c>
      <c r="D538" s="14"/>
      <c r="E538" s="15">
        <f t="shared" si="43"/>
        <v>72.337999999999994</v>
      </c>
      <c r="F538" s="14"/>
      <c r="G538" s="15">
        <f t="shared" si="42"/>
        <v>1.25</v>
      </c>
      <c r="H538" s="14"/>
      <c r="I538" s="15">
        <f t="shared" si="44"/>
        <v>26.25</v>
      </c>
      <c r="J538" s="14"/>
      <c r="K538" s="16"/>
    </row>
    <row r="539" spans="1:11" ht="12.6" customHeight="1" x14ac:dyDescent="0.2">
      <c r="A539" s="13"/>
      <c r="B539" s="19" t="s">
        <v>47</v>
      </c>
      <c r="C539" s="15"/>
      <c r="D539" s="14"/>
      <c r="E539" s="15">
        <f t="shared" si="43"/>
        <v>72.337999999999994</v>
      </c>
      <c r="F539" s="14"/>
      <c r="G539" s="15">
        <f t="shared" si="42"/>
        <v>0</v>
      </c>
      <c r="H539" s="14">
        <v>1</v>
      </c>
      <c r="I539" s="15">
        <f t="shared" si="44"/>
        <v>25.25</v>
      </c>
      <c r="J539" s="14"/>
      <c r="K539" s="13">
        <v>41529</v>
      </c>
    </row>
    <row r="540" spans="1:11" ht="12.6" customHeight="1" x14ac:dyDescent="0.2">
      <c r="A540" s="13"/>
      <c r="B540" s="19" t="s">
        <v>95</v>
      </c>
      <c r="C540" s="15"/>
      <c r="D540" s="14">
        <v>3</v>
      </c>
      <c r="E540" s="15">
        <f t="shared" si="43"/>
        <v>69.337999999999994</v>
      </c>
      <c r="F540" s="14"/>
      <c r="G540" s="15">
        <f t="shared" si="42"/>
        <v>0</v>
      </c>
      <c r="H540" s="14"/>
      <c r="I540" s="15">
        <f t="shared" si="44"/>
        <v>25.25</v>
      </c>
      <c r="J540" s="14"/>
      <c r="K540" s="13" t="s">
        <v>456</v>
      </c>
    </row>
    <row r="541" spans="1:11" ht="12.6" customHeight="1" x14ac:dyDescent="0.2">
      <c r="A541" s="13"/>
      <c r="B541" s="19" t="s">
        <v>52</v>
      </c>
      <c r="C541" s="15"/>
      <c r="D541" s="14"/>
      <c r="E541" s="15">
        <f t="shared" si="43"/>
        <v>69.337999999999994</v>
      </c>
      <c r="F541" s="14"/>
      <c r="G541" s="15">
        <f t="shared" si="42"/>
        <v>0</v>
      </c>
      <c r="H541" s="14">
        <v>2</v>
      </c>
      <c r="I541" s="15">
        <f t="shared" si="44"/>
        <v>23.25</v>
      </c>
      <c r="J541" s="14"/>
      <c r="K541" s="13" t="s">
        <v>448</v>
      </c>
    </row>
    <row r="542" spans="1:11" ht="12.6" customHeight="1" x14ac:dyDescent="0.2">
      <c r="A542" s="13">
        <v>41640</v>
      </c>
      <c r="B542" s="19"/>
      <c r="C542" s="15">
        <v>1.25</v>
      </c>
      <c r="D542" s="14"/>
      <c r="E542" s="15">
        <f t="shared" si="43"/>
        <v>70.587999999999994</v>
      </c>
      <c r="F542" s="14"/>
      <c r="G542" s="15">
        <f t="shared" si="42"/>
        <v>1.25</v>
      </c>
      <c r="H542" s="14"/>
      <c r="I542" s="15">
        <f t="shared" si="44"/>
        <v>24.5</v>
      </c>
      <c r="J542" s="14"/>
      <c r="K542" s="13"/>
    </row>
    <row r="543" spans="1:11" ht="12.6" customHeight="1" x14ac:dyDescent="0.2">
      <c r="A543" s="13"/>
      <c r="B543" s="19" t="s">
        <v>52</v>
      </c>
      <c r="C543" s="15"/>
      <c r="D543" s="14"/>
      <c r="E543" s="15">
        <f t="shared" si="43"/>
        <v>70.587999999999994</v>
      </c>
      <c r="F543" s="14"/>
      <c r="G543" s="15">
        <f t="shared" si="42"/>
        <v>0</v>
      </c>
      <c r="H543" s="14">
        <v>2</v>
      </c>
      <c r="I543" s="15">
        <f t="shared" si="44"/>
        <v>22.5</v>
      </c>
      <c r="J543" s="14"/>
      <c r="K543" s="13" t="s">
        <v>449</v>
      </c>
    </row>
    <row r="544" spans="1:11" ht="12.6" customHeight="1" x14ac:dyDescent="0.2">
      <c r="A544" s="16"/>
      <c r="B544" s="19" t="s">
        <v>47</v>
      </c>
      <c r="C544" s="15"/>
      <c r="D544" s="14"/>
      <c r="E544" s="15">
        <f t="shared" si="43"/>
        <v>70.587999999999994</v>
      </c>
      <c r="F544" s="14"/>
      <c r="G544" s="15">
        <f t="shared" si="42"/>
        <v>0</v>
      </c>
      <c r="H544" s="14">
        <v>1</v>
      </c>
      <c r="I544" s="15">
        <f t="shared" si="44"/>
        <v>21.5</v>
      </c>
      <c r="J544" s="14"/>
      <c r="K544" s="13" t="s">
        <v>457</v>
      </c>
    </row>
    <row r="545" spans="1:11" ht="12.6" customHeight="1" x14ac:dyDescent="0.2">
      <c r="A545" s="13">
        <v>41641</v>
      </c>
      <c r="B545" s="19"/>
      <c r="C545" s="15">
        <v>1.25</v>
      </c>
      <c r="D545" s="15"/>
      <c r="E545" s="15">
        <f t="shared" si="43"/>
        <v>71.837999999999994</v>
      </c>
      <c r="F545" s="14"/>
      <c r="G545" s="15">
        <f t="shared" si="42"/>
        <v>1.25</v>
      </c>
      <c r="H545" s="14"/>
      <c r="I545" s="15">
        <f t="shared" si="44"/>
        <v>22.75</v>
      </c>
      <c r="J545" s="14"/>
      <c r="K545" s="13"/>
    </row>
    <row r="546" spans="1:11" ht="12.6" customHeight="1" x14ac:dyDescent="0.2">
      <c r="A546" s="13"/>
      <c r="B546" s="19" t="s">
        <v>74</v>
      </c>
      <c r="C546" s="15"/>
      <c r="D546" s="14">
        <v>1</v>
      </c>
      <c r="E546" s="15">
        <f t="shared" si="43"/>
        <v>70.837999999999994</v>
      </c>
      <c r="F546" s="14"/>
      <c r="G546" s="15">
        <f t="shared" si="42"/>
        <v>0</v>
      </c>
      <c r="H546" s="14"/>
      <c r="I546" s="15">
        <f t="shared" si="44"/>
        <v>22.75</v>
      </c>
      <c r="J546" s="14"/>
      <c r="K546" s="13">
        <v>41945</v>
      </c>
    </row>
    <row r="547" spans="1:11" ht="12.6" customHeight="1" x14ac:dyDescent="0.2">
      <c r="A547" s="16"/>
      <c r="B547" s="19" t="s">
        <v>166</v>
      </c>
      <c r="C547" s="15"/>
      <c r="D547" s="15"/>
      <c r="E547" s="15">
        <f t="shared" si="43"/>
        <v>70.837999999999994</v>
      </c>
      <c r="F547" s="14"/>
      <c r="G547" s="15">
        <f t="shared" si="42"/>
        <v>0</v>
      </c>
      <c r="H547" s="14"/>
      <c r="I547" s="15">
        <f t="shared" si="44"/>
        <v>22.75</v>
      </c>
      <c r="J547" s="14"/>
      <c r="K547" s="13" t="s">
        <v>458</v>
      </c>
    </row>
    <row r="548" spans="1:11" ht="12.6" customHeight="1" x14ac:dyDescent="0.2">
      <c r="A548" s="13">
        <v>41643</v>
      </c>
      <c r="B548" s="19"/>
      <c r="C548" s="15">
        <v>2.5</v>
      </c>
      <c r="D548" s="14"/>
      <c r="E548" s="15">
        <f t="shared" si="43"/>
        <v>73.337999999999994</v>
      </c>
      <c r="F548" s="14"/>
      <c r="G548" s="15">
        <f t="shared" si="42"/>
        <v>2.5</v>
      </c>
      <c r="H548" s="14"/>
      <c r="I548" s="15">
        <f t="shared" si="44"/>
        <v>25.25</v>
      </c>
      <c r="J548" s="14"/>
      <c r="K548" s="16"/>
    </row>
    <row r="549" spans="1:11" ht="12.6" customHeight="1" x14ac:dyDescent="0.2">
      <c r="A549" s="13"/>
      <c r="B549" s="19" t="s">
        <v>47</v>
      </c>
      <c r="C549" s="15"/>
      <c r="D549" s="14"/>
      <c r="E549" s="15">
        <f t="shared" si="43"/>
        <v>73.337999999999994</v>
      </c>
      <c r="F549" s="14"/>
      <c r="G549" s="15">
        <f t="shared" si="42"/>
        <v>0</v>
      </c>
      <c r="H549" s="14">
        <v>1</v>
      </c>
      <c r="I549" s="15">
        <f t="shared" si="44"/>
        <v>24.25</v>
      </c>
      <c r="J549" s="14"/>
      <c r="K549" s="13" t="s">
        <v>459</v>
      </c>
    </row>
    <row r="550" spans="1:11" ht="12.6" customHeight="1" x14ac:dyDescent="0.2">
      <c r="A550" s="13">
        <v>41644</v>
      </c>
      <c r="B550" s="19"/>
      <c r="C550" s="15">
        <v>1.25</v>
      </c>
      <c r="D550" s="14"/>
      <c r="E550" s="15">
        <f t="shared" si="43"/>
        <v>74.587999999999994</v>
      </c>
      <c r="F550" s="14"/>
      <c r="G550" s="15">
        <f t="shared" si="42"/>
        <v>1.25</v>
      </c>
      <c r="H550" s="14"/>
      <c r="I550" s="15">
        <f t="shared" si="44"/>
        <v>25.5</v>
      </c>
      <c r="J550" s="14"/>
      <c r="K550" s="13"/>
    </row>
    <row r="551" spans="1:11" ht="12.6" customHeight="1" x14ac:dyDescent="0.2">
      <c r="A551" s="13"/>
      <c r="B551" s="19" t="s">
        <v>76</v>
      </c>
      <c r="C551" s="15"/>
      <c r="D551" s="14">
        <v>2</v>
      </c>
      <c r="E551" s="15">
        <f t="shared" si="43"/>
        <v>72.587999999999994</v>
      </c>
      <c r="F551" s="14"/>
      <c r="G551" s="15">
        <f t="shared" si="42"/>
        <v>0</v>
      </c>
      <c r="H551" s="14"/>
      <c r="I551" s="15">
        <f t="shared" si="44"/>
        <v>25.5</v>
      </c>
      <c r="J551" s="14"/>
      <c r="K551" s="13" t="s">
        <v>460</v>
      </c>
    </row>
    <row r="552" spans="1:11" ht="12.6" customHeight="1" x14ac:dyDescent="0.2">
      <c r="A552" s="13">
        <v>41645</v>
      </c>
      <c r="B552" s="19"/>
      <c r="C552" s="15">
        <v>1.25</v>
      </c>
      <c r="D552" s="14"/>
      <c r="E552" s="15">
        <f t="shared" si="43"/>
        <v>73.837999999999994</v>
      </c>
      <c r="F552" s="14"/>
      <c r="G552" s="15">
        <f t="shared" si="42"/>
        <v>1.25</v>
      </c>
      <c r="H552" s="14"/>
      <c r="I552" s="15">
        <f t="shared" si="44"/>
        <v>26.75</v>
      </c>
      <c r="J552" s="14"/>
      <c r="K552" s="16"/>
    </row>
    <row r="553" spans="1:11" ht="12.6" customHeight="1" x14ac:dyDescent="0.2">
      <c r="A553" s="13"/>
      <c r="B553" s="19" t="s">
        <v>67</v>
      </c>
      <c r="C553" s="15"/>
      <c r="D553" s="14"/>
      <c r="E553" s="15">
        <f t="shared" si="43"/>
        <v>73.837999999999994</v>
      </c>
      <c r="F553" s="14"/>
      <c r="G553" s="15">
        <f t="shared" si="42"/>
        <v>0</v>
      </c>
      <c r="H553" s="14">
        <v>3</v>
      </c>
      <c r="I553" s="15">
        <f t="shared" si="44"/>
        <v>23.75</v>
      </c>
      <c r="J553" s="14"/>
      <c r="K553" s="16" t="s">
        <v>461</v>
      </c>
    </row>
    <row r="554" spans="1:11" ht="12.6" customHeight="1" x14ac:dyDescent="0.2">
      <c r="A554" s="19"/>
      <c r="B554" s="19"/>
      <c r="C554" s="36">
        <f>SUM(C528:C553)</f>
        <v>16.25</v>
      </c>
      <c r="D554" s="36">
        <f>SUM(D528:D553)</f>
        <v>6</v>
      </c>
      <c r="E554" s="36"/>
      <c r="F554" s="37"/>
      <c r="G554" s="36">
        <f>SUM(G528:G553)</f>
        <v>16.25</v>
      </c>
      <c r="H554" s="36">
        <f>SUM(H528:H553)</f>
        <v>18</v>
      </c>
      <c r="I554" s="15"/>
      <c r="J554" s="14"/>
      <c r="K554" s="16"/>
    </row>
    <row r="555" spans="1:11" ht="12.6" customHeight="1" x14ac:dyDescent="0.2">
      <c r="H555" s="27" t="s">
        <v>23</v>
      </c>
      <c r="J555" s="27" t="s">
        <v>32</v>
      </c>
    </row>
    <row r="556" spans="1:11" ht="12.6" customHeight="1" x14ac:dyDescent="0.2"/>
    <row r="557" spans="1:11" ht="12.6" customHeight="1" x14ac:dyDescent="0.2">
      <c r="A557" s="102" t="str">
        <f>A1</f>
        <v>ONAL, EDMON L.</v>
      </c>
      <c r="B557" s="102"/>
      <c r="C557" s="102"/>
      <c r="D557" s="102"/>
      <c r="E557" s="102"/>
      <c r="F557" s="102"/>
      <c r="G557" s="102"/>
      <c r="H557" s="1"/>
      <c r="I557" s="103" t="s">
        <v>0</v>
      </c>
      <c r="J557" s="103"/>
      <c r="K557" s="2" t="s">
        <v>212</v>
      </c>
    </row>
    <row r="558" spans="1:11" ht="12.6" customHeight="1" x14ac:dyDescent="0.2"/>
    <row r="559" spans="1:11" ht="12.6" customHeight="1" x14ac:dyDescent="0.2">
      <c r="A559" s="104" t="s">
        <v>1</v>
      </c>
      <c r="B559" s="104" t="s">
        <v>2</v>
      </c>
      <c r="C559" s="107" t="s">
        <v>3</v>
      </c>
      <c r="D559" s="108"/>
      <c r="E559" s="108"/>
      <c r="F559" s="109"/>
      <c r="G559" s="107" t="s">
        <v>4</v>
      </c>
      <c r="H559" s="108"/>
      <c r="I559" s="108"/>
      <c r="J559" s="109"/>
      <c r="K559" s="4"/>
    </row>
    <row r="560" spans="1:11" ht="12.6" customHeight="1" x14ac:dyDescent="0.2">
      <c r="A560" s="105"/>
      <c r="B560" s="105"/>
      <c r="C560" s="94" t="s">
        <v>6</v>
      </c>
      <c r="D560" s="5" t="s">
        <v>7</v>
      </c>
      <c r="E560" s="94" t="s">
        <v>8</v>
      </c>
      <c r="F560" s="6" t="s">
        <v>7</v>
      </c>
      <c r="G560" s="94" t="s">
        <v>6</v>
      </c>
      <c r="H560" s="5" t="s">
        <v>7</v>
      </c>
      <c r="I560" s="94" t="s">
        <v>8</v>
      </c>
      <c r="J560" s="1" t="s">
        <v>7</v>
      </c>
      <c r="K560" s="7"/>
    </row>
    <row r="561" spans="1:11" ht="12.6" customHeight="1" x14ac:dyDescent="0.2">
      <c r="A561" s="105"/>
      <c r="B561" s="105"/>
      <c r="C561" s="95"/>
      <c r="D561" s="8" t="s">
        <v>10</v>
      </c>
      <c r="E561" s="95"/>
      <c r="F561" s="6" t="s">
        <v>10</v>
      </c>
      <c r="G561" s="95"/>
      <c r="H561" s="8" t="s">
        <v>10</v>
      </c>
      <c r="I561" s="95"/>
      <c r="J561" s="1" t="s">
        <v>10</v>
      </c>
      <c r="K561" s="7"/>
    </row>
    <row r="562" spans="1:11" ht="12.6" customHeight="1" x14ac:dyDescent="0.2">
      <c r="A562" s="106"/>
      <c r="B562" s="106"/>
      <c r="C562" s="96"/>
      <c r="D562" s="9" t="s">
        <v>12</v>
      </c>
      <c r="E562" s="96"/>
      <c r="F562" s="10" t="s">
        <v>13</v>
      </c>
      <c r="G562" s="96"/>
      <c r="H562" s="9" t="s">
        <v>12</v>
      </c>
      <c r="I562" s="96"/>
      <c r="J562" s="11" t="s">
        <v>13</v>
      </c>
      <c r="K562" s="12"/>
    </row>
    <row r="563" spans="1:11" ht="12.6" customHeight="1" x14ac:dyDescent="0.2">
      <c r="A563" s="13"/>
      <c r="B563" s="19" t="s">
        <v>74</v>
      </c>
      <c r="C563" s="15"/>
      <c r="D563" s="14">
        <v>1</v>
      </c>
      <c r="E563" s="15">
        <f>E553+C563-D563</f>
        <v>72.837999999999994</v>
      </c>
      <c r="F563" s="14"/>
      <c r="G563" s="15">
        <f t="shared" ref="G563:G588" si="45">C563</f>
        <v>0</v>
      </c>
      <c r="H563" s="14"/>
      <c r="I563" s="15">
        <f>I553+G563-H563</f>
        <v>23.75</v>
      </c>
      <c r="J563" s="14"/>
      <c r="K563" s="16" t="s">
        <v>462</v>
      </c>
    </row>
    <row r="564" spans="1:11" ht="12.6" customHeight="1" x14ac:dyDescent="0.2">
      <c r="A564" s="13">
        <v>41646</v>
      </c>
      <c r="B564" s="19"/>
      <c r="C564" s="15">
        <v>1.25</v>
      </c>
      <c r="D564" s="14"/>
      <c r="E564" s="15">
        <f>E563+C564-D564</f>
        <v>74.087999999999994</v>
      </c>
      <c r="F564" s="14"/>
      <c r="G564" s="15">
        <f t="shared" si="45"/>
        <v>1.25</v>
      </c>
      <c r="H564" s="14"/>
      <c r="I564" s="15">
        <f>I563+G564-H564</f>
        <v>25</v>
      </c>
      <c r="J564" s="14"/>
      <c r="K564" s="13"/>
    </row>
    <row r="565" spans="1:11" ht="12.6" customHeight="1" x14ac:dyDescent="0.2">
      <c r="A565" s="13"/>
      <c r="B565" s="19" t="s">
        <v>296</v>
      </c>
      <c r="C565" s="15"/>
      <c r="D565" s="14">
        <v>1.5</v>
      </c>
      <c r="E565" s="15">
        <f t="shared" ref="E565:E588" si="46">E564+C565-D565</f>
        <v>72.587999999999994</v>
      </c>
      <c r="F565" s="14"/>
      <c r="G565" s="15">
        <f t="shared" si="45"/>
        <v>0</v>
      </c>
      <c r="H565" s="14"/>
      <c r="I565" s="15">
        <f t="shared" ref="I565:I588" si="47">I564+G565-H565</f>
        <v>25</v>
      </c>
      <c r="J565" s="14"/>
      <c r="K565" s="13" t="s">
        <v>463</v>
      </c>
    </row>
    <row r="566" spans="1:11" ht="12.6" customHeight="1" x14ac:dyDescent="0.2">
      <c r="A566" s="13"/>
      <c r="B566" s="19" t="s">
        <v>67</v>
      </c>
      <c r="C566" s="15"/>
      <c r="D566" s="14"/>
      <c r="E566" s="15">
        <f t="shared" si="46"/>
        <v>72.587999999999994</v>
      </c>
      <c r="F566" s="14"/>
      <c r="G566" s="15">
        <f t="shared" si="45"/>
        <v>0</v>
      </c>
      <c r="H566" s="14">
        <v>3</v>
      </c>
      <c r="I566" s="15">
        <f t="shared" si="47"/>
        <v>22</v>
      </c>
      <c r="J566" s="14"/>
      <c r="K566" s="16" t="s">
        <v>464</v>
      </c>
    </row>
    <row r="567" spans="1:11" ht="12.6" customHeight="1" x14ac:dyDescent="0.2">
      <c r="A567" s="13"/>
      <c r="B567" s="19" t="s">
        <v>47</v>
      </c>
      <c r="C567" s="15"/>
      <c r="D567" s="14"/>
      <c r="E567" s="15">
        <f t="shared" si="46"/>
        <v>72.587999999999994</v>
      </c>
      <c r="F567" s="14"/>
      <c r="G567" s="15">
        <f t="shared" si="45"/>
        <v>0</v>
      </c>
      <c r="H567" s="14">
        <v>1</v>
      </c>
      <c r="I567" s="15">
        <f t="shared" si="47"/>
        <v>21</v>
      </c>
      <c r="J567" s="14"/>
      <c r="K567" s="13">
        <v>41919</v>
      </c>
    </row>
    <row r="568" spans="1:11" ht="12.6" customHeight="1" x14ac:dyDescent="0.2">
      <c r="A568" s="13"/>
      <c r="B568" s="19" t="s">
        <v>45</v>
      </c>
      <c r="C568" s="15"/>
      <c r="D568" s="14"/>
      <c r="E568" s="15">
        <f t="shared" si="46"/>
        <v>72.587999999999994</v>
      </c>
      <c r="F568" s="14"/>
      <c r="G568" s="15">
        <f t="shared" si="45"/>
        <v>0</v>
      </c>
      <c r="H568" s="14"/>
      <c r="I568" s="15">
        <f t="shared" si="47"/>
        <v>21</v>
      </c>
      <c r="J568" s="14"/>
      <c r="K568" s="16" t="s">
        <v>465</v>
      </c>
    </row>
    <row r="569" spans="1:11" ht="12.6" customHeight="1" x14ac:dyDescent="0.2">
      <c r="A569" s="13">
        <v>41647</v>
      </c>
      <c r="B569" s="19"/>
      <c r="C569" s="15">
        <v>1.25</v>
      </c>
      <c r="D569" s="14"/>
      <c r="E569" s="15">
        <f t="shared" si="46"/>
        <v>73.837999999999994</v>
      </c>
      <c r="F569" s="14"/>
      <c r="G569" s="15">
        <f t="shared" si="45"/>
        <v>1.25</v>
      </c>
      <c r="H569" s="14"/>
      <c r="I569" s="15">
        <f t="shared" si="47"/>
        <v>22.25</v>
      </c>
      <c r="J569" s="14"/>
      <c r="K569" s="13"/>
    </row>
    <row r="570" spans="1:11" ht="12.6" customHeight="1" x14ac:dyDescent="0.2">
      <c r="A570" s="13"/>
      <c r="B570" s="19" t="s">
        <v>52</v>
      </c>
      <c r="C570" s="15"/>
      <c r="D570" s="14"/>
      <c r="E570" s="15">
        <f t="shared" si="46"/>
        <v>73.837999999999994</v>
      </c>
      <c r="F570" s="14"/>
      <c r="G570" s="15">
        <f t="shared" si="45"/>
        <v>0</v>
      </c>
      <c r="H570" s="14">
        <v>2</v>
      </c>
      <c r="I570" s="15">
        <f t="shared" si="47"/>
        <v>20.25</v>
      </c>
      <c r="J570" s="14"/>
      <c r="K570" s="13" t="s">
        <v>466</v>
      </c>
    </row>
    <row r="571" spans="1:11" ht="12.6" customHeight="1" x14ac:dyDescent="0.2">
      <c r="A571" s="13"/>
      <c r="B571" s="19" t="s">
        <v>95</v>
      </c>
      <c r="C571" s="15"/>
      <c r="D571" s="14">
        <v>3</v>
      </c>
      <c r="E571" s="15">
        <f t="shared" si="46"/>
        <v>70.837999999999994</v>
      </c>
      <c r="F571" s="14"/>
      <c r="G571" s="15">
        <f>C571</f>
        <v>0</v>
      </c>
      <c r="H571" s="14"/>
      <c r="I571" s="15">
        <f t="shared" si="47"/>
        <v>20.25</v>
      </c>
      <c r="J571" s="14"/>
      <c r="K571" s="16" t="s">
        <v>467</v>
      </c>
    </row>
    <row r="572" spans="1:11" ht="12.6" customHeight="1" x14ac:dyDescent="0.2">
      <c r="A572" s="13">
        <v>41648</v>
      </c>
      <c r="B572" s="19"/>
      <c r="C572" s="15">
        <v>1.25</v>
      </c>
      <c r="D572" s="14"/>
      <c r="E572" s="15">
        <f t="shared" si="46"/>
        <v>72.087999999999994</v>
      </c>
      <c r="F572" s="14"/>
      <c r="G572" s="15">
        <f t="shared" si="45"/>
        <v>1.25</v>
      </c>
      <c r="H572" s="14"/>
      <c r="I572" s="15">
        <f t="shared" si="47"/>
        <v>21.5</v>
      </c>
      <c r="J572" s="14"/>
      <c r="K572" s="16"/>
    </row>
    <row r="573" spans="1:11" ht="12.6" customHeight="1" x14ac:dyDescent="0.2">
      <c r="A573" s="13"/>
      <c r="B573" s="19" t="s">
        <v>47</v>
      </c>
      <c r="C573" s="15"/>
      <c r="D573" s="14"/>
      <c r="E573" s="15">
        <f t="shared" si="46"/>
        <v>72.087999999999994</v>
      </c>
      <c r="F573" s="14"/>
      <c r="G573" s="15">
        <f t="shared" si="45"/>
        <v>0</v>
      </c>
      <c r="H573" s="14">
        <v>1</v>
      </c>
      <c r="I573" s="15">
        <f t="shared" si="47"/>
        <v>20.5</v>
      </c>
      <c r="J573" s="14"/>
      <c r="K573" s="16" t="s">
        <v>468</v>
      </c>
    </row>
    <row r="574" spans="1:11" ht="12.6" customHeight="1" x14ac:dyDescent="0.2">
      <c r="A574" s="13">
        <v>41650</v>
      </c>
      <c r="B574" s="19"/>
      <c r="C574" s="15">
        <v>2.5</v>
      </c>
      <c r="D574" s="14"/>
      <c r="E574" s="15">
        <f t="shared" si="46"/>
        <v>74.587999999999994</v>
      </c>
      <c r="F574" s="14"/>
      <c r="G574" s="15">
        <f t="shared" si="45"/>
        <v>2.5</v>
      </c>
      <c r="H574" s="14"/>
      <c r="I574" s="15">
        <f t="shared" si="47"/>
        <v>23</v>
      </c>
      <c r="J574" s="14"/>
      <c r="K574" s="13"/>
    </row>
    <row r="575" spans="1:11" ht="12.6" customHeight="1" x14ac:dyDescent="0.2">
      <c r="A575" s="13"/>
      <c r="B575" s="19" t="s">
        <v>47</v>
      </c>
      <c r="C575" s="15"/>
      <c r="D575" s="14"/>
      <c r="E575" s="15">
        <f t="shared" si="46"/>
        <v>74.587999999999994</v>
      </c>
      <c r="F575" s="14"/>
      <c r="G575" s="15">
        <f t="shared" si="45"/>
        <v>0</v>
      </c>
      <c r="H575" s="14">
        <v>1</v>
      </c>
      <c r="I575" s="15">
        <f t="shared" si="47"/>
        <v>22</v>
      </c>
      <c r="J575" s="14"/>
      <c r="K575" s="13" t="s">
        <v>469</v>
      </c>
    </row>
    <row r="576" spans="1:11" ht="12.6" customHeight="1" x14ac:dyDescent="0.2">
      <c r="A576" s="13">
        <v>42005</v>
      </c>
      <c r="B576" s="19"/>
      <c r="C576" s="15">
        <v>2.5</v>
      </c>
      <c r="D576" s="14"/>
      <c r="E576" s="15">
        <f t="shared" si="46"/>
        <v>77.087999999999994</v>
      </c>
      <c r="F576" s="14"/>
      <c r="G576" s="15">
        <f t="shared" si="45"/>
        <v>2.5</v>
      </c>
      <c r="H576" s="14"/>
      <c r="I576" s="15">
        <f t="shared" si="47"/>
        <v>24.5</v>
      </c>
      <c r="J576" s="14"/>
      <c r="K576" s="13"/>
    </row>
    <row r="577" spans="1:11" ht="12.6" customHeight="1" x14ac:dyDescent="0.2">
      <c r="A577" s="13"/>
      <c r="B577" s="19" t="s">
        <v>47</v>
      </c>
      <c r="C577" s="15"/>
      <c r="D577" s="14"/>
      <c r="E577" s="15">
        <f t="shared" si="46"/>
        <v>77.087999999999994</v>
      </c>
      <c r="F577" s="14"/>
      <c r="G577" s="15">
        <f t="shared" si="45"/>
        <v>0</v>
      </c>
      <c r="H577" s="14">
        <v>1</v>
      </c>
      <c r="I577" s="15">
        <f t="shared" si="47"/>
        <v>23.5</v>
      </c>
      <c r="J577" s="14"/>
      <c r="K577" s="13">
        <v>42186</v>
      </c>
    </row>
    <row r="578" spans="1:11" ht="12.6" customHeight="1" x14ac:dyDescent="0.2">
      <c r="A578" s="13"/>
      <c r="B578" s="19" t="s">
        <v>125</v>
      </c>
      <c r="C578" s="15"/>
      <c r="D578" s="14"/>
      <c r="E578" s="15">
        <f t="shared" si="46"/>
        <v>77.087999999999994</v>
      </c>
      <c r="F578" s="14"/>
      <c r="G578" s="15">
        <f t="shared" si="45"/>
        <v>0</v>
      </c>
      <c r="H578" s="14">
        <v>4</v>
      </c>
      <c r="I578" s="15">
        <f t="shared" si="47"/>
        <v>19.5</v>
      </c>
      <c r="J578" s="14"/>
      <c r="K578" s="13" t="s">
        <v>470</v>
      </c>
    </row>
    <row r="579" spans="1:11" ht="12.6" customHeight="1" x14ac:dyDescent="0.2">
      <c r="A579" s="13">
        <v>42006</v>
      </c>
      <c r="B579" s="19"/>
      <c r="C579" s="15">
        <v>1.25</v>
      </c>
      <c r="D579" s="14"/>
      <c r="E579" s="15">
        <f t="shared" si="46"/>
        <v>78.337999999999994</v>
      </c>
      <c r="F579" s="14"/>
      <c r="G579" s="15">
        <f t="shared" si="45"/>
        <v>1.25</v>
      </c>
      <c r="H579" s="14"/>
      <c r="I579" s="15">
        <f t="shared" si="47"/>
        <v>20.75</v>
      </c>
      <c r="J579" s="14"/>
      <c r="K579" s="13"/>
    </row>
    <row r="580" spans="1:11" ht="12.6" customHeight="1" x14ac:dyDescent="0.2">
      <c r="A580" s="13"/>
      <c r="B580" s="19" t="s">
        <v>271</v>
      </c>
      <c r="C580" s="15"/>
      <c r="D580" s="15"/>
      <c r="E580" s="15">
        <f t="shared" si="46"/>
        <v>78.337999999999994</v>
      </c>
      <c r="F580" s="14"/>
      <c r="G580" s="15">
        <f t="shared" si="45"/>
        <v>0</v>
      </c>
      <c r="H580" s="14">
        <v>5</v>
      </c>
      <c r="I580" s="15">
        <f t="shared" si="47"/>
        <v>15.75</v>
      </c>
      <c r="J580" s="14"/>
      <c r="K580" s="13" t="s">
        <v>474</v>
      </c>
    </row>
    <row r="581" spans="1:11" ht="12.6" customHeight="1" x14ac:dyDescent="0.2">
      <c r="A581" s="13"/>
      <c r="B581" s="19" t="s">
        <v>74</v>
      </c>
      <c r="C581" s="15"/>
      <c r="D581" s="14">
        <v>1</v>
      </c>
      <c r="E581" s="15">
        <f t="shared" si="46"/>
        <v>77.337999999999994</v>
      </c>
      <c r="F581" s="14"/>
      <c r="G581" s="15">
        <f t="shared" si="45"/>
        <v>0</v>
      </c>
      <c r="H581" s="14"/>
      <c r="I581" s="15">
        <f t="shared" si="47"/>
        <v>15.75</v>
      </c>
      <c r="J581" s="14"/>
      <c r="K581" s="16" t="s">
        <v>471</v>
      </c>
    </row>
    <row r="582" spans="1:11" ht="12.6" customHeight="1" x14ac:dyDescent="0.2">
      <c r="A582" s="16"/>
      <c r="B582" s="19" t="s">
        <v>47</v>
      </c>
      <c r="C582" s="15"/>
      <c r="D582" s="15"/>
      <c r="E582" s="15">
        <f t="shared" si="46"/>
        <v>77.337999999999994</v>
      </c>
      <c r="F582" s="14"/>
      <c r="G582" s="15">
        <f t="shared" si="45"/>
        <v>0</v>
      </c>
      <c r="H582" s="14">
        <v>1</v>
      </c>
      <c r="I582" s="15">
        <f t="shared" si="47"/>
        <v>14.75</v>
      </c>
      <c r="J582" s="14"/>
      <c r="K582" s="13" t="s">
        <v>472</v>
      </c>
    </row>
    <row r="583" spans="1:11" ht="12.6" customHeight="1" x14ac:dyDescent="0.2">
      <c r="A583" s="13"/>
      <c r="B583" s="19" t="s">
        <v>90</v>
      </c>
      <c r="C583" s="15"/>
      <c r="D583" s="14"/>
      <c r="E583" s="15">
        <f t="shared" si="46"/>
        <v>77.337999999999994</v>
      </c>
      <c r="F583" s="14"/>
      <c r="G583" s="15">
        <f t="shared" si="45"/>
        <v>0</v>
      </c>
      <c r="H583" s="14"/>
      <c r="I583" s="15">
        <f t="shared" si="47"/>
        <v>14.75</v>
      </c>
      <c r="J583" s="14"/>
      <c r="K583" s="16" t="s">
        <v>473</v>
      </c>
    </row>
    <row r="584" spans="1:11" ht="12.6" customHeight="1" x14ac:dyDescent="0.2">
      <c r="A584" s="13">
        <v>42008</v>
      </c>
      <c r="B584" s="19"/>
      <c r="C584" s="15">
        <v>2.5</v>
      </c>
      <c r="D584" s="14"/>
      <c r="E584" s="15">
        <f t="shared" si="46"/>
        <v>79.837999999999994</v>
      </c>
      <c r="F584" s="14"/>
      <c r="G584" s="15">
        <f t="shared" si="45"/>
        <v>2.5</v>
      </c>
      <c r="H584" s="14"/>
      <c r="I584" s="15">
        <f t="shared" si="47"/>
        <v>17.25</v>
      </c>
      <c r="J584" s="14"/>
      <c r="K584" s="13"/>
    </row>
    <row r="585" spans="1:11" ht="12.6" customHeight="1" x14ac:dyDescent="0.2">
      <c r="A585" s="13"/>
      <c r="B585" s="19" t="s">
        <v>271</v>
      </c>
      <c r="C585" s="15"/>
      <c r="D585" s="14"/>
      <c r="E585" s="15">
        <f t="shared" si="46"/>
        <v>79.837999999999994</v>
      </c>
      <c r="F585" s="14"/>
      <c r="G585" s="15">
        <f t="shared" si="45"/>
        <v>0</v>
      </c>
      <c r="H585" s="14">
        <v>5</v>
      </c>
      <c r="I585" s="15">
        <f t="shared" si="47"/>
        <v>12.25</v>
      </c>
      <c r="J585" s="14"/>
      <c r="K585" s="13" t="s">
        <v>475</v>
      </c>
    </row>
    <row r="586" spans="1:11" ht="12.6" customHeight="1" x14ac:dyDescent="0.2">
      <c r="A586" s="13"/>
      <c r="B586" s="19" t="s">
        <v>52</v>
      </c>
      <c r="C586" s="15"/>
      <c r="D586" s="14"/>
      <c r="E586" s="15">
        <f t="shared" si="46"/>
        <v>79.837999999999994</v>
      </c>
      <c r="F586" s="14"/>
      <c r="G586" s="15">
        <f t="shared" si="45"/>
        <v>0</v>
      </c>
      <c r="H586" s="14">
        <v>2</v>
      </c>
      <c r="I586" s="15">
        <f t="shared" si="47"/>
        <v>10.25</v>
      </c>
      <c r="J586" s="14"/>
      <c r="K586" s="13" t="s">
        <v>476</v>
      </c>
    </row>
    <row r="587" spans="1:11" ht="12.6" customHeight="1" x14ac:dyDescent="0.2">
      <c r="A587" s="13"/>
      <c r="B587" s="19" t="s">
        <v>95</v>
      </c>
      <c r="C587" s="15"/>
      <c r="D587" s="14">
        <v>3</v>
      </c>
      <c r="E587" s="15">
        <f t="shared" si="46"/>
        <v>76.837999999999994</v>
      </c>
      <c r="F587" s="14"/>
      <c r="G587" s="15">
        <f t="shared" si="45"/>
        <v>0</v>
      </c>
      <c r="H587" s="14"/>
      <c r="I587" s="15">
        <f t="shared" si="47"/>
        <v>10.25</v>
      </c>
      <c r="J587" s="14"/>
      <c r="K587" s="16" t="s">
        <v>477</v>
      </c>
    </row>
    <row r="588" spans="1:11" ht="12.6" customHeight="1" x14ac:dyDescent="0.2">
      <c r="A588" s="13">
        <v>42009</v>
      </c>
      <c r="B588" s="19"/>
      <c r="C588" s="15">
        <v>1.25</v>
      </c>
      <c r="D588" s="14"/>
      <c r="E588" s="15">
        <f t="shared" si="46"/>
        <v>78.087999999999994</v>
      </c>
      <c r="F588" s="14"/>
      <c r="G588" s="15">
        <f t="shared" si="45"/>
        <v>1.25</v>
      </c>
      <c r="H588" s="14"/>
      <c r="I588" s="15">
        <f t="shared" si="47"/>
        <v>11.5</v>
      </c>
      <c r="J588" s="14"/>
      <c r="K588" s="16"/>
    </row>
    <row r="589" spans="1:11" ht="12.6" customHeight="1" x14ac:dyDescent="0.2">
      <c r="A589" s="19"/>
      <c r="B589" s="19"/>
      <c r="C589" s="36">
        <f>SUM(C563:C588)</f>
        <v>13.75</v>
      </c>
      <c r="D589" s="36">
        <f>SUM(D563:D588)</f>
        <v>9.5</v>
      </c>
      <c r="E589" s="36"/>
      <c r="F589" s="37"/>
      <c r="G589" s="36">
        <f>SUM(G563:G588)</f>
        <v>13.75</v>
      </c>
      <c r="H589" s="36">
        <f>SUM(H563:H588)</f>
        <v>26</v>
      </c>
      <c r="I589" s="15"/>
      <c r="J589" s="14"/>
      <c r="K589" s="16"/>
    </row>
    <row r="590" spans="1:11" ht="12.6" customHeight="1" x14ac:dyDescent="0.2">
      <c r="H590" s="27" t="s">
        <v>23</v>
      </c>
      <c r="J590" s="27" t="s">
        <v>479</v>
      </c>
    </row>
    <row r="591" spans="1:11" ht="12.6" customHeight="1" x14ac:dyDescent="0.2"/>
    <row r="592" spans="1:11" ht="12.6" customHeight="1" x14ac:dyDescent="0.2"/>
    <row r="593" spans="1:11" ht="12.6" customHeight="1" x14ac:dyDescent="0.2"/>
    <row r="594" spans="1:11" ht="12.6" customHeight="1" x14ac:dyDescent="0.2"/>
    <row r="595" spans="1:11" ht="12.6" customHeight="1" x14ac:dyDescent="0.2"/>
    <row r="596" spans="1:11" ht="12.6" customHeight="1" x14ac:dyDescent="0.2">
      <c r="A596" s="102" t="str">
        <f>A1</f>
        <v>ONAL, EDMON L.</v>
      </c>
      <c r="B596" s="102"/>
      <c r="C596" s="102"/>
      <c r="D596" s="102"/>
      <c r="E596" s="102"/>
      <c r="F596" s="102"/>
      <c r="G596" s="102"/>
      <c r="H596" s="1"/>
      <c r="I596" s="103" t="s">
        <v>0</v>
      </c>
      <c r="J596" s="103"/>
      <c r="K596" s="2" t="s">
        <v>212</v>
      </c>
    </row>
    <row r="597" spans="1:11" ht="12.6" customHeight="1" x14ac:dyDescent="0.2"/>
    <row r="598" spans="1:11" ht="12.6" customHeight="1" x14ac:dyDescent="0.2">
      <c r="A598" s="104" t="s">
        <v>1</v>
      </c>
      <c r="B598" s="104" t="s">
        <v>2</v>
      </c>
      <c r="C598" s="107" t="s">
        <v>3</v>
      </c>
      <c r="D598" s="108"/>
      <c r="E598" s="108"/>
      <c r="F598" s="109"/>
      <c r="G598" s="107" t="s">
        <v>4</v>
      </c>
      <c r="H598" s="108"/>
      <c r="I598" s="108"/>
      <c r="J598" s="109"/>
      <c r="K598" s="4"/>
    </row>
    <row r="599" spans="1:11" ht="12.6" customHeight="1" x14ac:dyDescent="0.2">
      <c r="A599" s="105"/>
      <c r="B599" s="105"/>
      <c r="C599" s="94" t="s">
        <v>6</v>
      </c>
      <c r="D599" s="5" t="s">
        <v>7</v>
      </c>
      <c r="E599" s="94" t="s">
        <v>8</v>
      </c>
      <c r="F599" s="6" t="s">
        <v>7</v>
      </c>
      <c r="G599" s="94" t="s">
        <v>6</v>
      </c>
      <c r="H599" s="5" t="s">
        <v>7</v>
      </c>
      <c r="I599" s="94" t="s">
        <v>8</v>
      </c>
      <c r="J599" s="1" t="s">
        <v>7</v>
      </c>
      <c r="K599" s="7"/>
    </row>
    <row r="600" spans="1:11" ht="12.6" customHeight="1" x14ac:dyDescent="0.2">
      <c r="A600" s="105"/>
      <c r="B600" s="105"/>
      <c r="C600" s="95"/>
      <c r="D600" s="8" t="s">
        <v>10</v>
      </c>
      <c r="E600" s="95"/>
      <c r="F600" s="6" t="s">
        <v>10</v>
      </c>
      <c r="G600" s="95"/>
      <c r="H600" s="8" t="s">
        <v>10</v>
      </c>
      <c r="I600" s="95"/>
      <c r="J600" s="1" t="s">
        <v>10</v>
      </c>
      <c r="K600" s="7"/>
    </row>
    <row r="601" spans="1:11" ht="12.6" customHeight="1" x14ac:dyDescent="0.2">
      <c r="A601" s="106"/>
      <c r="B601" s="106"/>
      <c r="C601" s="96"/>
      <c r="D601" s="9" t="s">
        <v>12</v>
      </c>
      <c r="E601" s="96"/>
      <c r="F601" s="10" t="s">
        <v>13</v>
      </c>
      <c r="G601" s="96"/>
      <c r="H601" s="9" t="s">
        <v>12</v>
      </c>
      <c r="I601" s="96"/>
      <c r="J601" s="11" t="s">
        <v>13</v>
      </c>
      <c r="K601" s="12"/>
    </row>
    <row r="602" spans="1:11" ht="12.6" customHeight="1" x14ac:dyDescent="0.2">
      <c r="A602" s="13"/>
      <c r="B602" s="19" t="s">
        <v>125</v>
      </c>
      <c r="C602" s="15"/>
      <c r="D602" s="14"/>
      <c r="E602" s="15">
        <f>E588+C602-D602</f>
        <v>78.087999999999994</v>
      </c>
      <c r="F602" s="14"/>
      <c r="G602" s="15">
        <f t="shared" ref="G602:G627" si="48">C602</f>
        <v>0</v>
      </c>
      <c r="H602" s="14">
        <v>4</v>
      </c>
      <c r="I602" s="15">
        <f>I588+G602-H602</f>
        <v>7.5</v>
      </c>
      <c r="J602" s="14"/>
      <c r="K602" s="16" t="s">
        <v>478</v>
      </c>
    </row>
    <row r="603" spans="1:11" ht="12.6" customHeight="1" x14ac:dyDescent="0.2">
      <c r="A603" s="13"/>
      <c r="B603" s="19" t="s">
        <v>47</v>
      </c>
      <c r="C603" s="15"/>
      <c r="D603" s="14"/>
      <c r="E603" s="15">
        <f>E602+C603-D603</f>
        <v>78.087999999999994</v>
      </c>
      <c r="F603" s="14"/>
      <c r="G603" s="15">
        <f t="shared" si="48"/>
        <v>0</v>
      </c>
      <c r="H603" s="14">
        <v>1</v>
      </c>
      <c r="I603" s="15">
        <f>I602+G603-H603</f>
        <v>6.5</v>
      </c>
      <c r="J603" s="14"/>
      <c r="K603" s="13">
        <v>42010</v>
      </c>
    </row>
    <row r="604" spans="1:11" ht="12.6" customHeight="1" x14ac:dyDescent="0.2">
      <c r="A604" s="13">
        <v>42010</v>
      </c>
      <c r="B604" s="19"/>
      <c r="C604" s="15">
        <v>1.25</v>
      </c>
      <c r="D604" s="14"/>
      <c r="E604" s="15">
        <f t="shared" ref="E604:E627" si="49">E603+C604-D604</f>
        <v>79.337999999999994</v>
      </c>
      <c r="F604" s="14"/>
      <c r="G604" s="15">
        <f t="shared" si="48"/>
        <v>1.25</v>
      </c>
      <c r="H604" s="14"/>
      <c r="I604" s="15">
        <f t="shared" ref="I604:I627" si="50">I603+G604-H604</f>
        <v>7.75</v>
      </c>
      <c r="J604" s="14"/>
      <c r="K604" s="13"/>
    </row>
    <row r="605" spans="1:11" ht="12.6" customHeight="1" x14ac:dyDescent="0.2">
      <c r="A605" s="13"/>
      <c r="B605" s="19" t="s">
        <v>52</v>
      </c>
      <c r="C605" s="15"/>
      <c r="D605" s="14"/>
      <c r="E605" s="15">
        <f t="shared" si="49"/>
        <v>79.337999999999994</v>
      </c>
      <c r="F605" s="14"/>
      <c r="G605" s="15">
        <f t="shared" si="48"/>
        <v>0</v>
      </c>
      <c r="H605" s="14">
        <v>2</v>
      </c>
      <c r="I605" s="15">
        <f t="shared" si="50"/>
        <v>5.75</v>
      </c>
      <c r="J605" s="14"/>
      <c r="K605" s="16" t="s">
        <v>484</v>
      </c>
    </row>
    <row r="606" spans="1:11" ht="12.6" customHeight="1" x14ac:dyDescent="0.2">
      <c r="A606" s="13">
        <v>42011</v>
      </c>
      <c r="B606" s="19"/>
      <c r="C606" s="15">
        <v>1.25</v>
      </c>
      <c r="D606" s="14"/>
      <c r="E606" s="15">
        <f t="shared" si="49"/>
        <v>80.587999999999994</v>
      </c>
      <c r="F606" s="14"/>
      <c r="G606" s="15">
        <f t="shared" si="48"/>
        <v>1.25</v>
      </c>
      <c r="H606" s="14"/>
      <c r="I606" s="15">
        <f t="shared" si="50"/>
        <v>7</v>
      </c>
      <c r="J606" s="14"/>
      <c r="K606" s="13"/>
    </row>
    <row r="607" spans="1:11" ht="12.6" customHeight="1" x14ac:dyDescent="0.2">
      <c r="A607" s="13"/>
      <c r="B607" s="19" t="s">
        <v>47</v>
      </c>
      <c r="C607" s="15"/>
      <c r="D607" s="14"/>
      <c r="E607" s="15">
        <f t="shared" si="49"/>
        <v>80.587999999999994</v>
      </c>
      <c r="F607" s="14"/>
      <c r="G607" s="15">
        <f t="shared" si="48"/>
        <v>0</v>
      </c>
      <c r="H607" s="14">
        <v>1</v>
      </c>
      <c r="I607" s="15">
        <f t="shared" si="50"/>
        <v>6</v>
      </c>
      <c r="J607" s="14"/>
      <c r="K607" s="13">
        <v>42011</v>
      </c>
    </row>
    <row r="608" spans="1:11" ht="12.6" customHeight="1" x14ac:dyDescent="0.2">
      <c r="A608" s="13"/>
      <c r="B608" s="19" t="s">
        <v>76</v>
      </c>
      <c r="C608" s="15"/>
      <c r="D608" s="14">
        <v>2</v>
      </c>
      <c r="E608" s="15">
        <f t="shared" si="49"/>
        <v>78.587999999999994</v>
      </c>
      <c r="F608" s="14"/>
      <c r="G608" s="15">
        <f t="shared" si="48"/>
        <v>0</v>
      </c>
      <c r="H608" s="14"/>
      <c r="I608" s="15">
        <f t="shared" si="50"/>
        <v>6</v>
      </c>
      <c r="J608" s="14"/>
      <c r="K608" s="16" t="s">
        <v>485</v>
      </c>
    </row>
    <row r="609" spans="1:11" ht="12.6" customHeight="1" x14ac:dyDescent="0.2">
      <c r="A609" s="13"/>
      <c r="B609" s="19" t="s">
        <v>47</v>
      </c>
      <c r="C609" s="15"/>
      <c r="D609" s="14"/>
      <c r="E609" s="15">
        <f t="shared" si="49"/>
        <v>78.587999999999994</v>
      </c>
      <c r="F609" s="14"/>
      <c r="G609" s="15">
        <f t="shared" si="48"/>
        <v>0</v>
      </c>
      <c r="H609" s="14">
        <v>1</v>
      </c>
      <c r="I609" s="15">
        <f t="shared" si="50"/>
        <v>5</v>
      </c>
      <c r="J609" s="14"/>
      <c r="K609" s="13" t="s">
        <v>486</v>
      </c>
    </row>
    <row r="610" spans="1:11" ht="12.6" customHeight="1" x14ac:dyDescent="0.2">
      <c r="A610" s="13">
        <v>42370</v>
      </c>
      <c r="B610" s="19"/>
      <c r="C610" s="15">
        <v>7.5</v>
      </c>
      <c r="D610" s="14"/>
      <c r="E610" s="15">
        <f t="shared" si="49"/>
        <v>86.087999999999994</v>
      </c>
      <c r="F610" s="14"/>
      <c r="G610" s="15">
        <f t="shared" si="48"/>
        <v>7.5</v>
      </c>
      <c r="H610" s="14"/>
      <c r="I610" s="15">
        <f t="shared" si="50"/>
        <v>12.5</v>
      </c>
      <c r="J610" s="14"/>
      <c r="K610" s="13"/>
    </row>
    <row r="611" spans="1:11" ht="12.6" customHeight="1" x14ac:dyDescent="0.2">
      <c r="A611" s="13"/>
      <c r="B611" s="19" t="s">
        <v>52</v>
      </c>
      <c r="C611" s="15"/>
      <c r="D611" s="14"/>
      <c r="E611" s="15">
        <f t="shared" si="49"/>
        <v>86.087999999999994</v>
      </c>
      <c r="F611" s="14"/>
      <c r="G611" s="15">
        <f t="shared" si="48"/>
        <v>0</v>
      </c>
      <c r="H611" s="14">
        <v>2</v>
      </c>
      <c r="I611" s="15">
        <f t="shared" si="50"/>
        <v>10.5</v>
      </c>
      <c r="J611" s="14"/>
      <c r="K611" s="16" t="s">
        <v>487</v>
      </c>
    </row>
    <row r="612" spans="1:11" ht="12.6" customHeight="1" x14ac:dyDescent="0.2">
      <c r="A612" s="13"/>
      <c r="B612" s="19" t="s">
        <v>489</v>
      </c>
      <c r="C612" s="15"/>
      <c r="D612" s="14">
        <v>4.085</v>
      </c>
      <c r="E612" s="15">
        <f t="shared" si="49"/>
        <v>82.003</v>
      </c>
      <c r="F612" s="14"/>
      <c r="G612" s="15">
        <f t="shared" si="48"/>
        <v>0</v>
      </c>
      <c r="H612" s="14"/>
      <c r="I612" s="15">
        <f t="shared" si="50"/>
        <v>10.5</v>
      </c>
      <c r="J612" s="14"/>
      <c r="K612" s="16" t="s">
        <v>488</v>
      </c>
    </row>
    <row r="613" spans="1:11" ht="12.6" customHeight="1" x14ac:dyDescent="0.2">
      <c r="A613" s="13">
        <v>42371</v>
      </c>
      <c r="B613" s="19"/>
      <c r="C613" s="15">
        <v>1.25</v>
      </c>
      <c r="D613" s="14"/>
      <c r="E613" s="15">
        <f t="shared" si="49"/>
        <v>83.253</v>
      </c>
      <c r="F613" s="14"/>
      <c r="G613" s="15">
        <f t="shared" si="48"/>
        <v>1.25</v>
      </c>
      <c r="H613" s="14"/>
      <c r="I613" s="15">
        <f t="shared" si="50"/>
        <v>11.75</v>
      </c>
      <c r="J613" s="14"/>
      <c r="K613" s="13"/>
    </row>
    <row r="614" spans="1:11" ht="12.6" customHeight="1" x14ac:dyDescent="0.2">
      <c r="A614" s="13"/>
      <c r="B614" s="19" t="s">
        <v>52</v>
      </c>
      <c r="C614" s="15"/>
      <c r="D614" s="14"/>
      <c r="E614" s="15">
        <f t="shared" si="49"/>
        <v>83.253</v>
      </c>
      <c r="F614" s="14"/>
      <c r="G614" s="15">
        <f t="shared" si="48"/>
        <v>0</v>
      </c>
      <c r="H614" s="14">
        <v>2</v>
      </c>
      <c r="I614" s="15">
        <f t="shared" si="50"/>
        <v>9.75</v>
      </c>
      <c r="J614" s="14"/>
      <c r="K614" s="13" t="s">
        <v>490</v>
      </c>
    </row>
    <row r="615" spans="1:11" ht="12.6" customHeight="1" x14ac:dyDescent="0.2">
      <c r="A615" s="13">
        <v>42373</v>
      </c>
      <c r="B615" s="19"/>
      <c r="C615" s="15">
        <v>2.5</v>
      </c>
      <c r="D615" s="14"/>
      <c r="E615" s="15">
        <f t="shared" si="49"/>
        <v>85.753</v>
      </c>
      <c r="F615" s="14"/>
      <c r="G615" s="15">
        <f t="shared" si="48"/>
        <v>2.5</v>
      </c>
      <c r="H615" s="14"/>
      <c r="I615" s="15">
        <f t="shared" si="50"/>
        <v>12.25</v>
      </c>
      <c r="J615" s="14"/>
      <c r="K615" s="13"/>
    </row>
    <row r="616" spans="1:11" ht="12.6" customHeight="1" x14ac:dyDescent="0.2">
      <c r="A616" s="13"/>
      <c r="B616" s="19" t="s">
        <v>47</v>
      </c>
      <c r="C616" s="15"/>
      <c r="D616" s="14"/>
      <c r="E616" s="15">
        <f t="shared" si="49"/>
        <v>85.753</v>
      </c>
      <c r="F616" s="14"/>
      <c r="G616" s="15">
        <f t="shared" si="48"/>
        <v>0</v>
      </c>
      <c r="H616" s="14">
        <v>1</v>
      </c>
      <c r="I616" s="15">
        <f t="shared" si="50"/>
        <v>11.25</v>
      </c>
      <c r="J616" s="14"/>
      <c r="K616" s="13">
        <v>42678</v>
      </c>
    </row>
    <row r="617" spans="1:11" ht="12.6" customHeight="1" x14ac:dyDescent="0.2">
      <c r="A617" s="13">
        <v>42374</v>
      </c>
      <c r="B617" s="19"/>
      <c r="C617" s="15">
        <v>1.25</v>
      </c>
      <c r="D617" s="14"/>
      <c r="E617" s="15">
        <f t="shared" si="49"/>
        <v>87.003</v>
      </c>
      <c r="F617" s="14"/>
      <c r="G617" s="15">
        <f t="shared" si="48"/>
        <v>1.25</v>
      </c>
      <c r="H617" s="14"/>
      <c r="I617" s="15">
        <f t="shared" si="50"/>
        <v>12.5</v>
      </c>
      <c r="J617" s="14"/>
      <c r="K617" s="13"/>
    </row>
    <row r="618" spans="1:11" ht="12.6" customHeight="1" x14ac:dyDescent="0.2">
      <c r="A618" s="16"/>
      <c r="B618" s="19" t="s">
        <v>90</v>
      </c>
      <c r="C618" s="15"/>
      <c r="D618" s="14"/>
      <c r="E618" s="15">
        <f t="shared" si="49"/>
        <v>87.003</v>
      </c>
      <c r="F618" s="14"/>
      <c r="G618" s="15">
        <f t="shared" si="48"/>
        <v>0</v>
      </c>
      <c r="H618" s="14"/>
      <c r="I618" s="15">
        <f t="shared" si="50"/>
        <v>12.5</v>
      </c>
      <c r="J618" s="14"/>
      <c r="K618" s="13" t="s">
        <v>491</v>
      </c>
    </row>
    <row r="619" spans="1:11" ht="12.6" customHeight="1" x14ac:dyDescent="0.2">
      <c r="A619" s="13">
        <v>42376</v>
      </c>
      <c r="B619" s="19"/>
      <c r="C619" s="15">
        <v>2.5</v>
      </c>
      <c r="D619" s="15"/>
      <c r="E619" s="15">
        <f t="shared" si="49"/>
        <v>89.503</v>
      </c>
      <c r="F619" s="14"/>
      <c r="G619" s="15">
        <f t="shared" si="48"/>
        <v>2.5</v>
      </c>
      <c r="H619" s="14"/>
      <c r="I619" s="15">
        <f t="shared" si="50"/>
        <v>15</v>
      </c>
      <c r="J619" s="14"/>
      <c r="K619" s="13"/>
    </row>
    <row r="620" spans="1:11" ht="12.6" customHeight="1" x14ac:dyDescent="0.2">
      <c r="A620" s="13"/>
      <c r="B620" s="19" t="s">
        <v>76</v>
      </c>
      <c r="C620" s="15"/>
      <c r="D620" s="14">
        <v>2</v>
      </c>
      <c r="E620" s="15">
        <f t="shared" si="49"/>
        <v>87.503</v>
      </c>
      <c r="F620" s="14"/>
      <c r="G620" s="15">
        <f t="shared" si="48"/>
        <v>0</v>
      </c>
      <c r="H620" s="14"/>
      <c r="I620" s="15">
        <f t="shared" si="50"/>
        <v>15</v>
      </c>
      <c r="J620" s="14"/>
      <c r="K620" s="16" t="s">
        <v>492</v>
      </c>
    </row>
    <row r="621" spans="1:11" ht="12.6" customHeight="1" x14ac:dyDescent="0.2">
      <c r="A621" s="13">
        <v>42377</v>
      </c>
      <c r="B621" s="19"/>
      <c r="C621" s="15">
        <v>1.25</v>
      </c>
      <c r="D621" s="15"/>
      <c r="E621" s="15">
        <f t="shared" si="49"/>
        <v>88.753</v>
      </c>
      <c r="F621" s="14"/>
      <c r="G621" s="15">
        <f t="shared" si="48"/>
        <v>1.25</v>
      </c>
      <c r="H621" s="14"/>
      <c r="I621" s="15">
        <f t="shared" si="50"/>
        <v>16.25</v>
      </c>
      <c r="J621" s="14"/>
      <c r="K621" s="13"/>
    </row>
    <row r="622" spans="1:11" ht="12.6" customHeight="1" x14ac:dyDescent="0.2">
      <c r="A622" s="13"/>
      <c r="B622" s="19" t="s">
        <v>47</v>
      </c>
      <c r="C622" s="15"/>
      <c r="D622" s="14"/>
      <c r="E622" s="15">
        <f t="shared" si="49"/>
        <v>88.753</v>
      </c>
      <c r="F622" s="14"/>
      <c r="G622" s="15">
        <f t="shared" si="48"/>
        <v>0</v>
      </c>
      <c r="H622" s="14">
        <v>1</v>
      </c>
      <c r="I622" s="15">
        <f t="shared" si="50"/>
        <v>15.25</v>
      </c>
      <c r="J622" s="14"/>
      <c r="K622" s="16" t="s">
        <v>493</v>
      </c>
    </row>
    <row r="623" spans="1:11" ht="12.6" customHeight="1" x14ac:dyDescent="0.2">
      <c r="A623" s="13"/>
      <c r="B623" s="19" t="s">
        <v>76</v>
      </c>
      <c r="C623" s="15"/>
      <c r="D623" s="14">
        <v>2</v>
      </c>
      <c r="E623" s="15">
        <f t="shared" si="49"/>
        <v>86.753</v>
      </c>
      <c r="F623" s="14"/>
      <c r="G623" s="15">
        <f t="shared" si="48"/>
        <v>0</v>
      </c>
      <c r="H623" s="14"/>
      <c r="I623" s="15">
        <f t="shared" si="50"/>
        <v>15.25</v>
      </c>
      <c r="J623" s="14"/>
      <c r="K623" s="13" t="s">
        <v>494</v>
      </c>
    </row>
    <row r="624" spans="1:11" ht="12.6" customHeight="1" x14ac:dyDescent="0.2">
      <c r="A624" s="13">
        <v>42380</v>
      </c>
      <c r="B624" s="19"/>
      <c r="C624" s="15">
        <v>3.75</v>
      </c>
      <c r="D624" s="14"/>
      <c r="E624" s="15">
        <f t="shared" si="49"/>
        <v>90.503</v>
      </c>
      <c r="F624" s="14"/>
      <c r="G624" s="15">
        <f t="shared" si="48"/>
        <v>3.75</v>
      </c>
      <c r="H624" s="14"/>
      <c r="I624" s="15">
        <f t="shared" si="50"/>
        <v>19</v>
      </c>
      <c r="J624" s="14"/>
      <c r="K624" s="13"/>
    </row>
    <row r="625" spans="1:11" ht="12.6" customHeight="1" x14ac:dyDescent="0.2">
      <c r="A625" s="13"/>
      <c r="B625" s="19" t="s">
        <v>47</v>
      </c>
      <c r="C625" s="15"/>
      <c r="D625" s="14"/>
      <c r="E625" s="15">
        <f t="shared" si="49"/>
        <v>90.503</v>
      </c>
      <c r="F625" s="14"/>
      <c r="G625" s="15">
        <f t="shared" si="48"/>
        <v>0</v>
      </c>
      <c r="H625" s="14">
        <v>1</v>
      </c>
      <c r="I625" s="15">
        <f t="shared" si="50"/>
        <v>18</v>
      </c>
      <c r="J625" s="14"/>
      <c r="K625" s="13" t="s">
        <v>495</v>
      </c>
    </row>
    <row r="626" spans="1:11" ht="12.6" customHeight="1" x14ac:dyDescent="0.2">
      <c r="A626" s="13">
        <v>42381</v>
      </c>
      <c r="B626" s="19"/>
      <c r="C626" s="15">
        <v>1.25</v>
      </c>
      <c r="D626" s="14"/>
      <c r="E626" s="15">
        <f t="shared" si="49"/>
        <v>91.753</v>
      </c>
      <c r="F626" s="14"/>
      <c r="G626" s="15">
        <f t="shared" si="48"/>
        <v>1.25</v>
      </c>
      <c r="H626" s="14"/>
      <c r="I626" s="15">
        <f t="shared" si="50"/>
        <v>19.25</v>
      </c>
      <c r="J626" s="14"/>
      <c r="K626" s="16"/>
    </row>
    <row r="627" spans="1:11" ht="12.6" customHeight="1" x14ac:dyDescent="0.2">
      <c r="A627" s="13"/>
      <c r="B627" s="19" t="s">
        <v>47</v>
      </c>
      <c r="C627" s="15"/>
      <c r="D627" s="14"/>
      <c r="E627" s="15">
        <f t="shared" si="49"/>
        <v>91.753</v>
      </c>
      <c r="F627" s="14"/>
      <c r="G627" s="15">
        <f t="shared" si="48"/>
        <v>0</v>
      </c>
      <c r="H627" s="14">
        <v>1</v>
      </c>
      <c r="I627" s="15">
        <f t="shared" si="50"/>
        <v>18.25</v>
      </c>
      <c r="J627" s="14"/>
      <c r="K627" s="16" t="s">
        <v>496</v>
      </c>
    </row>
    <row r="628" spans="1:11" ht="12.6" customHeight="1" x14ac:dyDescent="0.2">
      <c r="A628" s="19"/>
      <c r="B628" s="19"/>
      <c r="C628" s="36">
        <f>SUM(C602:C627)</f>
        <v>23.75</v>
      </c>
      <c r="D628" s="36">
        <f>SUM(D602:D627)</f>
        <v>10.085000000000001</v>
      </c>
      <c r="E628" s="36"/>
      <c r="F628" s="37"/>
      <c r="G628" s="36">
        <f>SUM(G602:G627)</f>
        <v>23.75</v>
      </c>
      <c r="H628" s="36">
        <f>SUM(H602:H627)</f>
        <v>17</v>
      </c>
      <c r="I628" s="15"/>
      <c r="J628" s="14"/>
      <c r="K628" s="16"/>
    </row>
    <row r="629" spans="1:11" ht="12.6" customHeight="1" x14ac:dyDescent="0.2">
      <c r="H629" s="27" t="s">
        <v>23</v>
      </c>
      <c r="J629" s="27" t="s">
        <v>480</v>
      </c>
    </row>
    <row r="630" spans="1:11" ht="12.6" customHeight="1" x14ac:dyDescent="0.2"/>
    <row r="631" spans="1:11" ht="12.6" customHeight="1" x14ac:dyDescent="0.2">
      <c r="A631" s="102" t="str">
        <f>A1</f>
        <v>ONAL, EDMON L.</v>
      </c>
      <c r="B631" s="102"/>
      <c r="C631" s="102"/>
      <c r="D631" s="102"/>
      <c r="E631" s="102"/>
      <c r="F631" s="102"/>
      <c r="G631" s="102"/>
      <c r="H631" s="1"/>
      <c r="I631" s="103" t="s">
        <v>0</v>
      </c>
      <c r="J631" s="103"/>
      <c r="K631" s="2" t="s">
        <v>212</v>
      </c>
    </row>
    <row r="632" spans="1:11" ht="12.6" customHeight="1" x14ac:dyDescent="0.2"/>
    <row r="633" spans="1:11" ht="12.6" customHeight="1" x14ac:dyDescent="0.2">
      <c r="A633" s="104" t="s">
        <v>1</v>
      </c>
      <c r="B633" s="104" t="s">
        <v>2</v>
      </c>
      <c r="C633" s="107" t="s">
        <v>3</v>
      </c>
      <c r="D633" s="108"/>
      <c r="E633" s="108"/>
      <c r="F633" s="109"/>
      <c r="G633" s="107" t="s">
        <v>4</v>
      </c>
      <c r="H633" s="108"/>
      <c r="I633" s="108"/>
      <c r="J633" s="109"/>
      <c r="K633" s="4"/>
    </row>
    <row r="634" spans="1:11" ht="12.6" customHeight="1" x14ac:dyDescent="0.2">
      <c r="A634" s="105"/>
      <c r="B634" s="105"/>
      <c r="C634" s="94" t="s">
        <v>6</v>
      </c>
      <c r="D634" s="5" t="s">
        <v>7</v>
      </c>
      <c r="E634" s="94" t="s">
        <v>8</v>
      </c>
      <c r="F634" s="6" t="s">
        <v>7</v>
      </c>
      <c r="G634" s="94" t="s">
        <v>6</v>
      </c>
      <c r="H634" s="5" t="s">
        <v>7</v>
      </c>
      <c r="I634" s="94" t="s">
        <v>8</v>
      </c>
      <c r="J634" s="1" t="s">
        <v>7</v>
      </c>
      <c r="K634" s="7"/>
    </row>
    <row r="635" spans="1:11" ht="12.6" customHeight="1" x14ac:dyDescent="0.2">
      <c r="A635" s="105"/>
      <c r="B635" s="105"/>
      <c r="C635" s="95"/>
      <c r="D635" s="8" t="s">
        <v>10</v>
      </c>
      <c r="E635" s="95"/>
      <c r="F635" s="6" t="s">
        <v>10</v>
      </c>
      <c r="G635" s="95"/>
      <c r="H635" s="8" t="s">
        <v>10</v>
      </c>
      <c r="I635" s="95"/>
      <c r="J635" s="1" t="s">
        <v>10</v>
      </c>
      <c r="K635" s="7"/>
    </row>
    <row r="636" spans="1:11" ht="12.6" customHeight="1" x14ac:dyDescent="0.2">
      <c r="A636" s="106"/>
      <c r="B636" s="106"/>
      <c r="C636" s="96"/>
      <c r="D636" s="9" t="s">
        <v>12</v>
      </c>
      <c r="E636" s="96"/>
      <c r="F636" s="10" t="s">
        <v>13</v>
      </c>
      <c r="G636" s="96"/>
      <c r="H636" s="9" t="s">
        <v>12</v>
      </c>
      <c r="I636" s="96"/>
      <c r="J636" s="11" t="s">
        <v>13</v>
      </c>
      <c r="K636" s="12"/>
    </row>
    <row r="637" spans="1:11" ht="12.6" customHeight="1" x14ac:dyDescent="0.2">
      <c r="A637" s="13"/>
      <c r="B637" s="19" t="s">
        <v>52</v>
      </c>
      <c r="C637" s="15"/>
      <c r="D637" s="14"/>
      <c r="E637" s="15">
        <f>E627+C637-D637</f>
        <v>91.753</v>
      </c>
      <c r="F637" s="14"/>
      <c r="G637" s="15">
        <f t="shared" ref="G637:G662" si="51">C637</f>
        <v>0</v>
      </c>
      <c r="H637" s="14">
        <v>2</v>
      </c>
      <c r="I637" s="15">
        <f>I627+G637-H637</f>
        <v>16.25</v>
      </c>
      <c r="J637" s="14"/>
      <c r="K637" s="16" t="s">
        <v>497</v>
      </c>
    </row>
    <row r="638" spans="1:11" ht="12.6" customHeight="1" x14ac:dyDescent="0.2">
      <c r="A638" s="13">
        <v>42737</v>
      </c>
      <c r="B638" s="19"/>
      <c r="C638" s="15">
        <v>2.5</v>
      </c>
      <c r="D638" s="14"/>
      <c r="E638" s="15">
        <f>E637+C638-D638</f>
        <v>94.253</v>
      </c>
      <c r="F638" s="14"/>
      <c r="G638" s="15">
        <f t="shared" si="51"/>
        <v>2.5</v>
      </c>
      <c r="H638" s="14"/>
      <c r="I638" s="15">
        <f>I637+G638-H638</f>
        <v>18.75</v>
      </c>
      <c r="J638" s="14"/>
      <c r="K638" s="13"/>
    </row>
    <row r="639" spans="1:11" ht="12.6" customHeight="1" x14ac:dyDescent="0.2">
      <c r="A639" s="13"/>
      <c r="B639" s="19" t="s">
        <v>499</v>
      </c>
      <c r="C639" s="15"/>
      <c r="D639" s="14">
        <v>6.4809999999999999</v>
      </c>
      <c r="E639" s="15">
        <f t="shared" ref="E639:E662" si="52">E638+C639-D639</f>
        <v>87.772000000000006</v>
      </c>
      <c r="F639" s="14"/>
      <c r="G639" s="15">
        <f t="shared" si="51"/>
        <v>0</v>
      </c>
      <c r="H639" s="14"/>
      <c r="I639" s="15">
        <f t="shared" ref="I639:I662" si="53">I638+G639-H639</f>
        <v>18.75</v>
      </c>
      <c r="J639" s="14"/>
      <c r="K639" s="13" t="s">
        <v>498</v>
      </c>
    </row>
    <row r="640" spans="1:11" ht="12.6" customHeight="1" x14ac:dyDescent="0.2">
      <c r="A640" s="13"/>
      <c r="B640" s="19" t="s">
        <v>47</v>
      </c>
      <c r="C640" s="15"/>
      <c r="D640" s="14"/>
      <c r="E640" s="15">
        <f t="shared" si="52"/>
        <v>87.772000000000006</v>
      </c>
      <c r="F640" s="14"/>
      <c r="G640" s="15">
        <f t="shared" si="51"/>
        <v>0</v>
      </c>
      <c r="H640" s="14">
        <v>1</v>
      </c>
      <c r="I640" s="15">
        <f t="shared" si="53"/>
        <v>17.75</v>
      </c>
      <c r="J640" s="14"/>
      <c r="K640" s="16" t="s">
        <v>500</v>
      </c>
    </row>
    <row r="641" spans="1:11" ht="12.6" customHeight="1" x14ac:dyDescent="0.2">
      <c r="A641" s="13"/>
      <c r="B641" s="19" t="s">
        <v>45</v>
      </c>
      <c r="C641" s="15"/>
      <c r="D641" s="14"/>
      <c r="E641" s="15">
        <f t="shared" si="52"/>
        <v>87.772000000000006</v>
      </c>
      <c r="F641" s="14"/>
      <c r="G641" s="15">
        <f t="shared" si="51"/>
        <v>0</v>
      </c>
      <c r="H641" s="14"/>
      <c r="I641" s="15">
        <f t="shared" si="53"/>
        <v>17.75</v>
      </c>
      <c r="J641" s="14"/>
      <c r="K641" s="13" t="s">
        <v>501</v>
      </c>
    </row>
    <row r="642" spans="1:11" ht="12.6" customHeight="1" x14ac:dyDescent="0.2">
      <c r="A642" s="13">
        <v>42738</v>
      </c>
      <c r="B642" s="19"/>
      <c r="C642" s="15">
        <v>1.25</v>
      </c>
      <c r="D642" s="14"/>
      <c r="E642" s="15">
        <f t="shared" si="52"/>
        <v>89.022000000000006</v>
      </c>
      <c r="F642" s="14"/>
      <c r="G642" s="15">
        <f t="shared" si="51"/>
        <v>1.25</v>
      </c>
      <c r="H642" s="14"/>
      <c r="I642" s="15">
        <f t="shared" si="53"/>
        <v>19</v>
      </c>
      <c r="J642" s="14"/>
      <c r="K642" s="16"/>
    </row>
    <row r="643" spans="1:11" ht="12.6" customHeight="1" x14ac:dyDescent="0.2">
      <c r="A643" s="13"/>
      <c r="B643" s="19" t="s">
        <v>248</v>
      </c>
      <c r="C643" s="15"/>
      <c r="D643" s="14"/>
      <c r="E643" s="15">
        <f t="shared" si="52"/>
        <v>89.022000000000006</v>
      </c>
      <c r="F643" s="14"/>
      <c r="G643" s="15">
        <f t="shared" si="51"/>
        <v>0</v>
      </c>
      <c r="H643" s="14">
        <v>2.5</v>
      </c>
      <c r="I643" s="15">
        <f t="shared" si="53"/>
        <v>16.5</v>
      </c>
      <c r="J643" s="14"/>
      <c r="K643" s="13" t="s">
        <v>502</v>
      </c>
    </row>
    <row r="644" spans="1:11" ht="12.6" customHeight="1" x14ac:dyDescent="0.2">
      <c r="A644" s="13"/>
      <c r="B644" s="19" t="s">
        <v>47</v>
      </c>
      <c r="C644" s="15"/>
      <c r="D644" s="14"/>
      <c r="E644" s="15">
        <f t="shared" si="52"/>
        <v>89.022000000000006</v>
      </c>
      <c r="F644" s="14"/>
      <c r="G644" s="15">
        <f t="shared" si="51"/>
        <v>0</v>
      </c>
      <c r="H644" s="14">
        <v>1</v>
      </c>
      <c r="I644" s="15">
        <f t="shared" si="53"/>
        <v>15.5</v>
      </c>
      <c r="J644" s="14"/>
      <c r="K644" s="13" t="s">
        <v>503</v>
      </c>
    </row>
    <row r="645" spans="1:11" ht="12.6" customHeight="1" x14ac:dyDescent="0.2">
      <c r="A645" s="13">
        <v>42739</v>
      </c>
      <c r="B645" s="19"/>
      <c r="C645" s="15">
        <v>1.25</v>
      </c>
      <c r="D645" s="14"/>
      <c r="E645" s="15">
        <f t="shared" si="52"/>
        <v>90.272000000000006</v>
      </c>
      <c r="F645" s="14"/>
      <c r="G645" s="15">
        <f t="shared" si="51"/>
        <v>1.25</v>
      </c>
      <c r="H645" s="14"/>
      <c r="I645" s="15">
        <f t="shared" si="53"/>
        <v>16.75</v>
      </c>
      <c r="J645" s="14"/>
      <c r="K645" s="16"/>
    </row>
    <row r="646" spans="1:11" ht="12.6" customHeight="1" x14ac:dyDescent="0.2">
      <c r="A646" s="13"/>
      <c r="B646" s="19" t="s">
        <v>507</v>
      </c>
      <c r="C646" s="15"/>
      <c r="D646" s="14">
        <v>14</v>
      </c>
      <c r="E646" s="15">
        <f t="shared" si="52"/>
        <v>76.272000000000006</v>
      </c>
      <c r="F646" s="14"/>
      <c r="G646" s="15">
        <f t="shared" si="51"/>
        <v>0</v>
      </c>
      <c r="H646" s="14"/>
      <c r="I646" s="15">
        <f t="shared" si="53"/>
        <v>16.75</v>
      </c>
      <c r="J646" s="14"/>
      <c r="K646" s="16" t="s">
        <v>504</v>
      </c>
    </row>
    <row r="647" spans="1:11" ht="12.6" customHeight="1" x14ac:dyDescent="0.2">
      <c r="A647" s="13"/>
      <c r="B647" s="19" t="s">
        <v>125</v>
      </c>
      <c r="C647" s="15"/>
      <c r="D647" s="14"/>
      <c r="E647" s="15">
        <f t="shared" si="52"/>
        <v>76.272000000000006</v>
      </c>
      <c r="F647" s="14"/>
      <c r="G647" s="15">
        <f t="shared" si="51"/>
        <v>0</v>
      </c>
      <c r="H647" s="14">
        <v>4</v>
      </c>
      <c r="I647" s="15">
        <f t="shared" si="53"/>
        <v>12.75</v>
      </c>
      <c r="J647" s="14"/>
      <c r="K647" s="16" t="s">
        <v>505</v>
      </c>
    </row>
    <row r="648" spans="1:11" ht="12.6" customHeight="1" x14ac:dyDescent="0.2">
      <c r="A648" s="13"/>
      <c r="B648" s="19" t="s">
        <v>45</v>
      </c>
      <c r="C648" s="15"/>
      <c r="D648" s="14"/>
      <c r="E648" s="15">
        <f t="shared" si="52"/>
        <v>76.272000000000006</v>
      </c>
      <c r="F648" s="14"/>
      <c r="G648" s="15">
        <f t="shared" si="51"/>
        <v>0</v>
      </c>
      <c r="H648" s="14"/>
      <c r="I648" s="15">
        <f t="shared" si="53"/>
        <v>12.75</v>
      </c>
      <c r="J648" s="14"/>
      <c r="K648" s="13" t="s">
        <v>506</v>
      </c>
    </row>
    <row r="649" spans="1:11" ht="12.6" customHeight="1" x14ac:dyDescent="0.2">
      <c r="A649" s="13">
        <v>42741</v>
      </c>
      <c r="B649" s="19"/>
      <c r="C649" s="15">
        <v>2.5</v>
      </c>
      <c r="D649" s="14"/>
      <c r="E649" s="15">
        <f t="shared" si="52"/>
        <v>78.772000000000006</v>
      </c>
      <c r="F649" s="14"/>
      <c r="G649" s="15">
        <f t="shared" si="51"/>
        <v>2.5</v>
      </c>
      <c r="H649" s="14"/>
      <c r="I649" s="15">
        <f t="shared" si="53"/>
        <v>15.25</v>
      </c>
      <c r="J649" s="14"/>
      <c r="K649" s="13"/>
    </row>
    <row r="650" spans="1:11" ht="12.6" customHeight="1" x14ac:dyDescent="0.2">
      <c r="A650" s="13"/>
      <c r="B650" s="19" t="s">
        <v>45</v>
      </c>
      <c r="C650" s="15"/>
      <c r="D650" s="14"/>
      <c r="E650" s="15">
        <f t="shared" si="52"/>
        <v>78.772000000000006</v>
      </c>
      <c r="F650" s="14"/>
      <c r="G650" s="15">
        <f t="shared" si="51"/>
        <v>0</v>
      </c>
      <c r="H650" s="14"/>
      <c r="I650" s="15">
        <f t="shared" si="53"/>
        <v>15.25</v>
      </c>
      <c r="J650" s="14"/>
      <c r="K650" s="13" t="s">
        <v>508</v>
      </c>
    </row>
    <row r="651" spans="1:11" ht="12.6" customHeight="1" x14ac:dyDescent="0.2">
      <c r="A651" s="13">
        <v>42744</v>
      </c>
      <c r="B651" s="19"/>
      <c r="C651" s="15">
        <v>3.75</v>
      </c>
      <c r="D651" s="14"/>
      <c r="E651" s="15">
        <f t="shared" si="52"/>
        <v>82.522000000000006</v>
      </c>
      <c r="F651" s="14"/>
      <c r="G651" s="15">
        <f t="shared" si="51"/>
        <v>3.75</v>
      </c>
      <c r="H651" s="14"/>
      <c r="I651" s="15">
        <f t="shared" si="53"/>
        <v>19</v>
      </c>
      <c r="J651" s="14"/>
      <c r="K651" s="13"/>
    </row>
    <row r="652" spans="1:11" ht="12.6" customHeight="1" x14ac:dyDescent="0.2">
      <c r="A652" s="13"/>
      <c r="B652" s="19" t="s">
        <v>74</v>
      </c>
      <c r="C652" s="15"/>
      <c r="D652" s="14">
        <v>1</v>
      </c>
      <c r="E652" s="15">
        <f t="shared" si="52"/>
        <v>81.522000000000006</v>
      </c>
      <c r="F652" s="14"/>
      <c r="G652" s="15">
        <f t="shared" si="51"/>
        <v>0</v>
      </c>
      <c r="H652" s="14"/>
      <c r="I652" s="15">
        <f t="shared" si="53"/>
        <v>19</v>
      </c>
      <c r="J652" s="14"/>
      <c r="K652" s="13" t="s">
        <v>509</v>
      </c>
    </row>
    <row r="653" spans="1:11" ht="12.6" customHeight="1" x14ac:dyDescent="0.2">
      <c r="A653" s="13"/>
      <c r="B653" s="19" t="s">
        <v>511</v>
      </c>
      <c r="C653" s="15"/>
      <c r="D653" s="14"/>
      <c r="E653" s="15">
        <f t="shared" si="52"/>
        <v>81.522000000000006</v>
      </c>
      <c r="F653" s="14"/>
      <c r="G653" s="15">
        <f t="shared" si="51"/>
        <v>0</v>
      </c>
      <c r="H653" s="14">
        <v>9</v>
      </c>
      <c r="I653" s="15">
        <f t="shared" si="53"/>
        <v>10</v>
      </c>
      <c r="J653" s="14"/>
      <c r="K653" s="13" t="s">
        <v>510</v>
      </c>
    </row>
    <row r="654" spans="1:11" ht="12.6" customHeight="1" x14ac:dyDescent="0.2">
      <c r="A654" s="13">
        <v>43101</v>
      </c>
      <c r="B654" s="19"/>
      <c r="C654" s="15">
        <v>5</v>
      </c>
      <c r="D654" s="15"/>
      <c r="E654" s="15">
        <f t="shared" si="52"/>
        <v>86.522000000000006</v>
      </c>
      <c r="F654" s="14"/>
      <c r="G654" s="15">
        <f t="shared" si="51"/>
        <v>5</v>
      </c>
      <c r="H654" s="14"/>
      <c r="I654" s="15">
        <f t="shared" si="53"/>
        <v>15</v>
      </c>
      <c r="J654" s="14"/>
      <c r="K654" s="13"/>
    </row>
    <row r="655" spans="1:11" ht="12.6" customHeight="1" x14ac:dyDescent="0.2">
      <c r="A655" s="13"/>
      <c r="B655" s="19" t="s">
        <v>271</v>
      </c>
      <c r="C655" s="15"/>
      <c r="D655" s="14"/>
      <c r="E655" s="15">
        <f t="shared" si="52"/>
        <v>86.522000000000006</v>
      </c>
      <c r="F655" s="14"/>
      <c r="G655" s="15">
        <f t="shared" si="51"/>
        <v>0</v>
      </c>
      <c r="H655" s="14">
        <v>5</v>
      </c>
      <c r="I655" s="15">
        <f t="shared" si="53"/>
        <v>10</v>
      </c>
      <c r="J655" s="14"/>
      <c r="K655" s="16" t="s">
        <v>512</v>
      </c>
    </row>
    <row r="656" spans="1:11" ht="12.6" customHeight="1" x14ac:dyDescent="0.2">
      <c r="A656" s="16"/>
      <c r="B656" s="19" t="s">
        <v>514</v>
      </c>
      <c r="C656" s="15"/>
      <c r="D656" s="15">
        <v>2.0830000000000002</v>
      </c>
      <c r="E656" s="15">
        <f t="shared" si="52"/>
        <v>84.439000000000007</v>
      </c>
      <c r="F656" s="14"/>
      <c r="G656" s="15">
        <f t="shared" si="51"/>
        <v>0</v>
      </c>
      <c r="H656" s="14"/>
      <c r="I656" s="15">
        <f t="shared" si="53"/>
        <v>10</v>
      </c>
      <c r="J656" s="14"/>
      <c r="K656" s="13" t="s">
        <v>513</v>
      </c>
    </row>
    <row r="657" spans="1:11" ht="12.6" customHeight="1" x14ac:dyDescent="0.2">
      <c r="A657" s="13">
        <v>43102</v>
      </c>
      <c r="B657" s="19"/>
      <c r="C657" s="15">
        <v>1.25</v>
      </c>
      <c r="D657" s="14"/>
      <c r="E657" s="15">
        <f t="shared" si="52"/>
        <v>85.689000000000007</v>
      </c>
      <c r="F657" s="14"/>
      <c r="G657" s="15">
        <f t="shared" si="51"/>
        <v>1.25</v>
      </c>
      <c r="H657" s="14"/>
      <c r="I657" s="15">
        <f t="shared" si="53"/>
        <v>11.25</v>
      </c>
      <c r="J657" s="14"/>
      <c r="K657" s="16"/>
    </row>
    <row r="658" spans="1:11" ht="12.6" customHeight="1" x14ac:dyDescent="0.2">
      <c r="A658" s="13"/>
      <c r="B658" s="19" t="s">
        <v>90</v>
      </c>
      <c r="C658" s="15"/>
      <c r="D658" s="14"/>
      <c r="E658" s="15">
        <f t="shared" si="52"/>
        <v>85.689000000000007</v>
      </c>
      <c r="F658" s="14"/>
      <c r="G658" s="15">
        <f t="shared" si="51"/>
        <v>0</v>
      </c>
      <c r="H658" s="14"/>
      <c r="I658" s="15">
        <f t="shared" si="53"/>
        <v>11.25</v>
      </c>
      <c r="J658" s="14"/>
      <c r="K658" s="13" t="s">
        <v>515</v>
      </c>
    </row>
    <row r="659" spans="1:11" ht="12.6" customHeight="1" x14ac:dyDescent="0.2">
      <c r="A659" s="13">
        <v>43104</v>
      </c>
      <c r="B659" s="19"/>
      <c r="C659" s="15">
        <v>2.5</v>
      </c>
      <c r="D659" s="14"/>
      <c r="E659" s="15">
        <f t="shared" si="52"/>
        <v>88.189000000000007</v>
      </c>
      <c r="F659" s="14"/>
      <c r="G659" s="15">
        <f t="shared" si="51"/>
        <v>2.5</v>
      </c>
      <c r="H659" s="14"/>
      <c r="I659" s="15">
        <f t="shared" si="53"/>
        <v>13.75</v>
      </c>
      <c r="J659" s="14"/>
      <c r="K659" s="13"/>
    </row>
    <row r="660" spans="1:11" ht="12.6" customHeight="1" x14ac:dyDescent="0.2">
      <c r="A660" s="13"/>
      <c r="B660" s="19" t="s">
        <v>517</v>
      </c>
      <c r="C660" s="15"/>
      <c r="D660" s="14">
        <v>2</v>
      </c>
      <c r="E660" s="15">
        <f t="shared" si="52"/>
        <v>86.189000000000007</v>
      </c>
      <c r="F660" s="14"/>
      <c r="G660" s="15">
        <f t="shared" si="51"/>
        <v>0</v>
      </c>
      <c r="H660" s="14">
        <v>12.5</v>
      </c>
      <c r="I660" s="15">
        <f t="shared" si="53"/>
        <v>1.25</v>
      </c>
      <c r="J660" s="14"/>
      <c r="K660" s="13" t="s">
        <v>516</v>
      </c>
    </row>
    <row r="661" spans="1:11" ht="12.6" customHeight="1" x14ac:dyDescent="0.2">
      <c r="A661" s="13">
        <v>43105</v>
      </c>
      <c r="B661" s="19"/>
      <c r="C661" s="15">
        <v>1.25</v>
      </c>
      <c r="D661" s="14"/>
      <c r="E661" s="15">
        <f t="shared" si="52"/>
        <v>87.439000000000007</v>
      </c>
      <c r="F661" s="14"/>
      <c r="G661" s="15">
        <f t="shared" si="51"/>
        <v>1.25</v>
      </c>
      <c r="H661" s="14"/>
      <c r="I661" s="15">
        <f t="shared" si="53"/>
        <v>2.5</v>
      </c>
      <c r="J661" s="14"/>
      <c r="K661" s="16"/>
    </row>
    <row r="662" spans="1:11" ht="12.6" customHeight="1" x14ac:dyDescent="0.2">
      <c r="A662" s="13"/>
      <c r="B662" s="19" t="s">
        <v>129</v>
      </c>
      <c r="C662" s="15"/>
      <c r="D662" s="14"/>
      <c r="E662" s="15">
        <f t="shared" si="52"/>
        <v>87.439000000000007</v>
      </c>
      <c r="F662" s="14"/>
      <c r="G662" s="15">
        <f t="shared" si="51"/>
        <v>0</v>
      </c>
      <c r="H662" s="14">
        <v>0.5</v>
      </c>
      <c r="I662" s="15">
        <f t="shared" si="53"/>
        <v>2</v>
      </c>
      <c r="J662" s="14"/>
      <c r="K662" s="16" t="s">
        <v>518</v>
      </c>
    </row>
    <row r="663" spans="1:11" ht="12.6" customHeight="1" x14ac:dyDescent="0.2">
      <c r="A663" s="19"/>
      <c r="B663" s="19"/>
      <c r="C663" s="36">
        <f>SUM(C637:C662)</f>
        <v>21.25</v>
      </c>
      <c r="D663" s="36">
        <f>SUM(D637:D662)</f>
        <v>25.564</v>
      </c>
      <c r="E663" s="36"/>
      <c r="F663" s="37"/>
      <c r="G663" s="36">
        <f>SUM(G637:G662)</f>
        <v>21.25</v>
      </c>
      <c r="H663" s="36">
        <f>SUM(H637:H662)</f>
        <v>37.5</v>
      </c>
      <c r="I663" s="15"/>
      <c r="J663" s="14"/>
      <c r="K663" s="16"/>
    </row>
    <row r="664" spans="1:11" ht="12.6" customHeight="1" x14ac:dyDescent="0.2">
      <c r="H664" s="27" t="s">
        <v>23</v>
      </c>
      <c r="J664" s="27" t="s">
        <v>481</v>
      </c>
    </row>
    <row r="665" spans="1:11" ht="12.6" customHeight="1" x14ac:dyDescent="0.2"/>
    <row r="666" spans="1:11" ht="12.6" customHeight="1" x14ac:dyDescent="0.2"/>
    <row r="667" spans="1:11" ht="12.6" customHeight="1" x14ac:dyDescent="0.2"/>
    <row r="668" spans="1:11" ht="12.6" customHeight="1" x14ac:dyDescent="0.2"/>
    <row r="669" spans="1:11" ht="12.6" customHeight="1" x14ac:dyDescent="0.2"/>
    <row r="670" spans="1:11" ht="12.6" customHeight="1" x14ac:dyDescent="0.2">
      <c r="A670" s="102" t="str">
        <f>A1</f>
        <v>ONAL, EDMON L.</v>
      </c>
      <c r="B670" s="102"/>
      <c r="C670" s="102"/>
      <c r="D670" s="102"/>
      <c r="E670" s="102"/>
      <c r="F670" s="102"/>
      <c r="G670" s="102"/>
      <c r="H670" s="1"/>
      <c r="I670" s="103" t="s">
        <v>0</v>
      </c>
      <c r="J670" s="103"/>
      <c r="K670" s="2" t="s">
        <v>212</v>
      </c>
    </row>
    <row r="671" spans="1:11" ht="12.6" customHeight="1" x14ac:dyDescent="0.2"/>
    <row r="672" spans="1:11" ht="12.6" customHeight="1" x14ac:dyDescent="0.2">
      <c r="A672" s="104" t="s">
        <v>1</v>
      </c>
      <c r="B672" s="104" t="s">
        <v>2</v>
      </c>
      <c r="C672" s="107" t="s">
        <v>3</v>
      </c>
      <c r="D672" s="108"/>
      <c r="E672" s="108"/>
      <c r="F672" s="109"/>
      <c r="G672" s="107" t="s">
        <v>4</v>
      </c>
      <c r="H672" s="108"/>
      <c r="I672" s="108"/>
      <c r="J672" s="109"/>
      <c r="K672" s="4"/>
    </row>
    <row r="673" spans="1:11" ht="12.6" customHeight="1" x14ac:dyDescent="0.2">
      <c r="A673" s="105"/>
      <c r="B673" s="105"/>
      <c r="C673" s="94" t="s">
        <v>6</v>
      </c>
      <c r="D673" s="5" t="s">
        <v>7</v>
      </c>
      <c r="E673" s="94" t="s">
        <v>8</v>
      </c>
      <c r="F673" s="6" t="s">
        <v>7</v>
      </c>
      <c r="G673" s="94" t="s">
        <v>6</v>
      </c>
      <c r="H673" s="5" t="s">
        <v>7</v>
      </c>
      <c r="I673" s="94" t="s">
        <v>8</v>
      </c>
      <c r="J673" s="1" t="s">
        <v>7</v>
      </c>
      <c r="K673" s="7"/>
    </row>
    <row r="674" spans="1:11" ht="12.6" customHeight="1" x14ac:dyDescent="0.2">
      <c r="A674" s="105"/>
      <c r="B674" s="105"/>
      <c r="C674" s="95"/>
      <c r="D674" s="8" t="s">
        <v>10</v>
      </c>
      <c r="E674" s="95"/>
      <c r="F674" s="6" t="s">
        <v>10</v>
      </c>
      <c r="G674" s="95"/>
      <c r="H674" s="8" t="s">
        <v>10</v>
      </c>
      <c r="I674" s="95"/>
      <c r="J674" s="1" t="s">
        <v>10</v>
      </c>
      <c r="K674" s="7"/>
    </row>
    <row r="675" spans="1:11" ht="12.6" customHeight="1" x14ac:dyDescent="0.2">
      <c r="A675" s="106"/>
      <c r="B675" s="106"/>
      <c r="C675" s="96"/>
      <c r="D675" s="9" t="s">
        <v>12</v>
      </c>
      <c r="E675" s="96"/>
      <c r="F675" s="10" t="s">
        <v>13</v>
      </c>
      <c r="G675" s="96"/>
      <c r="H675" s="9" t="s">
        <v>12</v>
      </c>
      <c r="I675" s="96"/>
      <c r="J675" s="11" t="s">
        <v>13</v>
      </c>
      <c r="K675" s="12"/>
    </row>
    <row r="676" spans="1:11" ht="12.6" customHeight="1" x14ac:dyDescent="0.2">
      <c r="A676" s="13"/>
      <c r="B676" s="19" t="s">
        <v>76</v>
      </c>
      <c r="C676" s="15"/>
      <c r="D676" s="14">
        <v>2</v>
      </c>
      <c r="E676" s="15">
        <f>E662+C676-D676</f>
        <v>85.439000000000007</v>
      </c>
      <c r="F676" s="14"/>
      <c r="G676" s="15">
        <f t="shared" ref="G676:G701" si="54">C676</f>
        <v>0</v>
      </c>
      <c r="H676" s="14"/>
      <c r="I676" s="15">
        <f>I662+G676-H676</f>
        <v>2</v>
      </c>
      <c r="J676" s="14"/>
      <c r="K676" s="16" t="s">
        <v>519</v>
      </c>
    </row>
    <row r="677" spans="1:11" ht="12.6" customHeight="1" x14ac:dyDescent="0.2">
      <c r="A677" s="13">
        <v>43106</v>
      </c>
      <c r="B677" s="19"/>
      <c r="C677" s="15">
        <v>1.25</v>
      </c>
      <c r="D677" s="14"/>
      <c r="E677" s="15">
        <f>E676+C677-D677</f>
        <v>86.689000000000007</v>
      </c>
      <c r="F677" s="14"/>
      <c r="G677" s="15">
        <f t="shared" si="54"/>
        <v>1.25</v>
      </c>
      <c r="H677" s="14"/>
      <c r="I677" s="15">
        <f>I676+G677-H677</f>
        <v>3.25</v>
      </c>
      <c r="J677" s="14"/>
      <c r="K677" s="13"/>
    </row>
    <row r="678" spans="1:11" ht="12.6" customHeight="1" x14ac:dyDescent="0.2">
      <c r="A678" s="13"/>
      <c r="B678" s="19" t="s">
        <v>47</v>
      </c>
      <c r="C678" s="15"/>
      <c r="D678" s="14"/>
      <c r="E678" s="15">
        <f t="shared" ref="E678:E701" si="55">E677+C678-D678</f>
        <v>86.689000000000007</v>
      </c>
      <c r="F678" s="14"/>
      <c r="G678" s="15">
        <f t="shared" si="54"/>
        <v>0</v>
      </c>
      <c r="H678" s="14">
        <v>1</v>
      </c>
      <c r="I678" s="15">
        <f t="shared" ref="I678:I701" si="56">I677+G678-H678</f>
        <v>2.25</v>
      </c>
      <c r="J678" s="14"/>
      <c r="K678" s="13" t="s">
        <v>520</v>
      </c>
    </row>
    <row r="679" spans="1:11" ht="12.6" customHeight="1" x14ac:dyDescent="0.2">
      <c r="A679" s="13">
        <v>43107</v>
      </c>
      <c r="B679" s="19"/>
      <c r="C679" s="15">
        <v>1.25</v>
      </c>
      <c r="D679" s="14"/>
      <c r="E679" s="15">
        <f t="shared" si="55"/>
        <v>87.939000000000007</v>
      </c>
      <c r="F679" s="14"/>
      <c r="G679" s="15">
        <f t="shared" si="54"/>
        <v>1.25</v>
      </c>
      <c r="H679" s="14"/>
      <c r="I679" s="15">
        <f t="shared" si="56"/>
        <v>3.5</v>
      </c>
      <c r="J679" s="14"/>
      <c r="K679" s="16"/>
    </row>
    <row r="680" spans="1:11" ht="12.6" customHeight="1" x14ac:dyDescent="0.2">
      <c r="A680" s="13"/>
      <c r="B680" s="19" t="s">
        <v>95</v>
      </c>
      <c r="C680" s="15"/>
      <c r="D680" s="14">
        <v>3</v>
      </c>
      <c r="E680" s="15">
        <f t="shared" si="55"/>
        <v>84.939000000000007</v>
      </c>
      <c r="F680" s="14"/>
      <c r="G680" s="15">
        <f t="shared" si="54"/>
        <v>0</v>
      </c>
      <c r="H680" s="14"/>
      <c r="I680" s="15">
        <f t="shared" si="56"/>
        <v>3.5</v>
      </c>
      <c r="J680" s="14"/>
      <c r="K680" s="13" t="s">
        <v>521</v>
      </c>
    </row>
    <row r="681" spans="1:11" ht="12.6" customHeight="1" x14ac:dyDescent="0.2">
      <c r="A681" s="13">
        <v>43108</v>
      </c>
      <c r="B681" s="19"/>
      <c r="C681" s="15">
        <v>1.25</v>
      </c>
      <c r="D681" s="14"/>
      <c r="E681" s="15">
        <f t="shared" si="55"/>
        <v>86.189000000000007</v>
      </c>
      <c r="F681" s="14"/>
      <c r="G681" s="15">
        <f t="shared" si="54"/>
        <v>1.25</v>
      </c>
      <c r="H681" s="14"/>
      <c r="I681" s="15">
        <f t="shared" si="56"/>
        <v>4.75</v>
      </c>
      <c r="J681" s="14"/>
      <c r="K681" s="16"/>
    </row>
    <row r="682" spans="1:11" ht="12.6" customHeight="1" x14ac:dyDescent="0.2">
      <c r="A682" s="13"/>
      <c r="B682" s="19" t="s">
        <v>184</v>
      </c>
      <c r="C682" s="15"/>
      <c r="D682" s="14">
        <v>10</v>
      </c>
      <c r="E682" s="15">
        <f t="shared" si="55"/>
        <v>76.189000000000007</v>
      </c>
      <c r="F682" s="14"/>
      <c r="G682" s="15">
        <f t="shared" si="54"/>
        <v>0</v>
      </c>
      <c r="H682" s="14"/>
      <c r="I682" s="15">
        <f t="shared" si="56"/>
        <v>4.75</v>
      </c>
      <c r="J682" s="14"/>
      <c r="K682" s="13">
        <v>43132</v>
      </c>
    </row>
    <row r="683" spans="1:11" ht="12.6" customHeight="1" x14ac:dyDescent="0.2">
      <c r="A683" s="13"/>
      <c r="B683" s="19" t="s">
        <v>47</v>
      </c>
      <c r="C683" s="15"/>
      <c r="D683" s="14"/>
      <c r="E683" s="15">
        <f t="shared" si="55"/>
        <v>76.189000000000007</v>
      </c>
      <c r="F683" s="14"/>
      <c r="G683" s="15">
        <f t="shared" si="54"/>
        <v>0</v>
      </c>
      <c r="H683" s="14">
        <v>1</v>
      </c>
      <c r="I683" s="15">
        <f t="shared" si="56"/>
        <v>3.75</v>
      </c>
      <c r="J683" s="14"/>
      <c r="K683" s="13">
        <v>43139</v>
      </c>
    </row>
    <row r="684" spans="1:11" ht="12.6" customHeight="1" x14ac:dyDescent="0.2">
      <c r="A684" s="13"/>
      <c r="B684" s="19" t="s">
        <v>76</v>
      </c>
      <c r="C684" s="15"/>
      <c r="D684" s="14">
        <v>2</v>
      </c>
      <c r="E684" s="15">
        <f t="shared" si="55"/>
        <v>74.189000000000007</v>
      </c>
      <c r="F684" s="14"/>
      <c r="G684" s="15">
        <f t="shared" si="54"/>
        <v>0</v>
      </c>
      <c r="H684" s="14"/>
      <c r="I684" s="15">
        <f t="shared" si="56"/>
        <v>3.75</v>
      </c>
      <c r="J684" s="14"/>
      <c r="K684" s="16" t="s">
        <v>522</v>
      </c>
    </row>
    <row r="685" spans="1:11" ht="12.6" customHeight="1" x14ac:dyDescent="0.2">
      <c r="A685" s="13">
        <v>43109</v>
      </c>
      <c r="B685" s="19"/>
      <c r="C685" s="15">
        <v>1.25</v>
      </c>
      <c r="D685" s="14"/>
      <c r="E685" s="15">
        <f t="shared" si="55"/>
        <v>75.439000000000007</v>
      </c>
      <c r="F685" s="14"/>
      <c r="G685" s="15">
        <f t="shared" si="54"/>
        <v>1.25</v>
      </c>
      <c r="H685" s="14"/>
      <c r="I685" s="15">
        <f t="shared" si="56"/>
        <v>5</v>
      </c>
      <c r="J685" s="14"/>
      <c r="K685" s="16"/>
    </row>
    <row r="686" spans="1:11" ht="12.6" customHeight="1" x14ac:dyDescent="0.2">
      <c r="A686" s="13"/>
      <c r="B686" s="19" t="s">
        <v>52</v>
      </c>
      <c r="C686" s="15"/>
      <c r="D686" s="14"/>
      <c r="E686" s="15">
        <f t="shared" si="55"/>
        <v>75.439000000000007</v>
      </c>
      <c r="F686" s="14"/>
      <c r="G686" s="15">
        <f t="shared" si="54"/>
        <v>0</v>
      </c>
      <c r="H686" s="14">
        <v>2</v>
      </c>
      <c r="I686" s="15">
        <f t="shared" si="56"/>
        <v>3</v>
      </c>
      <c r="J686" s="14"/>
      <c r="K686" s="16" t="s">
        <v>523</v>
      </c>
    </row>
    <row r="687" spans="1:11" ht="12.6" customHeight="1" x14ac:dyDescent="0.2">
      <c r="A687" s="13">
        <v>43112</v>
      </c>
      <c r="B687" s="19"/>
      <c r="C687" s="15">
        <v>3.75</v>
      </c>
      <c r="D687" s="14"/>
      <c r="E687" s="15">
        <f t="shared" si="55"/>
        <v>79.189000000000007</v>
      </c>
      <c r="F687" s="14"/>
      <c r="G687" s="15">
        <f t="shared" si="54"/>
        <v>3.75</v>
      </c>
      <c r="H687" s="14"/>
      <c r="I687" s="15">
        <f t="shared" si="56"/>
        <v>6.75</v>
      </c>
      <c r="J687" s="14"/>
      <c r="K687" s="13"/>
    </row>
    <row r="688" spans="1:11" ht="12.6" customHeight="1" x14ac:dyDescent="0.2">
      <c r="A688" s="13"/>
      <c r="B688" s="19" t="s">
        <v>288</v>
      </c>
      <c r="C688" s="15"/>
      <c r="D688" s="14"/>
      <c r="E688" s="15">
        <f t="shared" si="55"/>
        <v>79.189000000000007</v>
      </c>
      <c r="F688" s="14"/>
      <c r="G688" s="15">
        <f t="shared" si="54"/>
        <v>0</v>
      </c>
      <c r="H688" s="14">
        <v>4.5</v>
      </c>
      <c r="I688" s="15">
        <f t="shared" si="56"/>
        <v>2.25</v>
      </c>
      <c r="J688" s="14"/>
      <c r="K688" s="13" t="s">
        <v>524</v>
      </c>
    </row>
    <row r="689" spans="1:11" ht="12.6" customHeight="1" x14ac:dyDescent="0.2">
      <c r="A689" s="13">
        <v>43466</v>
      </c>
      <c r="B689" s="19"/>
      <c r="C689" s="15">
        <v>1.25</v>
      </c>
      <c r="D689" s="14"/>
      <c r="E689" s="15">
        <f t="shared" si="55"/>
        <v>80.439000000000007</v>
      </c>
      <c r="F689" s="14"/>
      <c r="G689" s="15">
        <f t="shared" si="54"/>
        <v>1.25</v>
      </c>
      <c r="H689" s="14"/>
      <c r="I689" s="15">
        <f t="shared" si="56"/>
        <v>3.5</v>
      </c>
      <c r="J689" s="14"/>
      <c r="K689" s="13"/>
    </row>
    <row r="690" spans="1:11" ht="12.6" customHeight="1" x14ac:dyDescent="0.2">
      <c r="A690" s="13"/>
      <c r="B690" s="19" t="s">
        <v>52</v>
      </c>
      <c r="C690" s="15"/>
      <c r="D690" s="14"/>
      <c r="E690" s="15">
        <f t="shared" si="55"/>
        <v>80.439000000000007</v>
      </c>
      <c r="F690" s="14"/>
      <c r="G690" s="15">
        <f t="shared" si="54"/>
        <v>0</v>
      </c>
      <c r="H690" s="14">
        <v>2</v>
      </c>
      <c r="I690" s="15">
        <f t="shared" si="56"/>
        <v>1.5</v>
      </c>
      <c r="J690" s="14"/>
      <c r="K690" s="13" t="s">
        <v>525</v>
      </c>
    </row>
    <row r="691" spans="1:11" ht="12.6" customHeight="1" x14ac:dyDescent="0.2">
      <c r="A691" s="13">
        <v>43467</v>
      </c>
      <c r="B691" s="19"/>
      <c r="C691" s="15">
        <v>1.25</v>
      </c>
      <c r="D691" s="14"/>
      <c r="E691" s="15">
        <f t="shared" si="55"/>
        <v>81.689000000000007</v>
      </c>
      <c r="F691" s="14"/>
      <c r="G691" s="15">
        <f t="shared" si="54"/>
        <v>1.25</v>
      </c>
      <c r="H691" s="14"/>
      <c r="I691" s="15">
        <f t="shared" si="56"/>
        <v>2.75</v>
      </c>
      <c r="J691" s="14"/>
      <c r="K691" s="13"/>
    </row>
    <row r="692" spans="1:11" ht="12.6" customHeight="1" x14ac:dyDescent="0.2">
      <c r="A692" s="16"/>
      <c r="B692" s="19" t="s">
        <v>47</v>
      </c>
      <c r="C692" s="15"/>
      <c r="D692" s="14"/>
      <c r="E692" s="15">
        <f t="shared" si="55"/>
        <v>81.689000000000007</v>
      </c>
      <c r="F692" s="14"/>
      <c r="G692" s="15">
        <f t="shared" si="54"/>
        <v>0</v>
      </c>
      <c r="H692" s="14">
        <v>1</v>
      </c>
      <c r="I692" s="15">
        <f t="shared" si="56"/>
        <v>1.75</v>
      </c>
      <c r="J692" s="14"/>
      <c r="K692" s="13">
        <v>43557</v>
      </c>
    </row>
    <row r="693" spans="1:11" ht="12.6" customHeight="1" x14ac:dyDescent="0.2">
      <c r="A693" s="13"/>
      <c r="B693" s="19" t="s">
        <v>45</v>
      </c>
      <c r="C693" s="15"/>
      <c r="D693" s="15"/>
      <c r="E693" s="15">
        <f t="shared" si="55"/>
        <v>81.689000000000007</v>
      </c>
      <c r="F693" s="14"/>
      <c r="G693" s="15">
        <f t="shared" si="54"/>
        <v>0</v>
      </c>
      <c r="H693" s="14"/>
      <c r="I693" s="15">
        <f t="shared" si="56"/>
        <v>1.75</v>
      </c>
      <c r="J693" s="14"/>
      <c r="K693" s="13" t="s">
        <v>526</v>
      </c>
    </row>
    <row r="694" spans="1:11" ht="12.6" customHeight="1" x14ac:dyDescent="0.2">
      <c r="A694" s="13">
        <v>43469</v>
      </c>
      <c r="B694" s="19"/>
      <c r="C694" s="15">
        <v>2.5</v>
      </c>
      <c r="D694" s="14"/>
      <c r="E694" s="15">
        <f t="shared" si="55"/>
        <v>84.189000000000007</v>
      </c>
      <c r="F694" s="14"/>
      <c r="G694" s="15">
        <f t="shared" si="54"/>
        <v>2.5</v>
      </c>
      <c r="H694" s="14"/>
      <c r="I694" s="15">
        <f t="shared" si="56"/>
        <v>4.25</v>
      </c>
      <c r="J694" s="14"/>
      <c r="K694" s="16"/>
    </row>
    <row r="695" spans="1:11" ht="12.6" customHeight="1" x14ac:dyDescent="0.2">
      <c r="A695" s="16"/>
      <c r="B695" s="19" t="s">
        <v>45</v>
      </c>
      <c r="C695" s="15"/>
      <c r="D695" s="15"/>
      <c r="E695" s="15">
        <f t="shared" si="55"/>
        <v>84.189000000000007</v>
      </c>
      <c r="F695" s="14"/>
      <c r="G695" s="15">
        <f t="shared" si="54"/>
        <v>0</v>
      </c>
      <c r="H695" s="14"/>
      <c r="I695" s="15">
        <f t="shared" si="56"/>
        <v>4.25</v>
      </c>
      <c r="J695" s="14"/>
      <c r="K695" s="13" t="s">
        <v>527</v>
      </c>
    </row>
    <row r="696" spans="1:11" ht="12.6" customHeight="1" x14ac:dyDescent="0.2">
      <c r="A696" s="13">
        <v>43470</v>
      </c>
      <c r="B696" s="19"/>
      <c r="C696" s="15">
        <v>1.25</v>
      </c>
      <c r="D696" s="14"/>
      <c r="E696" s="15">
        <f t="shared" si="55"/>
        <v>85.439000000000007</v>
      </c>
      <c r="F696" s="14"/>
      <c r="G696" s="15">
        <f t="shared" si="54"/>
        <v>1.25</v>
      </c>
      <c r="H696" s="14"/>
      <c r="I696" s="15">
        <f t="shared" si="56"/>
        <v>5.5</v>
      </c>
      <c r="J696" s="14"/>
      <c r="K696" s="16"/>
    </row>
    <row r="697" spans="1:11" ht="12.6" customHeight="1" x14ac:dyDescent="0.2">
      <c r="A697" s="13"/>
      <c r="B697" s="19" t="s">
        <v>45</v>
      </c>
      <c r="C697" s="15"/>
      <c r="D697" s="14"/>
      <c r="E697" s="15">
        <f t="shared" si="55"/>
        <v>85.439000000000007</v>
      </c>
      <c r="F697" s="14"/>
      <c r="G697" s="15">
        <f t="shared" si="54"/>
        <v>0</v>
      </c>
      <c r="H697" s="14"/>
      <c r="I697" s="15">
        <f t="shared" si="56"/>
        <v>5.5</v>
      </c>
      <c r="J697" s="14"/>
      <c r="K697" s="13">
        <v>43621</v>
      </c>
    </row>
    <row r="698" spans="1:11" ht="12.6" customHeight="1" x14ac:dyDescent="0.2">
      <c r="A698" s="13"/>
      <c r="B698" s="19" t="s">
        <v>529</v>
      </c>
      <c r="C698" s="15"/>
      <c r="D698" s="14">
        <v>2.5</v>
      </c>
      <c r="E698" s="15">
        <f t="shared" si="55"/>
        <v>82.939000000000007</v>
      </c>
      <c r="F698" s="14"/>
      <c r="G698" s="15">
        <f t="shared" si="54"/>
        <v>0</v>
      </c>
      <c r="H698" s="14"/>
      <c r="I698" s="15">
        <f t="shared" si="56"/>
        <v>5.5</v>
      </c>
      <c r="J698" s="14"/>
      <c r="K698" s="13" t="s">
        <v>528</v>
      </c>
    </row>
    <row r="699" spans="1:11" ht="12.6" customHeight="1" x14ac:dyDescent="0.2">
      <c r="A699" s="13">
        <v>43473</v>
      </c>
      <c r="B699" s="19"/>
      <c r="C699" s="15">
        <v>3.75</v>
      </c>
      <c r="D699" s="14"/>
      <c r="E699" s="15">
        <f t="shared" si="55"/>
        <v>86.689000000000007</v>
      </c>
      <c r="F699" s="14"/>
      <c r="G699" s="15">
        <f t="shared" si="54"/>
        <v>3.75</v>
      </c>
      <c r="H699" s="14"/>
      <c r="I699" s="15">
        <f t="shared" si="56"/>
        <v>9.25</v>
      </c>
      <c r="J699" s="14"/>
      <c r="K699" s="13"/>
    </row>
    <row r="700" spans="1:11" ht="12.6" customHeight="1" x14ac:dyDescent="0.2">
      <c r="A700" s="13"/>
      <c r="B700" s="19" t="s">
        <v>47</v>
      </c>
      <c r="C700" s="15"/>
      <c r="D700" s="14"/>
      <c r="E700" s="15">
        <f t="shared" si="55"/>
        <v>86.689000000000007</v>
      </c>
      <c r="F700" s="14"/>
      <c r="G700" s="15">
        <f t="shared" si="54"/>
        <v>0</v>
      </c>
      <c r="H700" s="14">
        <v>1</v>
      </c>
      <c r="I700" s="15">
        <f t="shared" si="56"/>
        <v>8.25</v>
      </c>
      <c r="J700" s="14"/>
      <c r="K700" s="16" t="s">
        <v>532</v>
      </c>
    </row>
    <row r="701" spans="1:11" ht="12.6" customHeight="1" x14ac:dyDescent="0.2">
      <c r="A701" s="13">
        <v>43474</v>
      </c>
      <c r="B701" s="19"/>
      <c r="C701" s="15">
        <v>1.25</v>
      </c>
      <c r="D701" s="14"/>
      <c r="E701" s="15">
        <f t="shared" si="55"/>
        <v>87.939000000000007</v>
      </c>
      <c r="F701" s="14"/>
      <c r="G701" s="15">
        <f t="shared" si="54"/>
        <v>1.25</v>
      </c>
      <c r="H701" s="14"/>
      <c r="I701" s="15">
        <f t="shared" si="56"/>
        <v>9.5</v>
      </c>
      <c r="J701" s="14"/>
      <c r="K701" s="16"/>
    </row>
    <row r="702" spans="1:11" ht="12.6" customHeight="1" x14ac:dyDescent="0.2">
      <c r="A702" s="19"/>
      <c r="B702" s="19"/>
      <c r="C702" s="36">
        <f>SUM(C676:C701)</f>
        <v>20</v>
      </c>
      <c r="D702" s="36">
        <f>SUM(D676:D701)</f>
        <v>19.5</v>
      </c>
      <c r="E702" s="36"/>
      <c r="F702" s="37"/>
      <c r="G702" s="36">
        <f>SUM(G676:G701)</f>
        <v>20</v>
      </c>
      <c r="H702" s="36">
        <f>SUM(H676:H701)</f>
        <v>12.5</v>
      </c>
      <c r="I702" s="15"/>
      <c r="J702" s="14"/>
      <c r="K702" s="16"/>
    </row>
    <row r="703" spans="1:11" ht="12.6" customHeight="1" x14ac:dyDescent="0.2">
      <c r="H703" s="27" t="s">
        <v>23</v>
      </c>
      <c r="J703" s="27" t="s">
        <v>482</v>
      </c>
    </row>
    <row r="704" spans="1:11" ht="12.6" customHeight="1" x14ac:dyDescent="0.2"/>
    <row r="705" spans="1:11" ht="12.6" customHeight="1" x14ac:dyDescent="0.2">
      <c r="A705" s="102" t="str">
        <f>A1</f>
        <v>ONAL, EDMON L.</v>
      </c>
      <c r="B705" s="102"/>
      <c r="C705" s="102"/>
      <c r="D705" s="102"/>
      <c r="E705" s="102"/>
      <c r="F705" s="102"/>
      <c r="G705" s="102"/>
      <c r="H705" s="1"/>
      <c r="I705" s="103" t="s">
        <v>0</v>
      </c>
      <c r="J705" s="103"/>
      <c r="K705" s="2" t="s">
        <v>212</v>
      </c>
    </row>
    <row r="706" spans="1:11" ht="12.6" customHeight="1" x14ac:dyDescent="0.2"/>
    <row r="707" spans="1:11" ht="12.6" customHeight="1" x14ac:dyDescent="0.2">
      <c r="A707" s="104" t="s">
        <v>1</v>
      </c>
      <c r="B707" s="104" t="s">
        <v>2</v>
      </c>
      <c r="C707" s="107" t="s">
        <v>3</v>
      </c>
      <c r="D707" s="108"/>
      <c r="E707" s="108"/>
      <c r="F707" s="109"/>
      <c r="G707" s="107" t="s">
        <v>4</v>
      </c>
      <c r="H707" s="108"/>
      <c r="I707" s="108"/>
      <c r="J707" s="109"/>
      <c r="K707" s="4"/>
    </row>
    <row r="708" spans="1:11" ht="12.6" customHeight="1" x14ac:dyDescent="0.2">
      <c r="A708" s="105"/>
      <c r="B708" s="105"/>
      <c r="C708" s="94" t="s">
        <v>6</v>
      </c>
      <c r="D708" s="5" t="s">
        <v>7</v>
      </c>
      <c r="E708" s="94" t="s">
        <v>8</v>
      </c>
      <c r="F708" s="6" t="s">
        <v>7</v>
      </c>
      <c r="G708" s="94" t="s">
        <v>6</v>
      </c>
      <c r="H708" s="5" t="s">
        <v>7</v>
      </c>
      <c r="I708" s="94" t="s">
        <v>8</v>
      </c>
      <c r="J708" s="1" t="s">
        <v>7</v>
      </c>
      <c r="K708" s="7"/>
    </row>
    <row r="709" spans="1:11" ht="12.6" customHeight="1" x14ac:dyDescent="0.2">
      <c r="A709" s="105"/>
      <c r="B709" s="105"/>
      <c r="C709" s="95"/>
      <c r="D709" s="8" t="s">
        <v>10</v>
      </c>
      <c r="E709" s="95"/>
      <c r="F709" s="6" t="s">
        <v>10</v>
      </c>
      <c r="G709" s="95"/>
      <c r="H709" s="8" t="s">
        <v>10</v>
      </c>
      <c r="I709" s="95"/>
      <c r="J709" s="1" t="s">
        <v>10</v>
      </c>
      <c r="K709" s="7"/>
    </row>
    <row r="710" spans="1:11" ht="12.6" customHeight="1" x14ac:dyDescent="0.2">
      <c r="A710" s="106"/>
      <c r="B710" s="106"/>
      <c r="C710" s="96"/>
      <c r="D710" s="9" t="s">
        <v>12</v>
      </c>
      <c r="E710" s="96"/>
      <c r="F710" s="10" t="s">
        <v>13</v>
      </c>
      <c r="G710" s="96"/>
      <c r="H710" s="9" t="s">
        <v>12</v>
      </c>
      <c r="I710" s="96"/>
      <c r="J710" s="11" t="s">
        <v>13</v>
      </c>
      <c r="K710" s="12"/>
    </row>
    <row r="711" spans="1:11" ht="12.6" customHeight="1" x14ac:dyDescent="0.2">
      <c r="A711" s="13"/>
      <c r="B711" s="19" t="s">
        <v>67</v>
      </c>
      <c r="C711" s="15"/>
      <c r="D711" s="14"/>
      <c r="E711" s="15">
        <f>E701+C711-D711</f>
        <v>87.939000000000007</v>
      </c>
      <c r="F711" s="14"/>
      <c r="G711" s="15">
        <f t="shared" ref="G711:G736" si="57">C711</f>
        <v>0</v>
      </c>
      <c r="H711" s="14">
        <v>3</v>
      </c>
      <c r="I711" s="15">
        <f>I701+G711-H711</f>
        <v>6.5</v>
      </c>
      <c r="J711" s="14"/>
      <c r="K711" s="16" t="s">
        <v>530</v>
      </c>
    </row>
    <row r="712" spans="1:11" ht="12.6" customHeight="1" x14ac:dyDescent="0.2">
      <c r="A712" s="13"/>
      <c r="B712" s="19" t="s">
        <v>47</v>
      </c>
      <c r="C712" s="15"/>
      <c r="D712" s="14"/>
      <c r="E712" s="15">
        <f>E711+C712-D712</f>
        <v>87.939000000000007</v>
      </c>
      <c r="F712" s="14"/>
      <c r="G712" s="15">
        <f t="shared" si="57"/>
        <v>0</v>
      </c>
      <c r="H712" s="14">
        <v>1</v>
      </c>
      <c r="I712" s="15">
        <f>I711+G712-H712</f>
        <v>5.5</v>
      </c>
      <c r="J712" s="14"/>
      <c r="K712" s="13" t="s">
        <v>531</v>
      </c>
    </row>
    <row r="713" spans="1:11" ht="12.6" customHeight="1" x14ac:dyDescent="0.2">
      <c r="A713" s="13"/>
      <c r="B713" s="19" t="s">
        <v>67</v>
      </c>
      <c r="C713" s="15"/>
      <c r="D713" s="14"/>
      <c r="E713" s="15">
        <f t="shared" ref="E713:E736" si="58">E712+C713-D713</f>
        <v>87.939000000000007</v>
      </c>
      <c r="F713" s="14"/>
      <c r="G713" s="15">
        <f t="shared" si="57"/>
        <v>0</v>
      </c>
      <c r="H713" s="14">
        <v>3</v>
      </c>
      <c r="I713" s="15">
        <f t="shared" ref="I713:I736" si="59">I712+G713-H713</f>
        <v>2.5</v>
      </c>
      <c r="J713" s="14"/>
      <c r="K713" s="13" t="s">
        <v>533</v>
      </c>
    </row>
    <row r="714" spans="1:11" ht="12.6" customHeight="1" x14ac:dyDescent="0.2">
      <c r="A714" s="13">
        <v>43475</v>
      </c>
      <c r="B714" s="19"/>
      <c r="C714" s="15">
        <v>1.25</v>
      </c>
      <c r="D714" s="14"/>
      <c r="E714" s="15">
        <f t="shared" si="58"/>
        <v>89.189000000000007</v>
      </c>
      <c r="F714" s="14"/>
      <c r="G714" s="15">
        <f t="shared" si="57"/>
        <v>1.25</v>
      </c>
      <c r="H714" s="14"/>
      <c r="I714" s="15">
        <f t="shared" si="59"/>
        <v>3.75</v>
      </c>
      <c r="J714" s="14"/>
      <c r="K714" s="16"/>
    </row>
    <row r="715" spans="1:11" ht="12.6" customHeight="1" x14ac:dyDescent="0.2">
      <c r="A715" s="13"/>
      <c r="B715" s="19" t="s">
        <v>47</v>
      </c>
      <c r="C715" s="15"/>
      <c r="D715" s="14"/>
      <c r="E715" s="15">
        <f t="shared" si="58"/>
        <v>89.189000000000007</v>
      </c>
      <c r="F715" s="14"/>
      <c r="G715" s="15">
        <f t="shared" si="57"/>
        <v>0</v>
      </c>
      <c r="H715" s="14">
        <v>1</v>
      </c>
      <c r="I715" s="15">
        <f t="shared" si="59"/>
        <v>2.75</v>
      </c>
      <c r="J715" s="14"/>
      <c r="K715" s="13" t="s">
        <v>534</v>
      </c>
    </row>
    <row r="716" spans="1:11" ht="12.6" customHeight="1" x14ac:dyDescent="0.2">
      <c r="A716" s="13">
        <v>43476</v>
      </c>
      <c r="B716" s="19"/>
      <c r="C716" s="15">
        <v>1.25</v>
      </c>
      <c r="D716" s="14"/>
      <c r="E716" s="15">
        <f t="shared" si="58"/>
        <v>90.439000000000007</v>
      </c>
      <c r="F716" s="14"/>
      <c r="G716" s="15">
        <f t="shared" si="57"/>
        <v>1.25</v>
      </c>
      <c r="H716" s="14"/>
      <c r="I716" s="15">
        <f t="shared" si="59"/>
        <v>4</v>
      </c>
      <c r="J716" s="14"/>
      <c r="K716" s="16"/>
    </row>
    <row r="717" spans="1:11" ht="12.6" customHeight="1" x14ac:dyDescent="0.2">
      <c r="A717" s="13"/>
      <c r="B717" s="19" t="s">
        <v>536</v>
      </c>
      <c r="C717" s="15"/>
      <c r="D717" s="14">
        <v>1</v>
      </c>
      <c r="E717" s="15">
        <f t="shared" si="58"/>
        <v>89.439000000000007</v>
      </c>
      <c r="F717" s="14"/>
      <c r="G717" s="15">
        <f t="shared" si="57"/>
        <v>0</v>
      </c>
      <c r="H717" s="14">
        <v>2</v>
      </c>
      <c r="I717" s="15">
        <f t="shared" si="59"/>
        <v>2</v>
      </c>
      <c r="J717" s="14"/>
      <c r="K717" s="13" t="s">
        <v>535</v>
      </c>
    </row>
    <row r="718" spans="1:11" ht="12.6" customHeight="1" x14ac:dyDescent="0.2">
      <c r="A718" s="13">
        <v>43831</v>
      </c>
      <c r="B718" s="19"/>
      <c r="C718" s="15">
        <v>2.5</v>
      </c>
      <c r="D718" s="14"/>
      <c r="E718" s="15">
        <f t="shared" si="58"/>
        <v>91.939000000000007</v>
      </c>
      <c r="F718" s="14"/>
      <c r="G718" s="15">
        <f t="shared" si="57"/>
        <v>2.5</v>
      </c>
      <c r="H718" s="14"/>
      <c r="I718" s="15">
        <f t="shared" si="59"/>
        <v>4.5</v>
      </c>
      <c r="J718" s="14"/>
      <c r="K718" s="13"/>
    </row>
    <row r="719" spans="1:11" ht="12.6" customHeight="1" x14ac:dyDescent="0.2">
      <c r="A719" s="13"/>
      <c r="B719" s="19" t="s">
        <v>538</v>
      </c>
      <c r="C719" s="15"/>
      <c r="D719" s="14">
        <v>2.5</v>
      </c>
      <c r="E719" s="15">
        <f t="shared" si="58"/>
        <v>89.439000000000007</v>
      </c>
      <c r="F719" s="14"/>
      <c r="G719" s="15">
        <f t="shared" si="57"/>
        <v>0</v>
      </c>
      <c r="H719" s="14"/>
      <c r="I719" s="15">
        <f t="shared" si="59"/>
        <v>4.5</v>
      </c>
      <c r="J719" s="14"/>
      <c r="K719" s="16" t="s">
        <v>537</v>
      </c>
    </row>
    <row r="720" spans="1:11" ht="12.6" customHeight="1" x14ac:dyDescent="0.2">
      <c r="A720" s="13">
        <v>43832</v>
      </c>
      <c r="B720" s="19"/>
      <c r="C720" s="15">
        <v>1.25</v>
      </c>
      <c r="D720" s="14"/>
      <c r="E720" s="15">
        <f t="shared" si="58"/>
        <v>90.689000000000007</v>
      </c>
      <c r="F720" s="14"/>
      <c r="G720" s="15">
        <f t="shared" si="57"/>
        <v>1.25</v>
      </c>
      <c r="H720" s="14"/>
      <c r="I720" s="15">
        <f t="shared" si="59"/>
        <v>5.75</v>
      </c>
      <c r="J720" s="14"/>
      <c r="K720" s="16"/>
    </row>
    <row r="721" spans="1:11" ht="12.6" customHeight="1" x14ac:dyDescent="0.2">
      <c r="A721" s="13"/>
      <c r="B721" s="19" t="s">
        <v>45</v>
      </c>
      <c r="C721" s="15"/>
      <c r="D721" s="14"/>
      <c r="E721" s="15">
        <f t="shared" si="58"/>
        <v>90.689000000000007</v>
      </c>
      <c r="F721" s="14"/>
      <c r="G721" s="15">
        <f t="shared" si="57"/>
        <v>0</v>
      </c>
      <c r="H721" s="14"/>
      <c r="I721" s="15">
        <f t="shared" si="59"/>
        <v>5.75</v>
      </c>
      <c r="J721" s="14"/>
      <c r="K721" s="16" t="s">
        <v>539</v>
      </c>
    </row>
    <row r="722" spans="1:11" ht="12.6" customHeight="1" x14ac:dyDescent="0.2">
      <c r="A722" s="13">
        <v>43839</v>
      </c>
      <c r="B722" s="19"/>
      <c r="C722" s="15">
        <v>8.75</v>
      </c>
      <c r="D722" s="14"/>
      <c r="E722" s="15">
        <f t="shared" si="58"/>
        <v>99.439000000000007</v>
      </c>
      <c r="F722" s="14"/>
      <c r="G722" s="15">
        <f t="shared" si="57"/>
        <v>8.75</v>
      </c>
      <c r="H722" s="14"/>
      <c r="I722" s="15">
        <f t="shared" si="59"/>
        <v>14.5</v>
      </c>
      <c r="J722" s="14"/>
      <c r="K722" s="13"/>
    </row>
    <row r="723" spans="1:11" ht="12.6" customHeight="1" x14ac:dyDescent="0.2">
      <c r="A723" s="13"/>
      <c r="B723" s="19" t="s">
        <v>45</v>
      </c>
      <c r="C723" s="15"/>
      <c r="D723" s="14"/>
      <c r="E723" s="15">
        <f t="shared" si="58"/>
        <v>99.439000000000007</v>
      </c>
      <c r="F723" s="14"/>
      <c r="G723" s="15">
        <f t="shared" si="57"/>
        <v>0</v>
      </c>
      <c r="H723" s="14"/>
      <c r="I723" s="15">
        <f t="shared" si="59"/>
        <v>14.5</v>
      </c>
      <c r="J723" s="14"/>
      <c r="K723" s="13" t="s">
        <v>540</v>
      </c>
    </row>
    <row r="724" spans="1:11" ht="12.6" customHeight="1" x14ac:dyDescent="0.2">
      <c r="A724" s="13">
        <v>43842</v>
      </c>
      <c r="B724" s="19"/>
      <c r="C724" s="15">
        <v>3.75</v>
      </c>
      <c r="D724" s="14"/>
      <c r="E724" s="15">
        <f t="shared" si="58"/>
        <v>103.18900000000001</v>
      </c>
      <c r="F724" s="14"/>
      <c r="G724" s="15">
        <f t="shared" si="57"/>
        <v>3.75</v>
      </c>
      <c r="H724" s="14"/>
      <c r="I724" s="15">
        <f t="shared" si="59"/>
        <v>18.25</v>
      </c>
      <c r="J724" s="14"/>
      <c r="K724" s="13"/>
    </row>
    <row r="725" spans="1:11" ht="12.6" customHeight="1" x14ac:dyDescent="0.2">
      <c r="A725" s="13"/>
      <c r="B725" s="19" t="s">
        <v>45</v>
      </c>
      <c r="C725" s="15"/>
      <c r="D725" s="14"/>
      <c r="E725" s="15">
        <f t="shared" si="58"/>
        <v>103.18900000000001</v>
      </c>
      <c r="F725" s="14"/>
      <c r="G725" s="15">
        <f t="shared" si="57"/>
        <v>0</v>
      </c>
      <c r="H725" s="14"/>
      <c r="I725" s="15">
        <f t="shared" si="59"/>
        <v>18.25</v>
      </c>
      <c r="J725" s="14"/>
      <c r="K725" s="13">
        <v>44024</v>
      </c>
    </row>
    <row r="726" spans="1:11" ht="12.6" customHeight="1" x14ac:dyDescent="0.2">
      <c r="A726" s="13"/>
      <c r="B726" s="19" t="s">
        <v>195</v>
      </c>
      <c r="C726" s="15"/>
      <c r="D726" s="14"/>
      <c r="E726" s="15">
        <f t="shared" si="58"/>
        <v>103.18900000000001</v>
      </c>
      <c r="F726" s="14"/>
      <c r="G726" s="15">
        <f t="shared" si="57"/>
        <v>0</v>
      </c>
      <c r="H726" s="14"/>
      <c r="I726" s="15">
        <f t="shared" si="59"/>
        <v>18.25</v>
      </c>
      <c r="J726" s="14"/>
      <c r="K726" s="13" t="s">
        <v>541</v>
      </c>
    </row>
    <row r="727" spans="1:11" ht="12.6" customHeight="1" x14ac:dyDescent="0.2">
      <c r="A727" s="13">
        <v>44198</v>
      </c>
      <c r="B727" s="19"/>
      <c r="C727" s="15">
        <v>2.5</v>
      </c>
      <c r="D727" s="14"/>
      <c r="E727" s="15">
        <f t="shared" si="58"/>
        <v>105.68900000000001</v>
      </c>
      <c r="F727" s="14"/>
      <c r="G727" s="15">
        <f t="shared" si="57"/>
        <v>2.5</v>
      </c>
      <c r="H727" s="14"/>
      <c r="I727" s="15">
        <f t="shared" si="59"/>
        <v>20.75</v>
      </c>
      <c r="J727" s="14"/>
      <c r="K727" s="13"/>
    </row>
    <row r="728" spans="1:11" ht="12.6" customHeight="1" x14ac:dyDescent="0.2">
      <c r="A728" s="13"/>
      <c r="B728" s="19" t="s">
        <v>47</v>
      </c>
      <c r="C728" s="15"/>
      <c r="D728" s="15"/>
      <c r="E728" s="15">
        <f t="shared" si="58"/>
        <v>105.68900000000001</v>
      </c>
      <c r="F728" s="14"/>
      <c r="G728" s="15">
        <f t="shared" si="57"/>
        <v>0</v>
      </c>
      <c r="H728" s="14">
        <v>1</v>
      </c>
      <c r="I728" s="15">
        <f t="shared" si="59"/>
        <v>19.75</v>
      </c>
      <c r="J728" s="14"/>
      <c r="K728" s="13" t="s">
        <v>542</v>
      </c>
    </row>
    <row r="729" spans="1:11" ht="12.6" customHeight="1" x14ac:dyDescent="0.2">
      <c r="A729" s="13"/>
      <c r="B729" s="19" t="s">
        <v>47</v>
      </c>
      <c r="C729" s="15"/>
      <c r="D729" s="14"/>
      <c r="E729" s="15">
        <f t="shared" si="58"/>
        <v>105.68900000000001</v>
      </c>
      <c r="F729" s="14"/>
      <c r="G729" s="15">
        <f t="shared" si="57"/>
        <v>0</v>
      </c>
      <c r="H729" s="14">
        <v>1</v>
      </c>
      <c r="I729" s="15">
        <f t="shared" si="59"/>
        <v>18.75</v>
      </c>
      <c r="J729" s="14"/>
      <c r="K729" s="16" t="s">
        <v>543</v>
      </c>
    </row>
    <row r="730" spans="1:11" ht="12.6" customHeight="1" x14ac:dyDescent="0.2">
      <c r="A730" s="16"/>
      <c r="B730" s="19" t="s">
        <v>45</v>
      </c>
      <c r="C730" s="15"/>
      <c r="D730" s="15"/>
      <c r="E730" s="15">
        <f t="shared" si="58"/>
        <v>105.68900000000001</v>
      </c>
      <c r="F730" s="14"/>
      <c r="G730" s="15">
        <f t="shared" si="57"/>
        <v>0</v>
      </c>
      <c r="H730" s="14"/>
      <c r="I730" s="15">
        <f t="shared" si="59"/>
        <v>18.75</v>
      </c>
      <c r="J730" s="14"/>
      <c r="K730" s="13" t="s">
        <v>544</v>
      </c>
    </row>
    <row r="731" spans="1:11" ht="12.6" customHeight="1" x14ac:dyDescent="0.2">
      <c r="A731" s="13">
        <v>44207</v>
      </c>
      <c r="B731" s="19"/>
      <c r="C731" s="15">
        <v>11.25</v>
      </c>
      <c r="D731" s="14"/>
      <c r="E731" s="15">
        <f t="shared" si="58"/>
        <v>116.93900000000001</v>
      </c>
      <c r="F731" s="14"/>
      <c r="G731" s="15">
        <f t="shared" si="57"/>
        <v>11.25</v>
      </c>
      <c r="H731" s="14"/>
      <c r="I731" s="15">
        <f t="shared" si="59"/>
        <v>30</v>
      </c>
      <c r="J731" s="14"/>
      <c r="K731" s="16"/>
    </row>
    <row r="732" spans="1:11" ht="12.6" customHeight="1" x14ac:dyDescent="0.2">
      <c r="A732" s="13"/>
      <c r="B732" s="19" t="s">
        <v>47</v>
      </c>
      <c r="C732" s="15"/>
      <c r="D732" s="14"/>
      <c r="E732" s="15">
        <f t="shared" si="58"/>
        <v>116.93900000000001</v>
      </c>
      <c r="F732" s="14"/>
      <c r="G732" s="15">
        <f t="shared" si="57"/>
        <v>0</v>
      </c>
      <c r="H732" s="14">
        <v>1</v>
      </c>
      <c r="I732" s="15">
        <f t="shared" si="59"/>
        <v>29</v>
      </c>
      <c r="J732" s="14"/>
      <c r="K732" s="13">
        <v>44419</v>
      </c>
    </row>
    <row r="733" spans="1:11" ht="12.6" customHeight="1" x14ac:dyDescent="0.2">
      <c r="A733" s="13">
        <v>44208</v>
      </c>
      <c r="B733" s="19"/>
      <c r="C733" s="15">
        <v>1.25</v>
      </c>
      <c r="D733" s="14"/>
      <c r="E733" s="15">
        <f t="shared" si="58"/>
        <v>118.18900000000001</v>
      </c>
      <c r="F733" s="14"/>
      <c r="G733" s="15">
        <f t="shared" si="57"/>
        <v>1.25</v>
      </c>
      <c r="H733" s="14"/>
      <c r="I733" s="15">
        <f t="shared" si="59"/>
        <v>30.25</v>
      </c>
      <c r="J733" s="14"/>
      <c r="K733" s="13"/>
    </row>
    <row r="734" spans="1:11" ht="12.6" customHeight="1" x14ac:dyDescent="0.2">
      <c r="A734" s="13"/>
      <c r="B734" s="19" t="s">
        <v>45</v>
      </c>
      <c r="C734" s="15"/>
      <c r="D734" s="14"/>
      <c r="E734" s="15">
        <f t="shared" si="58"/>
        <v>118.18900000000001</v>
      </c>
      <c r="F734" s="14"/>
      <c r="G734" s="15">
        <f t="shared" si="57"/>
        <v>0</v>
      </c>
      <c r="H734" s="14"/>
      <c r="I734" s="15">
        <f t="shared" si="59"/>
        <v>30.25</v>
      </c>
      <c r="J734" s="14"/>
      <c r="K734" s="13" t="s">
        <v>545</v>
      </c>
    </row>
    <row r="735" spans="1:11" ht="12.6" customHeight="1" x14ac:dyDescent="0.2">
      <c r="A735" s="13"/>
      <c r="B735" s="19" t="s">
        <v>195</v>
      </c>
      <c r="C735" s="15"/>
      <c r="D735" s="14"/>
      <c r="E735" s="15">
        <f t="shared" si="58"/>
        <v>118.18900000000001</v>
      </c>
      <c r="F735" s="14"/>
      <c r="G735" s="15">
        <f t="shared" si="57"/>
        <v>0</v>
      </c>
      <c r="H735" s="14"/>
      <c r="I735" s="15">
        <f t="shared" si="59"/>
        <v>30.25</v>
      </c>
      <c r="J735" s="14"/>
      <c r="K735" s="16" t="s">
        <v>546</v>
      </c>
    </row>
    <row r="736" spans="1:11" ht="12.6" customHeight="1" x14ac:dyDescent="0.2">
      <c r="A736" s="13"/>
      <c r="B736" s="19" t="s">
        <v>47</v>
      </c>
      <c r="C736" s="15"/>
      <c r="D736" s="14"/>
      <c r="E736" s="15">
        <f t="shared" si="58"/>
        <v>118.18900000000001</v>
      </c>
      <c r="F736" s="14"/>
      <c r="G736" s="15">
        <f t="shared" si="57"/>
        <v>0</v>
      </c>
      <c r="H736" s="14">
        <v>1</v>
      </c>
      <c r="I736" s="15">
        <f t="shared" si="59"/>
        <v>29.25</v>
      </c>
      <c r="J736" s="14"/>
      <c r="K736" s="16" t="s">
        <v>547</v>
      </c>
    </row>
    <row r="737" spans="1:11" ht="12.6" customHeight="1" x14ac:dyDescent="0.2">
      <c r="A737" s="19"/>
      <c r="B737" s="19"/>
      <c r="C737" s="36">
        <f>SUM(C711:C736)</f>
        <v>33.75</v>
      </c>
      <c r="D737" s="36">
        <f>SUM(D711:D736)</f>
        <v>3.5</v>
      </c>
      <c r="E737" s="36"/>
      <c r="F737" s="37"/>
      <c r="G737" s="36">
        <f>SUM(G711:G736)</f>
        <v>33.75</v>
      </c>
      <c r="H737" s="36">
        <f>SUM(H711:H736)</f>
        <v>14</v>
      </c>
      <c r="I737" s="15"/>
      <c r="J737" s="14"/>
      <c r="K737" s="16"/>
    </row>
    <row r="738" spans="1:11" ht="12.6" customHeight="1" x14ac:dyDescent="0.2">
      <c r="H738" s="27" t="s">
        <v>23</v>
      </c>
      <c r="J738" s="27" t="s">
        <v>483</v>
      </c>
    </row>
    <row r="739" spans="1:11" ht="12.6" customHeight="1" x14ac:dyDescent="0.2"/>
    <row r="740" spans="1:11" ht="12.6" customHeight="1" x14ac:dyDescent="0.2"/>
    <row r="741" spans="1:11" ht="12.6" customHeight="1" x14ac:dyDescent="0.2"/>
    <row r="742" spans="1:11" ht="12.6" customHeight="1" x14ac:dyDescent="0.2"/>
    <row r="743" spans="1:11" ht="12.6" customHeight="1" x14ac:dyDescent="0.2"/>
    <row r="744" spans="1:11" ht="12.6" customHeight="1" x14ac:dyDescent="0.2">
      <c r="A744" s="102" t="str">
        <f>A1</f>
        <v>ONAL, EDMON L.</v>
      </c>
      <c r="B744" s="102"/>
      <c r="C744" s="102"/>
      <c r="D744" s="102"/>
      <c r="E744" s="102"/>
      <c r="F744" s="102"/>
      <c r="G744" s="102"/>
      <c r="H744" s="1"/>
      <c r="I744" s="103" t="s">
        <v>0</v>
      </c>
      <c r="J744" s="103"/>
      <c r="K744" s="2" t="s">
        <v>212</v>
      </c>
    </row>
    <row r="745" spans="1:11" ht="12.6" customHeight="1" x14ac:dyDescent="0.2"/>
    <row r="746" spans="1:11" ht="12.6" customHeight="1" x14ac:dyDescent="0.2">
      <c r="A746" s="104" t="s">
        <v>1</v>
      </c>
      <c r="B746" s="104" t="s">
        <v>2</v>
      </c>
      <c r="C746" s="107" t="s">
        <v>3</v>
      </c>
      <c r="D746" s="108"/>
      <c r="E746" s="108"/>
      <c r="F746" s="109"/>
      <c r="G746" s="107" t="s">
        <v>4</v>
      </c>
      <c r="H746" s="108"/>
      <c r="I746" s="108"/>
      <c r="J746" s="109"/>
      <c r="K746" s="4"/>
    </row>
    <row r="747" spans="1:11" ht="12.6" customHeight="1" x14ac:dyDescent="0.2">
      <c r="A747" s="105"/>
      <c r="B747" s="105"/>
      <c r="C747" s="94" t="s">
        <v>6</v>
      </c>
      <c r="D747" s="5" t="s">
        <v>7</v>
      </c>
      <c r="E747" s="94" t="s">
        <v>8</v>
      </c>
      <c r="F747" s="6" t="s">
        <v>7</v>
      </c>
      <c r="G747" s="94" t="s">
        <v>6</v>
      </c>
      <c r="H747" s="5" t="s">
        <v>7</v>
      </c>
      <c r="I747" s="94" t="s">
        <v>8</v>
      </c>
      <c r="J747" s="1" t="s">
        <v>7</v>
      </c>
      <c r="K747" s="7"/>
    </row>
    <row r="748" spans="1:11" ht="12.6" customHeight="1" x14ac:dyDescent="0.2">
      <c r="A748" s="105"/>
      <c r="B748" s="105"/>
      <c r="C748" s="95"/>
      <c r="D748" s="8" t="s">
        <v>10</v>
      </c>
      <c r="E748" s="95"/>
      <c r="F748" s="6" t="s">
        <v>10</v>
      </c>
      <c r="G748" s="95"/>
      <c r="H748" s="8" t="s">
        <v>10</v>
      </c>
      <c r="I748" s="95"/>
      <c r="J748" s="1" t="s">
        <v>10</v>
      </c>
      <c r="K748" s="7"/>
    </row>
    <row r="749" spans="1:11" ht="12.6" customHeight="1" x14ac:dyDescent="0.2">
      <c r="A749" s="106"/>
      <c r="B749" s="106"/>
      <c r="C749" s="96"/>
      <c r="D749" s="9" t="s">
        <v>12</v>
      </c>
      <c r="E749" s="96"/>
      <c r="F749" s="10" t="s">
        <v>13</v>
      </c>
      <c r="G749" s="96"/>
      <c r="H749" s="9" t="s">
        <v>12</v>
      </c>
      <c r="I749" s="96"/>
      <c r="J749" s="11" t="s">
        <v>13</v>
      </c>
      <c r="K749" s="12"/>
    </row>
    <row r="750" spans="1:11" ht="12.6" customHeight="1" x14ac:dyDescent="0.2">
      <c r="A750" s="13">
        <v>44562</v>
      </c>
      <c r="B750" s="19"/>
      <c r="C750" s="15">
        <v>1.25</v>
      </c>
      <c r="D750" s="14"/>
      <c r="E750" s="15">
        <f>E736+C750-D750</f>
        <v>119.43900000000001</v>
      </c>
      <c r="F750" s="14"/>
      <c r="G750" s="15">
        <f t="shared" ref="G750:G775" si="60">C750</f>
        <v>1.25</v>
      </c>
      <c r="H750" s="14"/>
      <c r="I750" s="15">
        <f>I736+G750-H750</f>
        <v>30.5</v>
      </c>
      <c r="J750" s="14"/>
      <c r="K750" s="16"/>
    </row>
    <row r="751" spans="1:11" ht="12.6" customHeight="1" x14ac:dyDescent="0.2">
      <c r="A751" s="13"/>
      <c r="B751" s="19" t="s">
        <v>45</v>
      </c>
      <c r="C751" s="15"/>
      <c r="D751" s="14"/>
      <c r="E751" s="15">
        <f>E750+C751-D751</f>
        <v>119.43900000000001</v>
      </c>
      <c r="F751" s="14"/>
      <c r="G751" s="15">
        <f t="shared" si="60"/>
        <v>0</v>
      </c>
      <c r="H751" s="14"/>
      <c r="I751" s="15">
        <f>I750+G751-H751</f>
        <v>30.5</v>
      </c>
      <c r="J751" s="14"/>
      <c r="K751" s="13" t="s">
        <v>548</v>
      </c>
    </row>
    <row r="752" spans="1:11" ht="12.6" customHeight="1" x14ac:dyDescent="0.2">
      <c r="A752" s="13">
        <v>44565</v>
      </c>
      <c r="B752" s="19"/>
      <c r="C752" s="15">
        <v>3.75</v>
      </c>
      <c r="D752" s="14"/>
      <c r="E752" s="15">
        <f t="shared" ref="E752:E775" si="61">E751+C752-D752</f>
        <v>123.18900000000001</v>
      </c>
      <c r="F752" s="14"/>
      <c r="G752" s="15">
        <f t="shared" si="60"/>
        <v>3.75</v>
      </c>
      <c r="H752" s="14"/>
      <c r="I752" s="15">
        <f t="shared" ref="I752:I775" si="62">I751+G752-H752</f>
        <v>34.25</v>
      </c>
      <c r="J752" s="14"/>
      <c r="K752" s="13"/>
    </row>
    <row r="753" spans="1:11" ht="12.6" customHeight="1" x14ac:dyDescent="0.2">
      <c r="A753" s="13"/>
      <c r="B753" s="19" t="s">
        <v>52</v>
      </c>
      <c r="C753" s="15"/>
      <c r="D753" s="14"/>
      <c r="E753" s="15">
        <f t="shared" si="61"/>
        <v>123.18900000000001</v>
      </c>
      <c r="F753" s="14"/>
      <c r="G753" s="15">
        <f t="shared" si="60"/>
        <v>0</v>
      </c>
      <c r="H753" s="14">
        <v>2</v>
      </c>
      <c r="I753" s="15">
        <f t="shared" si="62"/>
        <v>32.25</v>
      </c>
      <c r="J753" s="14"/>
      <c r="K753" s="16" t="s">
        <v>549</v>
      </c>
    </row>
    <row r="754" spans="1:11" ht="12.6" customHeight="1" x14ac:dyDescent="0.2">
      <c r="A754" s="13"/>
      <c r="B754" s="19" t="s">
        <v>45</v>
      </c>
      <c r="C754" s="15"/>
      <c r="D754" s="14"/>
      <c r="E754" s="15">
        <f t="shared" si="61"/>
        <v>123.18900000000001</v>
      </c>
      <c r="F754" s="14"/>
      <c r="G754" s="15">
        <f t="shared" si="60"/>
        <v>0</v>
      </c>
      <c r="H754" s="14"/>
      <c r="I754" s="15">
        <f t="shared" si="62"/>
        <v>32.25</v>
      </c>
      <c r="J754" s="14"/>
      <c r="K754" s="13" t="s">
        <v>550</v>
      </c>
    </row>
    <row r="755" spans="1:11" ht="12.6" customHeight="1" x14ac:dyDescent="0.2">
      <c r="A755" s="13">
        <v>44566</v>
      </c>
      <c r="B755" s="19"/>
      <c r="C755" s="15">
        <v>1.25</v>
      </c>
      <c r="D755" s="14"/>
      <c r="E755" s="15">
        <f t="shared" si="61"/>
        <v>124.43900000000001</v>
      </c>
      <c r="F755" s="14"/>
      <c r="G755" s="15">
        <f t="shared" si="60"/>
        <v>1.25</v>
      </c>
      <c r="H755" s="14"/>
      <c r="I755" s="15">
        <f t="shared" si="62"/>
        <v>33.5</v>
      </c>
      <c r="J755" s="14"/>
      <c r="K755" s="16"/>
    </row>
    <row r="756" spans="1:11" ht="12.6" customHeight="1" x14ac:dyDescent="0.2">
      <c r="A756" s="13"/>
      <c r="B756" s="19" t="s">
        <v>45</v>
      </c>
      <c r="C756" s="15"/>
      <c r="D756" s="14"/>
      <c r="E756" s="15">
        <f t="shared" si="61"/>
        <v>124.43900000000001</v>
      </c>
      <c r="F756" s="14"/>
      <c r="G756" s="15">
        <f t="shared" si="60"/>
        <v>0</v>
      </c>
      <c r="H756" s="14"/>
      <c r="I756" s="15">
        <f t="shared" si="62"/>
        <v>33.5</v>
      </c>
      <c r="J756" s="14"/>
      <c r="K756" s="13" t="s">
        <v>551</v>
      </c>
    </row>
    <row r="757" spans="1:11" ht="12.6" customHeight="1" x14ac:dyDescent="0.2">
      <c r="A757" s="13">
        <v>44567</v>
      </c>
      <c r="B757" s="19"/>
      <c r="C757" s="15">
        <v>1.25</v>
      </c>
      <c r="D757" s="14"/>
      <c r="E757" s="15">
        <f t="shared" si="61"/>
        <v>125.68900000000001</v>
      </c>
      <c r="F757" s="14"/>
      <c r="G757" s="15">
        <f t="shared" si="60"/>
        <v>1.25</v>
      </c>
      <c r="H757" s="14"/>
      <c r="I757" s="15">
        <f t="shared" si="62"/>
        <v>34.75</v>
      </c>
      <c r="J757" s="14"/>
      <c r="K757" s="13"/>
    </row>
    <row r="758" spans="1:11" ht="12.6" customHeight="1" x14ac:dyDescent="0.2">
      <c r="A758" s="13"/>
      <c r="B758" s="19" t="s">
        <v>74</v>
      </c>
      <c r="C758" s="15"/>
      <c r="D758" s="14">
        <v>1</v>
      </c>
      <c r="E758" s="15">
        <f t="shared" si="61"/>
        <v>124.68900000000001</v>
      </c>
      <c r="F758" s="14"/>
      <c r="G758" s="15">
        <f t="shared" si="60"/>
        <v>0</v>
      </c>
      <c r="H758" s="14"/>
      <c r="I758" s="15">
        <f t="shared" si="62"/>
        <v>34.75</v>
      </c>
      <c r="J758" s="14"/>
      <c r="K758" s="16" t="s">
        <v>552</v>
      </c>
    </row>
    <row r="759" spans="1:11" ht="12.6" customHeight="1" x14ac:dyDescent="0.2">
      <c r="A759" s="13">
        <v>44570</v>
      </c>
      <c r="B759" s="19"/>
      <c r="C759" s="15">
        <v>3.75</v>
      </c>
      <c r="D759" s="14"/>
      <c r="E759" s="15">
        <f t="shared" si="61"/>
        <v>128.43900000000002</v>
      </c>
      <c r="F759" s="14"/>
      <c r="G759" s="15">
        <f t="shared" si="60"/>
        <v>3.75</v>
      </c>
      <c r="H759" s="14"/>
      <c r="I759" s="15">
        <f t="shared" si="62"/>
        <v>38.5</v>
      </c>
      <c r="J759" s="14"/>
      <c r="K759" s="16"/>
    </row>
    <row r="760" spans="1:11" ht="12.6" customHeight="1" x14ac:dyDescent="0.2">
      <c r="A760" s="13"/>
      <c r="B760" s="19" t="s">
        <v>56</v>
      </c>
      <c r="C760" s="15"/>
      <c r="D760" s="14">
        <v>4</v>
      </c>
      <c r="E760" s="15">
        <f t="shared" si="61"/>
        <v>124.43900000000002</v>
      </c>
      <c r="F760" s="14"/>
      <c r="G760" s="15">
        <f t="shared" si="60"/>
        <v>0</v>
      </c>
      <c r="H760" s="14"/>
      <c r="I760" s="15">
        <f t="shared" si="62"/>
        <v>38.5</v>
      </c>
      <c r="J760" s="14"/>
      <c r="K760" s="16" t="s">
        <v>553</v>
      </c>
    </row>
    <row r="761" spans="1:11" ht="12.6" customHeight="1" x14ac:dyDescent="0.2">
      <c r="A761" s="13">
        <v>44928</v>
      </c>
      <c r="B761" s="19"/>
      <c r="C761" s="15">
        <v>6.25</v>
      </c>
      <c r="D761" s="14"/>
      <c r="E761" s="15">
        <f t="shared" si="61"/>
        <v>130.68900000000002</v>
      </c>
      <c r="F761" s="14"/>
      <c r="G761" s="15">
        <f t="shared" si="60"/>
        <v>6.25</v>
      </c>
      <c r="H761" s="14"/>
      <c r="I761" s="15">
        <f t="shared" si="62"/>
        <v>44.75</v>
      </c>
      <c r="J761" s="14"/>
      <c r="K761" s="13"/>
    </row>
    <row r="762" spans="1:11" ht="12.6" customHeight="1" x14ac:dyDescent="0.2">
      <c r="A762" s="13"/>
      <c r="B762" s="19" t="s">
        <v>90</v>
      </c>
      <c r="C762" s="15"/>
      <c r="D762" s="14"/>
      <c r="E762" s="15">
        <f t="shared" si="61"/>
        <v>130.68900000000002</v>
      </c>
      <c r="F762" s="14"/>
      <c r="G762" s="15">
        <f t="shared" si="60"/>
        <v>0</v>
      </c>
      <c r="H762" s="14"/>
      <c r="I762" s="15">
        <f t="shared" si="62"/>
        <v>44.75</v>
      </c>
      <c r="J762" s="14"/>
      <c r="K762" s="13" t="s">
        <v>554</v>
      </c>
    </row>
    <row r="763" spans="1:11" ht="12.6" customHeight="1" x14ac:dyDescent="0.2">
      <c r="A763" s="13"/>
      <c r="B763" s="19" t="s">
        <v>52</v>
      </c>
      <c r="C763" s="15"/>
      <c r="D763" s="14"/>
      <c r="E763" s="15">
        <f t="shared" si="61"/>
        <v>130.68900000000002</v>
      </c>
      <c r="F763" s="14"/>
      <c r="G763" s="15">
        <f t="shared" si="60"/>
        <v>0</v>
      </c>
      <c r="H763" s="14">
        <v>2</v>
      </c>
      <c r="I763" s="15">
        <f t="shared" si="62"/>
        <v>42.75</v>
      </c>
      <c r="J763" s="14"/>
      <c r="K763" s="13" t="s">
        <v>555</v>
      </c>
    </row>
    <row r="764" spans="1:11" ht="12.6" customHeight="1" x14ac:dyDescent="0.2">
      <c r="A764" s="13">
        <v>44933</v>
      </c>
      <c r="B764" s="19"/>
      <c r="C764" s="15">
        <v>6.25</v>
      </c>
      <c r="D764" s="14"/>
      <c r="E764" s="15">
        <f t="shared" si="61"/>
        <v>136.93900000000002</v>
      </c>
      <c r="F764" s="14"/>
      <c r="G764" s="15">
        <f t="shared" si="60"/>
        <v>6.25</v>
      </c>
      <c r="H764" s="14"/>
      <c r="I764" s="15">
        <f t="shared" si="62"/>
        <v>49</v>
      </c>
      <c r="J764" s="14"/>
      <c r="K764" s="13"/>
    </row>
    <row r="765" spans="1:11" ht="12.6" customHeight="1" x14ac:dyDescent="0.2">
      <c r="A765" s="13"/>
      <c r="B765" s="19" t="s">
        <v>47</v>
      </c>
      <c r="C765" s="15"/>
      <c r="D765" s="14"/>
      <c r="E765" s="15">
        <f t="shared" si="61"/>
        <v>136.93900000000002</v>
      </c>
      <c r="F765" s="14"/>
      <c r="G765" s="15">
        <f t="shared" si="60"/>
        <v>0</v>
      </c>
      <c r="H765" s="14">
        <v>1</v>
      </c>
      <c r="I765" s="15">
        <f t="shared" si="62"/>
        <v>48</v>
      </c>
      <c r="J765" s="14"/>
      <c r="K765" s="13">
        <v>44992</v>
      </c>
    </row>
    <row r="766" spans="1:11" ht="12.6" customHeight="1" x14ac:dyDescent="0.2">
      <c r="A766" s="16"/>
      <c r="B766" s="19" t="s">
        <v>245</v>
      </c>
      <c r="C766" s="15"/>
      <c r="D766" s="14">
        <v>7</v>
      </c>
      <c r="E766" s="15">
        <f t="shared" si="61"/>
        <v>129.93900000000002</v>
      </c>
      <c r="F766" s="14"/>
      <c r="G766" s="15">
        <f t="shared" si="60"/>
        <v>0</v>
      </c>
      <c r="H766" s="14"/>
      <c r="I766" s="15">
        <f t="shared" si="62"/>
        <v>48</v>
      </c>
      <c r="J766" s="14"/>
      <c r="K766" s="13" t="s">
        <v>556</v>
      </c>
    </row>
    <row r="767" spans="1:11" ht="12.6" customHeight="1" x14ac:dyDescent="0.2">
      <c r="A767" s="13">
        <v>44934</v>
      </c>
      <c r="B767" s="19"/>
      <c r="C767" s="15">
        <v>1.25</v>
      </c>
      <c r="D767" s="15"/>
      <c r="E767" s="15">
        <f t="shared" si="61"/>
        <v>131.18900000000002</v>
      </c>
      <c r="F767" s="14"/>
      <c r="G767" s="15">
        <f t="shared" si="60"/>
        <v>1.25</v>
      </c>
      <c r="H767" s="14"/>
      <c r="I767" s="15">
        <f t="shared" si="62"/>
        <v>49.25</v>
      </c>
      <c r="J767" s="14"/>
      <c r="K767" s="13"/>
    </row>
    <row r="768" spans="1:11" ht="12.6" customHeight="1" x14ac:dyDescent="0.2">
      <c r="A768" s="13"/>
      <c r="B768" s="19" t="s">
        <v>95</v>
      </c>
      <c r="C768" s="15"/>
      <c r="D768" s="14">
        <v>3</v>
      </c>
      <c r="E768" s="15">
        <f t="shared" si="61"/>
        <v>128.18900000000002</v>
      </c>
      <c r="F768" s="14"/>
      <c r="G768" s="15">
        <f t="shared" si="60"/>
        <v>0</v>
      </c>
      <c r="H768" s="14"/>
      <c r="I768" s="15">
        <f t="shared" si="62"/>
        <v>49.25</v>
      </c>
      <c r="J768" s="14"/>
      <c r="K768" s="16" t="s">
        <v>557</v>
      </c>
    </row>
    <row r="769" spans="1:11" ht="12.6" customHeight="1" x14ac:dyDescent="0.2">
      <c r="A769" s="13">
        <v>44935</v>
      </c>
      <c r="B769" s="19"/>
      <c r="C769" s="15">
        <v>1.25</v>
      </c>
      <c r="D769" s="15"/>
      <c r="E769" s="15">
        <f t="shared" si="61"/>
        <v>129.43900000000002</v>
      </c>
      <c r="F769" s="14"/>
      <c r="G769" s="15">
        <f t="shared" si="60"/>
        <v>1.25</v>
      </c>
      <c r="H769" s="14"/>
      <c r="I769" s="15">
        <f t="shared" si="62"/>
        <v>50.5</v>
      </c>
      <c r="J769" s="14"/>
      <c r="K769" s="13"/>
    </row>
    <row r="770" spans="1:11" ht="12.6" customHeight="1" x14ac:dyDescent="0.2">
      <c r="A770" s="13"/>
      <c r="B770" s="19" t="s">
        <v>47</v>
      </c>
      <c r="C770" s="15"/>
      <c r="D770" s="14"/>
      <c r="E770" s="15">
        <f t="shared" si="61"/>
        <v>129.43900000000002</v>
      </c>
      <c r="F770" s="14"/>
      <c r="G770" s="15">
        <f t="shared" si="60"/>
        <v>0</v>
      </c>
      <c r="H770" s="14">
        <v>1</v>
      </c>
      <c r="I770" s="15">
        <f t="shared" si="62"/>
        <v>49.5</v>
      </c>
      <c r="J770" s="14"/>
      <c r="K770" s="13">
        <v>44935</v>
      </c>
    </row>
    <row r="771" spans="1:11" ht="12.6" customHeight="1" x14ac:dyDescent="0.2">
      <c r="A771" s="13">
        <v>44936</v>
      </c>
      <c r="B771" s="19"/>
      <c r="C771" s="15">
        <v>1.25</v>
      </c>
      <c r="D771" s="14"/>
      <c r="E771" s="15">
        <f t="shared" si="61"/>
        <v>130.68900000000002</v>
      </c>
      <c r="F771" s="14"/>
      <c r="G771" s="15">
        <f t="shared" si="60"/>
        <v>1.25</v>
      </c>
      <c r="H771" s="14"/>
      <c r="I771" s="15">
        <f t="shared" si="62"/>
        <v>50.75</v>
      </c>
      <c r="J771" s="14"/>
      <c r="K771" s="13"/>
    </row>
    <row r="772" spans="1:11" ht="12.6" customHeight="1" x14ac:dyDescent="0.2">
      <c r="A772" s="13"/>
      <c r="B772" s="19" t="s">
        <v>74</v>
      </c>
      <c r="C772" s="15"/>
      <c r="D772" s="14">
        <v>1</v>
      </c>
      <c r="E772" s="15">
        <f t="shared" si="61"/>
        <v>129.68900000000002</v>
      </c>
      <c r="F772" s="14"/>
      <c r="G772" s="15">
        <f t="shared" si="60"/>
        <v>0</v>
      </c>
      <c r="H772" s="14"/>
      <c r="I772" s="15">
        <f t="shared" si="62"/>
        <v>50.75</v>
      </c>
      <c r="J772" s="14"/>
      <c r="K772" s="13">
        <v>45087</v>
      </c>
    </row>
    <row r="773" spans="1:11" ht="12.6" customHeight="1" x14ac:dyDescent="0.2">
      <c r="A773" s="13"/>
      <c r="B773" s="19" t="s">
        <v>52</v>
      </c>
      <c r="C773" s="15"/>
      <c r="D773" s="14"/>
      <c r="E773" s="15">
        <f t="shared" si="61"/>
        <v>129.68900000000002</v>
      </c>
      <c r="F773" s="14"/>
      <c r="G773" s="15">
        <f t="shared" si="60"/>
        <v>0</v>
      </c>
      <c r="H773" s="14">
        <v>2</v>
      </c>
      <c r="I773" s="15">
        <f t="shared" si="62"/>
        <v>48.75</v>
      </c>
      <c r="J773" s="14"/>
      <c r="K773" s="13" t="s">
        <v>558</v>
      </c>
    </row>
    <row r="774" spans="1:11" ht="12.6" customHeight="1" x14ac:dyDescent="0.2">
      <c r="A774" s="13">
        <v>44937</v>
      </c>
      <c r="B774" s="19"/>
      <c r="C774" s="15">
        <v>1.25</v>
      </c>
      <c r="D774" s="14"/>
      <c r="E774" s="15">
        <f t="shared" si="61"/>
        <v>130.93900000000002</v>
      </c>
      <c r="F774" s="14"/>
      <c r="G774" s="15">
        <f t="shared" si="60"/>
        <v>1.25</v>
      </c>
      <c r="H774" s="14"/>
      <c r="I774" s="15">
        <f t="shared" si="62"/>
        <v>50</v>
      </c>
      <c r="J774" s="14"/>
      <c r="K774" s="16"/>
    </row>
    <row r="775" spans="1:11" ht="12.6" customHeight="1" x14ac:dyDescent="0.2">
      <c r="A775" s="13"/>
      <c r="B775" s="19" t="s">
        <v>47</v>
      </c>
      <c r="C775" s="15"/>
      <c r="D775" s="14"/>
      <c r="E775" s="15">
        <f t="shared" si="61"/>
        <v>130.93900000000002</v>
      </c>
      <c r="F775" s="14"/>
      <c r="G775" s="15">
        <f t="shared" si="60"/>
        <v>0</v>
      </c>
      <c r="H775" s="14">
        <v>1</v>
      </c>
      <c r="I775" s="15">
        <f t="shared" si="62"/>
        <v>49</v>
      </c>
      <c r="J775" s="14"/>
      <c r="K775" s="16" t="s">
        <v>559</v>
      </c>
    </row>
    <row r="776" spans="1:11" ht="12.6" customHeight="1" x14ac:dyDescent="0.2">
      <c r="A776" s="19"/>
      <c r="B776" s="19"/>
      <c r="C776" s="36">
        <f>SUM(C750:C775)</f>
        <v>28.75</v>
      </c>
      <c r="D776" s="36">
        <f>SUM(D750:D775)</f>
        <v>16</v>
      </c>
      <c r="E776" s="36"/>
      <c r="F776" s="37"/>
      <c r="G776" s="36">
        <f>SUM(G750:G775)</f>
        <v>28.75</v>
      </c>
      <c r="H776" s="36">
        <f>SUM(H750:H775)</f>
        <v>9</v>
      </c>
      <c r="I776" s="15"/>
      <c r="J776" s="14"/>
      <c r="K776" s="16"/>
    </row>
    <row r="777" spans="1:11" ht="12.6" customHeight="1" x14ac:dyDescent="0.2">
      <c r="H777" s="27" t="s">
        <v>23</v>
      </c>
      <c r="J777" s="27" t="s">
        <v>582</v>
      </c>
    </row>
    <row r="778" spans="1:11" ht="12.6" customHeight="1" x14ac:dyDescent="0.2"/>
    <row r="779" spans="1:11" ht="12.6" customHeight="1" x14ac:dyDescent="0.2">
      <c r="A779" s="102" t="str">
        <f>A1</f>
        <v>ONAL, EDMON L.</v>
      </c>
      <c r="B779" s="102"/>
      <c r="C779" s="102"/>
      <c r="D779" s="102"/>
      <c r="E779" s="102"/>
      <c r="F779" s="102"/>
      <c r="G779" s="102"/>
      <c r="H779" s="1"/>
      <c r="I779" s="103" t="s">
        <v>0</v>
      </c>
      <c r="J779" s="103"/>
      <c r="K779" s="2" t="s">
        <v>212</v>
      </c>
    </row>
    <row r="780" spans="1:11" ht="12.6" customHeight="1" x14ac:dyDescent="0.2"/>
    <row r="781" spans="1:11" ht="12.6" customHeight="1" x14ac:dyDescent="0.2">
      <c r="A781" s="104" t="s">
        <v>1</v>
      </c>
      <c r="B781" s="104" t="s">
        <v>2</v>
      </c>
      <c r="C781" s="107" t="s">
        <v>3</v>
      </c>
      <c r="D781" s="108"/>
      <c r="E781" s="108"/>
      <c r="F781" s="109"/>
      <c r="G781" s="107" t="s">
        <v>4</v>
      </c>
      <c r="H781" s="108"/>
      <c r="I781" s="108"/>
      <c r="J781" s="109"/>
      <c r="K781" s="4"/>
    </row>
    <row r="782" spans="1:11" ht="12.6" customHeight="1" x14ac:dyDescent="0.2">
      <c r="A782" s="105"/>
      <c r="B782" s="105"/>
      <c r="C782" s="94" t="s">
        <v>6</v>
      </c>
      <c r="D782" s="5" t="s">
        <v>7</v>
      </c>
      <c r="E782" s="94" t="s">
        <v>8</v>
      </c>
      <c r="F782" s="6" t="s">
        <v>7</v>
      </c>
      <c r="G782" s="94" t="s">
        <v>6</v>
      </c>
      <c r="H782" s="5" t="s">
        <v>7</v>
      </c>
      <c r="I782" s="94" t="s">
        <v>8</v>
      </c>
      <c r="J782" s="1" t="s">
        <v>7</v>
      </c>
      <c r="K782" s="7"/>
    </row>
    <row r="783" spans="1:11" ht="12.6" customHeight="1" x14ac:dyDescent="0.2">
      <c r="A783" s="105"/>
      <c r="B783" s="105"/>
      <c r="C783" s="95"/>
      <c r="D783" s="8" t="s">
        <v>10</v>
      </c>
      <c r="E783" s="95"/>
      <c r="F783" s="6" t="s">
        <v>10</v>
      </c>
      <c r="G783" s="95"/>
      <c r="H783" s="8" t="s">
        <v>10</v>
      </c>
      <c r="I783" s="95"/>
      <c r="J783" s="1" t="s">
        <v>10</v>
      </c>
      <c r="K783" s="7"/>
    </row>
    <row r="784" spans="1:11" ht="12.6" customHeight="1" x14ac:dyDescent="0.2">
      <c r="A784" s="106"/>
      <c r="B784" s="106"/>
      <c r="C784" s="96"/>
      <c r="D784" s="9" t="s">
        <v>12</v>
      </c>
      <c r="E784" s="96"/>
      <c r="F784" s="10" t="s">
        <v>13</v>
      </c>
      <c r="G784" s="96"/>
      <c r="H784" s="9" t="s">
        <v>12</v>
      </c>
      <c r="I784" s="96"/>
      <c r="J784" s="11" t="s">
        <v>13</v>
      </c>
      <c r="K784" s="12"/>
    </row>
    <row r="785" spans="1:11" ht="12.6" customHeight="1" x14ac:dyDescent="0.2">
      <c r="A785" s="13">
        <v>45292</v>
      </c>
      <c r="B785" s="19"/>
      <c r="C785" s="15">
        <v>2.5</v>
      </c>
      <c r="D785" s="14"/>
      <c r="E785" s="15">
        <f>E775+C785-D785</f>
        <v>133.43900000000002</v>
      </c>
      <c r="F785" s="14"/>
      <c r="G785" s="15">
        <f t="shared" ref="G785:G810" si="63">C785</f>
        <v>2.5</v>
      </c>
      <c r="H785" s="14"/>
      <c r="I785" s="15">
        <f>I775+G785-H785</f>
        <v>51.5</v>
      </c>
      <c r="J785" s="14"/>
      <c r="K785" s="16"/>
    </row>
    <row r="786" spans="1:11" ht="12.6" customHeight="1" x14ac:dyDescent="0.2">
      <c r="A786" s="13"/>
      <c r="B786" s="19" t="s">
        <v>166</v>
      </c>
      <c r="C786" s="15"/>
      <c r="D786" s="14"/>
      <c r="E786" s="15">
        <f>E785+C786-D786</f>
        <v>133.43900000000002</v>
      </c>
      <c r="F786" s="14"/>
      <c r="G786" s="15">
        <f t="shared" si="63"/>
        <v>0</v>
      </c>
      <c r="H786" s="14"/>
      <c r="I786" s="15">
        <f>I785+G786-H786</f>
        <v>51.5</v>
      </c>
      <c r="J786" s="14"/>
      <c r="K786" s="13" t="s">
        <v>560</v>
      </c>
    </row>
    <row r="787" spans="1:11" ht="12.6" customHeight="1" x14ac:dyDescent="0.2">
      <c r="A787" s="13">
        <v>45294</v>
      </c>
      <c r="B787" s="19"/>
      <c r="C787" s="15">
        <v>2.5</v>
      </c>
      <c r="D787" s="14"/>
      <c r="E787" s="15">
        <f t="shared" ref="E787:E810" si="64">E786+C787-D787</f>
        <v>135.93900000000002</v>
      </c>
      <c r="F787" s="14"/>
      <c r="G787" s="15">
        <f t="shared" si="63"/>
        <v>2.5</v>
      </c>
      <c r="H787" s="14"/>
      <c r="I787" s="15">
        <f t="shared" ref="I787:I810" si="65">I786+G787-H787</f>
        <v>54</v>
      </c>
      <c r="J787" s="14"/>
      <c r="K787" s="13"/>
    </row>
    <row r="788" spans="1:11" ht="12.6" customHeight="1" x14ac:dyDescent="0.2">
      <c r="A788" s="13"/>
      <c r="B788" s="19" t="s">
        <v>45</v>
      </c>
      <c r="C788" s="15"/>
      <c r="D788" s="14"/>
      <c r="E788" s="15">
        <f t="shared" si="64"/>
        <v>135.93900000000002</v>
      </c>
      <c r="F788" s="14"/>
      <c r="G788" s="15">
        <f t="shared" si="63"/>
        <v>0</v>
      </c>
      <c r="H788" s="14"/>
      <c r="I788" s="15">
        <f t="shared" si="65"/>
        <v>54</v>
      </c>
      <c r="J788" s="14"/>
      <c r="K788" s="13">
        <v>45599</v>
      </c>
    </row>
    <row r="789" spans="1:11" ht="12.6" customHeight="1" x14ac:dyDescent="0.2">
      <c r="A789" s="13"/>
      <c r="B789" s="19" t="s">
        <v>76</v>
      </c>
      <c r="C789" s="15"/>
      <c r="D789" s="14">
        <v>2</v>
      </c>
      <c r="E789" s="15">
        <f t="shared" si="64"/>
        <v>133.93900000000002</v>
      </c>
      <c r="F789" s="14"/>
      <c r="G789" s="15">
        <f t="shared" si="63"/>
        <v>0</v>
      </c>
      <c r="H789" s="14"/>
      <c r="I789" s="15">
        <f t="shared" si="65"/>
        <v>54</v>
      </c>
      <c r="J789" s="14"/>
      <c r="K789" s="13" t="s">
        <v>561</v>
      </c>
    </row>
    <row r="790" spans="1:11" ht="12.6" customHeight="1" x14ac:dyDescent="0.2">
      <c r="A790" s="13">
        <v>45296</v>
      </c>
      <c r="B790" s="19"/>
      <c r="C790" s="15">
        <v>2.5</v>
      </c>
      <c r="D790" s="14"/>
      <c r="E790" s="15">
        <f t="shared" si="64"/>
        <v>136.43900000000002</v>
      </c>
      <c r="F790" s="14"/>
      <c r="G790" s="15">
        <f t="shared" si="63"/>
        <v>2.5</v>
      </c>
      <c r="H790" s="14"/>
      <c r="I790" s="15">
        <f t="shared" si="65"/>
        <v>56.5</v>
      </c>
      <c r="J790" s="14"/>
      <c r="K790" s="16"/>
    </row>
    <row r="791" spans="1:11" ht="12.6" customHeight="1" x14ac:dyDescent="0.2">
      <c r="A791" s="13"/>
      <c r="B791" s="19" t="s">
        <v>52</v>
      </c>
      <c r="C791" s="15"/>
      <c r="D791" s="14"/>
      <c r="E791" s="15">
        <f t="shared" si="64"/>
        <v>136.43900000000002</v>
      </c>
      <c r="F791" s="14"/>
      <c r="G791" s="15">
        <f t="shared" si="63"/>
        <v>0</v>
      </c>
      <c r="H791" s="14">
        <v>2</v>
      </c>
      <c r="I791" s="15">
        <f t="shared" si="65"/>
        <v>54.5</v>
      </c>
      <c r="J791" s="14"/>
      <c r="K791" s="13" t="s">
        <v>562</v>
      </c>
    </row>
    <row r="792" spans="1:11" ht="12.6" customHeight="1" x14ac:dyDescent="0.2">
      <c r="A792" s="13"/>
      <c r="B792" s="19" t="s">
        <v>74</v>
      </c>
      <c r="C792" s="15"/>
      <c r="D792" s="14">
        <v>1</v>
      </c>
      <c r="E792" s="15">
        <f t="shared" si="64"/>
        <v>135.43900000000002</v>
      </c>
      <c r="F792" s="14"/>
      <c r="G792" s="15">
        <f t="shared" si="63"/>
        <v>0</v>
      </c>
      <c r="H792" s="14"/>
      <c r="I792" s="15">
        <f t="shared" si="65"/>
        <v>54.5</v>
      </c>
      <c r="J792" s="14"/>
      <c r="K792" s="13" t="s">
        <v>563</v>
      </c>
    </row>
    <row r="793" spans="1:11" ht="12.6" customHeight="1" x14ac:dyDescent="0.2">
      <c r="A793" s="13"/>
      <c r="B793" s="19" t="s">
        <v>565</v>
      </c>
      <c r="C793" s="15"/>
      <c r="D793" s="14">
        <v>9</v>
      </c>
      <c r="E793" s="15">
        <f t="shared" si="64"/>
        <v>126.43900000000002</v>
      </c>
      <c r="F793" s="14"/>
      <c r="G793" s="15">
        <f t="shared" si="63"/>
        <v>0</v>
      </c>
      <c r="H793" s="14"/>
      <c r="I793" s="15">
        <f t="shared" si="65"/>
        <v>54.5</v>
      </c>
      <c r="J793" s="14"/>
      <c r="K793" s="16" t="s">
        <v>564</v>
      </c>
    </row>
    <row r="794" spans="1:11" ht="12.6" customHeight="1" x14ac:dyDescent="0.2">
      <c r="A794" s="13">
        <v>45297</v>
      </c>
      <c r="B794" s="19"/>
      <c r="C794" s="15">
        <v>1.25</v>
      </c>
      <c r="D794" s="14"/>
      <c r="E794" s="15">
        <f t="shared" si="64"/>
        <v>127.68900000000002</v>
      </c>
      <c r="F794" s="14"/>
      <c r="G794" s="15">
        <f t="shared" si="63"/>
        <v>1.25</v>
      </c>
      <c r="H794" s="14"/>
      <c r="I794" s="15">
        <f t="shared" si="65"/>
        <v>55.75</v>
      </c>
      <c r="J794" s="14"/>
      <c r="K794" s="16"/>
    </row>
    <row r="795" spans="1:11" ht="12.6" customHeight="1" x14ac:dyDescent="0.2">
      <c r="A795" s="13"/>
      <c r="B795" s="19" t="s">
        <v>567</v>
      </c>
      <c r="C795" s="15"/>
      <c r="D795" s="14"/>
      <c r="E795" s="15">
        <f t="shared" si="64"/>
        <v>127.68900000000002</v>
      </c>
      <c r="F795" s="14"/>
      <c r="G795" s="15">
        <f t="shared" si="63"/>
        <v>0</v>
      </c>
      <c r="H795" s="14">
        <v>14</v>
      </c>
      <c r="I795" s="15">
        <f t="shared" si="65"/>
        <v>41.75</v>
      </c>
      <c r="J795" s="14"/>
      <c r="K795" s="16" t="s">
        <v>566</v>
      </c>
    </row>
    <row r="796" spans="1:11" ht="12.6" customHeight="1" x14ac:dyDescent="0.2">
      <c r="A796" s="13"/>
      <c r="B796" s="19" t="s">
        <v>76</v>
      </c>
      <c r="C796" s="15"/>
      <c r="D796" s="14">
        <v>2</v>
      </c>
      <c r="E796" s="15">
        <f t="shared" si="64"/>
        <v>125.68900000000002</v>
      </c>
      <c r="F796" s="14"/>
      <c r="G796" s="15">
        <f t="shared" si="63"/>
        <v>0</v>
      </c>
      <c r="H796" s="14"/>
      <c r="I796" s="15">
        <f t="shared" si="65"/>
        <v>41.75</v>
      </c>
      <c r="J796" s="14"/>
      <c r="K796" s="13" t="s">
        <v>572</v>
      </c>
    </row>
    <row r="797" spans="1:11" ht="12.6" customHeight="1" x14ac:dyDescent="0.2">
      <c r="A797" s="13">
        <v>45299</v>
      </c>
      <c r="B797" s="19"/>
      <c r="C797" s="15">
        <v>2.5</v>
      </c>
      <c r="D797" s="14"/>
      <c r="E797" s="15">
        <f t="shared" si="64"/>
        <v>128.18900000000002</v>
      </c>
      <c r="F797" s="14"/>
      <c r="G797" s="15">
        <f t="shared" si="63"/>
        <v>2.5</v>
      </c>
      <c r="H797" s="14"/>
      <c r="I797" s="15">
        <f t="shared" si="65"/>
        <v>44.25</v>
      </c>
      <c r="J797" s="14"/>
      <c r="K797" s="13"/>
    </row>
    <row r="798" spans="1:11" ht="12.6" customHeight="1" x14ac:dyDescent="0.2">
      <c r="A798" s="13"/>
      <c r="B798" s="19" t="s">
        <v>47</v>
      </c>
      <c r="C798" s="15"/>
      <c r="D798" s="14"/>
      <c r="E798" s="15">
        <f t="shared" si="64"/>
        <v>128.18900000000002</v>
      </c>
      <c r="F798" s="14"/>
      <c r="G798" s="15">
        <f t="shared" si="63"/>
        <v>0</v>
      </c>
      <c r="H798" s="14">
        <v>1</v>
      </c>
      <c r="I798" s="15">
        <f t="shared" si="65"/>
        <v>43.25</v>
      </c>
      <c r="J798" s="14"/>
      <c r="K798" s="13">
        <v>45330</v>
      </c>
    </row>
    <row r="799" spans="1:11" ht="12.6" customHeight="1" x14ac:dyDescent="0.2">
      <c r="A799" s="13"/>
      <c r="B799" s="19" t="s">
        <v>52</v>
      </c>
      <c r="C799" s="15"/>
      <c r="D799" s="14"/>
      <c r="E799" s="15">
        <f t="shared" si="64"/>
        <v>128.18900000000002</v>
      </c>
      <c r="F799" s="14"/>
      <c r="G799" s="15">
        <f t="shared" si="63"/>
        <v>0</v>
      </c>
      <c r="H799" s="14">
        <v>2</v>
      </c>
      <c r="I799" s="15">
        <f t="shared" si="65"/>
        <v>41.25</v>
      </c>
      <c r="J799" s="14"/>
      <c r="K799" s="13" t="s">
        <v>568</v>
      </c>
    </row>
    <row r="800" spans="1:11" ht="12.6" customHeight="1" x14ac:dyDescent="0.2">
      <c r="A800" s="13">
        <v>45300</v>
      </c>
      <c r="B800" s="19"/>
      <c r="C800" s="15">
        <v>1.25</v>
      </c>
      <c r="D800" s="14"/>
      <c r="E800" s="15">
        <f t="shared" si="64"/>
        <v>129.43900000000002</v>
      </c>
      <c r="F800" s="14"/>
      <c r="G800" s="15">
        <f t="shared" si="63"/>
        <v>1.25</v>
      </c>
      <c r="H800" s="14"/>
      <c r="I800" s="15">
        <f t="shared" si="65"/>
        <v>42.5</v>
      </c>
      <c r="J800" s="14"/>
      <c r="K800" s="13"/>
    </row>
    <row r="801" spans="1:11" ht="12.6" customHeight="1" x14ac:dyDescent="0.2">
      <c r="A801" s="13"/>
      <c r="B801" s="19" t="s">
        <v>570</v>
      </c>
      <c r="C801" s="15"/>
      <c r="D801" s="14">
        <v>6</v>
      </c>
      <c r="E801" s="15">
        <f t="shared" si="64"/>
        <v>123.43900000000002</v>
      </c>
      <c r="F801" s="14"/>
      <c r="G801" s="15">
        <f t="shared" si="63"/>
        <v>0</v>
      </c>
      <c r="H801" s="14"/>
      <c r="I801" s="15">
        <f t="shared" si="65"/>
        <v>42.5</v>
      </c>
      <c r="J801" s="14"/>
      <c r="K801" s="13" t="s">
        <v>569</v>
      </c>
    </row>
    <row r="802" spans="1:11" ht="12.6" customHeight="1" x14ac:dyDescent="0.2">
      <c r="A802" s="13">
        <v>45301</v>
      </c>
      <c r="B802" s="19"/>
      <c r="C802" s="15">
        <v>1.25</v>
      </c>
      <c r="D802" s="14"/>
      <c r="E802" s="15">
        <f t="shared" si="64"/>
        <v>124.68900000000002</v>
      </c>
      <c r="F802" s="14"/>
      <c r="G802" s="15">
        <f t="shared" si="63"/>
        <v>1.25</v>
      </c>
      <c r="H802" s="14"/>
      <c r="I802" s="15">
        <f t="shared" si="65"/>
        <v>43.75</v>
      </c>
      <c r="J802" s="14"/>
      <c r="K802" s="13"/>
    </row>
    <row r="803" spans="1:11" ht="12.6" customHeight="1" x14ac:dyDescent="0.2">
      <c r="A803" s="13"/>
      <c r="B803" s="19" t="s">
        <v>271</v>
      </c>
      <c r="C803" s="15"/>
      <c r="D803" s="14"/>
      <c r="E803" s="15">
        <f t="shared" si="64"/>
        <v>124.68900000000002</v>
      </c>
      <c r="F803" s="14"/>
      <c r="G803" s="15">
        <f t="shared" si="63"/>
        <v>0</v>
      </c>
      <c r="H803" s="14">
        <v>5</v>
      </c>
      <c r="I803" s="15">
        <f t="shared" si="65"/>
        <v>38.75</v>
      </c>
      <c r="J803" s="14"/>
      <c r="K803" s="13" t="s">
        <v>571</v>
      </c>
    </row>
    <row r="804" spans="1:11" ht="12.6" customHeight="1" x14ac:dyDescent="0.2">
      <c r="A804" s="13">
        <v>45303</v>
      </c>
      <c r="B804" s="19"/>
      <c r="C804" s="15">
        <v>2.5</v>
      </c>
      <c r="D804" s="15"/>
      <c r="E804" s="15">
        <f t="shared" si="64"/>
        <v>127.18900000000002</v>
      </c>
      <c r="F804" s="14"/>
      <c r="G804" s="15">
        <f t="shared" si="63"/>
        <v>2.5</v>
      </c>
      <c r="H804" s="14"/>
      <c r="I804" s="15">
        <f t="shared" si="65"/>
        <v>41.25</v>
      </c>
      <c r="J804" s="14"/>
      <c r="K804" s="13"/>
    </row>
    <row r="805" spans="1:11" ht="12.6" customHeight="1" x14ac:dyDescent="0.2">
      <c r="A805" s="13"/>
      <c r="B805" s="19" t="s">
        <v>74</v>
      </c>
      <c r="C805" s="15"/>
      <c r="D805" s="14">
        <v>1</v>
      </c>
      <c r="E805" s="15">
        <f t="shared" si="64"/>
        <v>126.18900000000002</v>
      </c>
      <c r="F805" s="14"/>
      <c r="G805" s="15">
        <f t="shared" si="63"/>
        <v>0</v>
      </c>
      <c r="H805" s="14"/>
      <c r="I805" s="15">
        <f t="shared" si="65"/>
        <v>41.25</v>
      </c>
      <c r="J805" s="14"/>
      <c r="K805" s="16" t="s">
        <v>573</v>
      </c>
    </row>
    <row r="806" spans="1:11" ht="12.6" customHeight="1" x14ac:dyDescent="0.2">
      <c r="A806" s="13">
        <v>45659</v>
      </c>
      <c r="B806" s="19"/>
      <c r="C806" s="15">
        <v>2.5</v>
      </c>
      <c r="D806" s="14"/>
      <c r="E806" s="15">
        <f t="shared" si="64"/>
        <v>128.68900000000002</v>
      </c>
      <c r="F806" s="14"/>
      <c r="G806" s="15">
        <f t="shared" si="63"/>
        <v>2.5</v>
      </c>
      <c r="H806" s="14"/>
      <c r="I806" s="15">
        <f t="shared" si="65"/>
        <v>43.75</v>
      </c>
      <c r="J806" s="14"/>
      <c r="K806" s="13"/>
    </row>
    <row r="807" spans="1:11" ht="12.6" customHeight="1" x14ac:dyDescent="0.2">
      <c r="A807" s="13"/>
      <c r="B807" s="19" t="s">
        <v>76</v>
      </c>
      <c r="C807" s="15"/>
      <c r="D807" s="14">
        <v>2</v>
      </c>
      <c r="E807" s="15">
        <f t="shared" si="64"/>
        <v>126.68900000000002</v>
      </c>
      <c r="F807" s="14"/>
      <c r="G807" s="15">
        <f t="shared" si="63"/>
        <v>0</v>
      </c>
      <c r="H807" s="14"/>
      <c r="I807" s="15">
        <f t="shared" si="65"/>
        <v>43.75</v>
      </c>
      <c r="J807" s="14"/>
      <c r="K807" s="13" t="s">
        <v>574</v>
      </c>
    </row>
    <row r="808" spans="1:11" ht="12.6" customHeight="1" x14ac:dyDescent="0.2">
      <c r="A808" s="13">
        <v>45660</v>
      </c>
      <c r="B808" s="19"/>
      <c r="C808" s="15">
        <v>1.25</v>
      </c>
      <c r="D808" s="14"/>
      <c r="E808" s="15">
        <f t="shared" si="64"/>
        <v>127.93900000000002</v>
      </c>
      <c r="F808" s="14"/>
      <c r="G808" s="15">
        <f t="shared" si="63"/>
        <v>1.25</v>
      </c>
      <c r="H808" s="14"/>
      <c r="I808" s="15">
        <f t="shared" si="65"/>
        <v>45</v>
      </c>
      <c r="J808" s="14"/>
      <c r="K808" s="13"/>
    </row>
    <row r="809" spans="1:11" ht="12.6" customHeight="1" x14ac:dyDescent="0.2">
      <c r="A809" s="13"/>
      <c r="B809" s="19" t="s">
        <v>90</v>
      </c>
      <c r="C809" s="15"/>
      <c r="D809" s="14"/>
      <c r="E809" s="15">
        <f t="shared" si="64"/>
        <v>127.93900000000002</v>
      </c>
      <c r="F809" s="14"/>
      <c r="G809" s="15">
        <f t="shared" si="63"/>
        <v>0</v>
      </c>
      <c r="H809" s="14"/>
      <c r="I809" s="15">
        <f t="shared" si="65"/>
        <v>45</v>
      </c>
      <c r="J809" s="14"/>
      <c r="K809" s="16" t="s">
        <v>575</v>
      </c>
    </row>
    <row r="810" spans="1:11" ht="12.6" customHeight="1" x14ac:dyDescent="0.2">
      <c r="A810" s="13"/>
      <c r="B810" s="19" t="s">
        <v>511</v>
      </c>
      <c r="C810" s="15"/>
      <c r="D810" s="14"/>
      <c r="E810" s="15">
        <f t="shared" si="64"/>
        <v>127.93900000000002</v>
      </c>
      <c r="F810" s="14"/>
      <c r="G810" s="15">
        <f t="shared" si="63"/>
        <v>0</v>
      </c>
      <c r="H810" s="14">
        <v>9</v>
      </c>
      <c r="I810" s="15">
        <f t="shared" si="65"/>
        <v>36</v>
      </c>
      <c r="J810" s="14"/>
      <c r="K810" s="16" t="s">
        <v>576</v>
      </c>
    </row>
    <row r="811" spans="1:11" ht="12.6" customHeight="1" x14ac:dyDescent="0.2">
      <c r="A811" s="19"/>
      <c r="B811" s="19"/>
      <c r="C811" s="36">
        <f>SUM(C785:C810)</f>
        <v>20</v>
      </c>
      <c r="D811" s="36">
        <f>SUM(D785:D810)</f>
        <v>23</v>
      </c>
      <c r="E811" s="36"/>
      <c r="F811" s="37"/>
      <c r="G811" s="36">
        <f>SUM(G785:G810)</f>
        <v>20</v>
      </c>
      <c r="H811" s="36">
        <f>SUM(H785:H810)</f>
        <v>33</v>
      </c>
      <c r="I811" s="15"/>
      <c r="J811" s="14"/>
      <c r="K811" s="16"/>
    </row>
    <row r="812" spans="1:11" ht="12.6" customHeight="1" x14ac:dyDescent="0.2">
      <c r="H812" s="27" t="s">
        <v>23</v>
      </c>
      <c r="J812" s="27" t="s">
        <v>583</v>
      </c>
    </row>
    <row r="813" spans="1:11" ht="12.6" customHeight="1" x14ac:dyDescent="0.2"/>
    <row r="814" spans="1:11" ht="12.6" customHeight="1" x14ac:dyDescent="0.2"/>
    <row r="815" spans="1:11" ht="12.6" customHeight="1" x14ac:dyDescent="0.2"/>
    <row r="816" spans="1:11" ht="12.6" customHeight="1" x14ac:dyDescent="0.2"/>
    <row r="817" spans="1:11" ht="12.6" customHeight="1" x14ac:dyDescent="0.2"/>
    <row r="818" spans="1:11" ht="12.6" customHeight="1" x14ac:dyDescent="0.2">
      <c r="A818" s="102" t="str">
        <f>A1</f>
        <v>ONAL, EDMON L.</v>
      </c>
      <c r="B818" s="102"/>
      <c r="C818" s="102"/>
      <c r="D818" s="102"/>
      <c r="E818" s="102"/>
      <c r="F818" s="102"/>
      <c r="G818" s="102"/>
      <c r="H818" s="1"/>
      <c r="I818" s="103" t="s">
        <v>0</v>
      </c>
      <c r="J818" s="103"/>
      <c r="K818" s="2" t="s">
        <v>212</v>
      </c>
    </row>
    <row r="819" spans="1:11" ht="12.6" customHeight="1" x14ac:dyDescent="0.2"/>
    <row r="820" spans="1:11" ht="12.6" customHeight="1" x14ac:dyDescent="0.2">
      <c r="A820" s="104" t="s">
        <v>1</v>
      </c>
      <c r="B820" s="104" t="s">
        <v>2</v>
      </c>
      <c r="C820" s="107" t="s">
        <v>3</v>
      </c>
      <c r="D820" s="108"/>
      <c r="E820" s="108"/>
      <c r="F820" s="109"/>
      <c r="G820" s="107" t="s">
        <v>4</v>
      </c>
      <c r="H820" s="108"/>
      <c r="I820" s="108"/>
      <c r="J820" s="109"/>
      <c r="K820" s="4"/>
    </row>
    <row r="821" spans="1:11" ht="12.6" customHeight="1" x14ac:dyDescent="0.2">
      <c r="A821" s="105"/>
      <c r="B821" s="105"/>
      <c r="C821" s="94" t="s">
        <v>6</v>
      </c>
      <c r="D821" s="5" t="s">
        <v>7</v>
      </c>
      <c r="E821" s="94" t="s">
        <v>8</v>
      </c>
      <c r="F821" s="6" t="s">
        <v>7</v>
      </c>
      <c r="G821" s="94" t="s">
        <v>6</v>
      </c>
      <c r="H821" s="5" t="s">
        <v>7</v>
      </c>
      <c r="I821" s="94" t="s">
        <v>8</v>
      </c>
      <c r="J821" s="1" t="s">
        <v>7</v>
      </c>
      <c r="K821" s="7"/>
    </row>
    <row r="822" spans="1:11" ht="12.6" customHeight="1" x14ac:dyDescent="0.2">
      <c r="A822" s="105"/>
      <c r="B822" s="105"/>
      <c r="C822" s="95"/>
      <c r="D822" s="8" t="s">
        <v>10</v>
      </c>
      <c r="E822" s="95"/>
      <c r="F822" s="6" t="s">
        <v>10</v>
      </c>
      <c r="G822" s="95"/>
      <c r="H822" s="8" t="s">
        <v>10</v>
      </c>
      <c r="I822" s="95"/>
      <c r="J822" s="1" t="s">
        <v>10</v>
      </c>
      <c r="K822" s="7"/>
    </row>
    <row r="823" spans="1:11" ht="12.6" customHeight="1" x14ac:dyDescent="0.2">
      <c r="A823" s="106"/>
      <c r="B823" s="106"/>
      <c r="C823" s="96"/>
      <c r="D823" s="9" t="s">
        <v>12</v>
      </c>
      <c r="E823" s="96"/>
      <c r="F823" s="10" t="s">
        <v>13</v>
      </c>
      <c r="G823" s="96"/>
      <c r="H823" s="9" t="s">
        <v>12</v>
      </c>
      <c r="I823" s="96"/>
      <c r="J823" s="11" t="s">
        <v>13</v>
      </c>
      <c r="K823" s="12"/>
    </row>
    <row r="824" spans="1:11" ht="12.6" customHeight="1" x14ac:dyDescent="0.2">
      <c r="A824" s="13">
        <v>45662</v>
      </c>
      <c r="B824" s="19"/>
      <c r="C824" s="15">
        <v>2.5</v>
      </c>
      <c r="D824" s="14"/>
      <c r="E824" s="15">
        <f>E810+C824-D824</f>
        <v>130.43900000000002</v>
      </c>
      <c r="F824" s="14"/>
      <c r="G824" s="15">
        <f t="shared" ref="G824:G849" si="66">C824</f>
        <v>2.5</v>
      </c>
      <c r="H824" s="14"/>
      <c r="I824" s="15">
        <f>I810+G824-H824</f>
        <v>38.5</v>
      </c>
      <c r="J824" s="14"/>
      <c r="K824" s="16"/>
    </row>
    <row r="825" spans="1:11" ht="12.6" customHeight="1" x14ac:dyDescent="0.2">
      <c r="A825" s="13"/>
      <c r="B825" s="19" t="s">
        <v>578</v>
      </c>
      <c r="C825" s="15"/>
      <c r="D825" s="14">
        <v>10</v>
      </c>
      <c r="E825" s="15">
        <f>E824+C825-D825</f>
        <v>120.43900000000002</v>
      </c>
      <c r="F825" s="14"/>
      <c r="G825" s="15">
        <f t="shared" si="66"/>
        <v>0</v>
      </c>
      <c r="H825" s="14">
        <v>38</v>
      </c>
      <c r="I825" s="15">
        <f>I824+G825-H825</f>
        <v>0.5</v>
      </c>
      <c r="J825" s="14"/>
      <c r="K825" s="13" t="s">
        <v>577</v>
      </c>
    </row>
    <row r="826" spans="1:11" ht="12.6" customHeight="1" x14ac:dyDescent="0.2">
      <c r="A826" s="13">
        <v>45664</v>
      </c>
      <c r="B826" s="19"/>
      <c r="C826" s="15">
        <v>2.5</v>
      </c>
      <c r="D826" s="14"/>
      <c r="E826" s="15">
        <f t="shared" ref="E826:E849" si="67">E825+C826-D826</f>
        <v>122.93900000000002</v>
      </c>
      <c r="F826" s="14"/>
      <c r="G826" s="15">
        <f t="shared" si="66"/>
        <v>2.5</v>
      </c>
      <c r="H826" s="14"/>
      <c r="I826" s="15">
        <f t="shared" ref="I826:I849" si="68">I825+G826-H826</f>
        <v>3</v>
      </c>
      <c r="J826" s="14"/>
      <c r="K826" s="13"/>
    </row>
    <row r="827" spans="1:11" ht="12.6" customHeight="1" x14ac:dyDescent="0.2">
      <c r="A827" s="13"/>
      <c r="B827" s="19" t="s">
        <v>581</v>
      </c>
      <c r="C827" s="15"/>
      <c r="D827" s="14">
        <v>9</v>
      </c>
      <c r="E827" s="15">
        <f t="shared" si="67"/>
        <v>113.93900000000002</v>
      </c>
      <c r="F827" s="14"/>
      <c r="G827" s="15">
        <f t="shared" si="66"/>
        <v>0</v>
      </c>
      <c r="H827" s="14">
        <v>2</v>
      </c>
      <c r="I827" s="15">
        <f t="shared" si="68"/>
        <v>1</v>
      </c>
      <c r="J827" s="14"/>
      <c r="K827" s="73" t="s">
        <v>579</v>
      </c>
    </row>
    <row r="828" spans="1:11" ht="12.6" customHeight="1" x14ac:dyDescent="0.2">
      <c r="A828" s="13"/>
      <c r="B828" s="19" t="s">
        <v>74</v>
      </c>
      <c r="C828" s="15"/>
      <c r="D828" s="14">
        <v>1</v>
      </c>
      <c r="E828" s="15">
        <f t="shared" si="67"/>
        <v>112.93900000000002</v>
      </c>
      <c r="F828" s="14"/>
      <c r="G828" s="15">
        <f t="shared" si="66"/>
        <v>0</v>
      </c>
      <c r="H828" s="14"/>
      <c r="I828" s="15">
        <f t="shared" si="68"/>
        <v>1</v>
      </c>
      <c r="J828" s="14"/>
      <c r="K828" s="13" t="s">
        <v>580</v>
      </c>
    </row>
    <row r="829" spans="1:11" ht="12.6" customHeight="1" x14ac:dyDescent="0.2">
      <c r="A829" s="13">
        <v>45669</v>
      </c>
      <c r="B829" s="19"/>
      <c r="C829" s="15">
        <v>6.25</v>
      </c>
      <c r="D829" s="14"/>
      <c r="E829" s="15">
        <f t="shared" si="67"/>
        <v>119.18900000000002</v>
      </c>
      <c r="F829" s="14"/>
      <c r="G829" s="15">
        <f t="shared" si="66"/>
        <v>6.25</v>
      </c>
      <c r="H829" s="14"/>
      <c r="I829" s="15">
        <f t="shared" si="68"/>
        <v>7.25</v>
      </c>
      <c r="J829" s="14"/>
      <c r="K829" s="16"/>
    </row>
    <row r="830" spans="1:11" ht="12.6" customHeight="1" x14ac:dyDescent="0.2">
      <c r="A830" s="13">
        <v>46023</v>
      </c>
      <c r="B830" s="19"/>
      <c r="C830" s="15">
        <v>1.25</v>
      </c>
      <c r="D830" s="14"/>
      <c r="E830" s="15">
        <f t="shared" si="67"/>
        <v>120.43900000000002</v>
      </c>
      <c r="F830" s="14"/>
      <c r="G830" s="15">
        <f t="shared" si="66"/>
        <v>1.25</v>
      </c>
      <c r="H830" s="14"/>
      <c r="I830" s="15">
        <f t="shared" si="68"/>
        <v>8.5</v>
      </c>
      <c r="J830" s="14"/>
      <c r="K830" s="13"/>
    </row>
    <row r="831" spans="1:11" ht="12.6" customHeight="1" x14ac:dyDescent="0.2">
      <c r="A831" s="13"/>
      <c r="B831" s="19" t="s">
        <v>105</v>
      </c>
      <c r="C831" s="15"/>
      <c r="D831" s="14">
        <v>4</v>
      </c>
      <c r="E831" s="15">
        <f t="shared" si="67"/>
        <v>116.43900000000002</v>
      </c>
      <c r="F831" s="14"/>
      <c r="G831" s="15">
        <f t="shared" si="66"/>
        <v>0</v>
      </c>
      <c r="H831" s="14"/>
      <c r="I831" s="15">
        <f t="shared" si="68"/>
        <v>8.5</v>
      </c>
      <c r="J831" s="14"/>
      <c r="K831" s="13" t="s">
        <v>585</v>
      </c>
    </row>
    <row r="832" spans="1:11" ht="12.6" customHeight="1" x14ac:dyDescent="0.2">
      <c r="A832" s="13">
        <v>46054</v>
      </c>
      <c r="B832" s="19"/>
      <c r="C832" s="15">
        <v>4.2000000000000003E-2</v>
      </c>
      <c r="D832" s="14"/>
      <c r="E832" s="15">
        <f t="shared" si="67"/>
        <v>116.48100000000002</v>
      </c>
      <c r="F832" s="14"/>
      <c r="G832" s="15">
        <f t="shared" si="66"/>
        <v>4.2000000000000003E-2</v>
      </c>
      <c r="H832" s="14"/>
      <c r="I832" s="15">
        <f t="shared" si="68"/>
        <v>8.5419999999999998</v>
      </c>
      <c r="J832" s="14"/>
      <c r="K832" s="16"/>
    </row>
    <row r="833" spans="1:11" ht="12.6" customHeight="1" x14ac:dyDescent="0.2">
      <c r="A833" s="13"/>
      <c r="B833" s="19"/>
      <c r="C833" s="15"/>
      <c r="D833" s="14"/>
      <c r="E833" s="15">
        <f t="shared" si="67"/>
        <v>116.48100000000002</v>
      </c>
      <c r="F833" s="14"/>
      <c r="G833" s="15">
        <f t="shared" si="66"/>
        <v>0</v>
      </c>
      <c r="H833" s="14"/>
      <c r="I833" s="15">
        <f t="shared" si="68"/>
        <v>8.5419999999999998</v>
      </c>
      <c r="J833" s="14"/>
      <c r="K833" s="16"/>
    </row>
    <row r="834" spans="1:11" ht="12.6" customHeight="1" x14ac:dyDescent="0.2">
      <c r="A834" s="13"/>
      <c r="B834" s="19"/>
      <c r="C834" s="15"/>
      <c r="D834" s="14"/>
      <c r="E834" s="15">
        <f t="shared" si="67"/>
        <v>116.48100000000002</v>
      </c>
      <c r="F834" s="14"/>
      <c r="G834" s="15">
        <f t="shared" si="66"/>
        <v>0</v>
      </c>
      <c r="H834" s="14"/>
      <c r="I834" s="15">
        <f t="shared" si="68"/>
        <v>8.5419999999999998</v>
      </c>
      <c r="J834" s="14"/>
      <c r="K834" s="16"/>
    </row>
    <row r="835" spans="1:11" ht="12.6" customHeight="1" x14ac:dyDescent="0.2">
      <c r="A835" s="13"/>
      <c r="B835" s="19"/>
      <c r="C835" s="15"/>
      <c r="D835" s="14"/>
      <c r="E835" s="15">
        <f t="shared" si="67"/>
        <v>116.48100000000002</v>
      </c>
      <c r="F835" s="14"/>
      <c r="G835" s="15">
        <f t="shared" si="66"/>
        <v>0</v>
      </c>
      <c r="H835" s="14"/>
      <c r="I835" s="15">
        <f t="shared" si="68"/>
        <v>8.5419999999999998</v>
      </c>
      <c r="J835" s="14"/>
      <c r="K835" s="13"/>
    </row>
    <row r="836" spans="1:11" ht="12.6" customHeight="1" x14ac:dyDescent="0.2">
      <c r="A836" s="13"/>
      <c r="B836" s="19"/>
      <c r="C836" s="15"/>
      <c r="D836" s="14"/>
      <c r="E836" s="15">
        <f t="shared" si="67"/>
        <v>116.48100000000002</v>
      </c>
      <c r="F836" s="14"/>
      <c r="G836" s="15">
        <f t="shared" si="66"/>
        <v>0</v>
      </c>
      <c r="H836" s="14"/>
      <c r="I836" s="15">
        <f t="shared" si="68"/>
        <v>8.5419999999999998</v>
      </c>
      <c r="J836" s="14"/>
      <c r="K836" s="13"/>
    </row>
    <row r="837" spans="1:11" ht="12.6" customHeight="1" x14ac:dyDescent="0.2">
      <c r="A837" s="13"/>
      <c r="B837" s="19"/>
      <c r="C837" s="15"/>
      <c r="D837" s="14"/>
      <c r="E837" s="15">
        <f t="shared" si="67"/>
        <v>116.48100000000002</v>
      </c>
      <c r="F837" s="14"/>
      <c r="G837" s="15">
        <f t="shared" si="66"/>
        <v>0</v>
      </c>
      <c r="H837" s="14"/>
      <c r="I837" s="15">
        <f t="shared" si="68"/>
        <v>8.5419999999999998</v>
      </c>
      <c r="J837" s="14"/>
      <c r="K837" s="13"/>
    </row>
    <row r="838" spans="1:11" ht="12.6" customHeight="1" x14ac:dyDescent="0.2">
      <c r="A838" s="13"/>
      <c r="B838" s="19"/>
      <c r="C838" s="15"/>
      <c r="D838" s="14"/>
      <c r="E838" s="15">
        <f t="shared" si="67"/>
        <v>116.48100000000002</v>
      </c>
      <c r="F838" s="14"/>
      <c r="G838" s="15">
        <f t="shared" si="66"/>
        <v>0</v>
      </c>
      <c r="H838" s="14"/>
      <c r="I838" s="15">
        <f t="shared" si="68"/>
        <v>8.5419999999999998</v>
      </c>
      <c r="J838" s="14"/>
      <c r="K838" s="13"/>
    </row>
    <row r="839" spans="1:11" ht="12.6" customHeight="1" x14ac:dyDescent="0.2">
      <c r="A839" s="13"/>
      <c r="B839" s="19"/>
      <c r="C839" s="15"/>
      <c r="D839" s="14"/>
      <c r="E839" s="15">
        <f t="shared" si="67"/>
        <v>116.48100000000002</v>
      </c>
      <c r="F839" s="14"/>
      <c r="G839" s="15">
        <f t="shared" si="66"/>
        <v>0</v>
      </c>
      <c r="H839" s="14"/>
      <c r="I839" s="15">
        <f t="shared" si="68"/>
        <v>8.5419999999999998</v>
      </c>
      <c r="J839" s="14"/>
      <c r="K839" s="13"/>
    </row>
    <row r="840" spans="1:11" ht="12.6" customHeight="1" x14ac:dyDescent="0.2">
      <c r="A840" s="16"/>
      <c r="B840" s="19"/>
      <c r="C840" s="15"/>
      <c r="D840" s="14"/>
      <c r="E840" s="15">
        <f t="shared" si="67"/>
        <v>116.48100000000002</v>
      </c>
      <c r="F840" s="14"/>
      <c r="G840" s="15">
        <f t="shared" si="66"/>
        <v>0</v>
      </c>
      <c r="H840" s="14"/>
      <c r="I840" s="15">
        <f t="shared" si="68"/>
        <v>8.5419999999999998</v>
      </c>
      <c r="J840" s="14"/>
      <c r="K840" s="13"/>
    </row>
    <row r="841" spans="1:11" ht="12.6" customHeight="1" x14ac:dyDescent="0.2">
      <c r="A841" s="13"/>
      <c r="B841" s="19"/>
      <c r="C841" s="15"/>
      <c r="D841" s="15"/>
      <c r="E841" s="15">
        <f t="shared" si="67"/>
        <v>116.48100000000002</v>
      </c>
      <c r="F841" s="14"/>
      <c r="G841" s="15">
        <f t="shared" si="66"/>
        <v>0</v>
      </c>
      <c r="H841" s="14"/>
      <c r="I841" s="15">
        <f t="shared" si="68"/>
        <v>8.5419999999999998</v>
      </c>
      <c r="J841" s="14"/>
      <c r="K841" s="13"/>
    </row>
    <row r="842" spans="1:11" ht="12.6" customHeight="1" x14ac:dyDescent="0.2">
      <c r="A842" s="13"/>
      <c r="B842" s="19"/>
      <c r="C842" s="15"/>
      <c r="D842" s="14"/>
      <c r="E842" s="15">
        <f t="shared" si="67"/>
        <v>116.48100000000002</v>
      </c>
      <c r="F842" s="14"/>
      <c r="G842" s="15">
        <f t="shared" si="66"/>
        <v>0</v>
      </c>
      <c r="H842" s="14"/>
      <c r="I842" s="15">
        <f t="shared" si="68"/>
        <v>8.5419999999999998</v>
      </c>
      <c r="J842" s="14"/>
      <c r="K842" s="16"/>
    </row>
    <row r="843" spans="1:11" ht="12.6" customHeight="1" x14ac:dyDescent="0.2">
      <c r="A843" s="16"/>
      <c r="B843" s="19"/>
      <c r="C843" s="15"/>
      <c r="D843" s="15"/>
      <c r="E843" s="15">
        <f t="shared" si="67"/>
        <v>116.48100000000002</v>
      </c>
      <c r="F843" s="14"/>
      <c r="G843" s="15">
        <f t="shared" si="66"/>
        <v>0</v>
      </c>
      <c r="H843" s="14"/>
      <c r="I843" s="15">
        <f t="shared" si="68"/>
        <v>8.5419999999999998</v>
      </c>
      <c r="J843" s="14"/>
      <c r="K843" s="13"/>
    </row>
    <row r="844" spans="1:11" ht="12.6" customHeight="1" x14ac:dyDescent="0.2">
      <c r="A844" s="13"/>
      <c r="B844" s="19"/>
      <c r="C844" s="15"/>
      <c r="D844" s="14"/>
      <c r="E844" s="15">
        <f t="shared" si="67"/>
        <v>116.48100000000002</v>
      </c>
      <c r="F844" s="14"/>
      <c r="G844" s="15">
        <f t="shared" si="66"/>
        <v>0</v>
      </c>
      <c r="H844" s="14"/>
      <c r="I844" s="15">
        <f t="shared" si="68"/>
        <v>8.5419999999999998</v>
      </c>
      <c r="J844" s="14"/>
      <c r="K844" s="16"/>
    </row>
    <row r="845" spans="1:11" ht="12.6" customHeight="1" x14ac:dyDescent="0.2">
      <c r="A845" s="13"/>
      <c r="B845" s="19"/>
      <c r="C845" s="15"/>
      <c r="D845" s="14"/>
      <c r="E845" s="15">
        <f t="shared" si="67"/>
        <v>116.48100000000002</v>
      </c>
      <c r="F845" s="14"/>
      <c r="G845" s="15">
        <f t="shared" si="66"/>
        <v>0</v>
      </c>
      <c r="H845" s="14"/>
      <c r="I845" s="15">
        <f t="shared" si="68"/>
        <v>8.5419999999999998</v>
      </c>
      <c r="J845" s="14"/>
      <c r="K845" s="13"/>
    </row>
    <row r="846" spans="1:11" ht="12.6" customHeight="1" x14ac:dyDescent="0.2">
      <c r="A846" s="13"/>
      <c r="B846" s="19"/>
      <c r="C846" s="15"/>
      <c r="D846" s="14"/>
      <c r="E846" s="15">
        <f t="shared" si="67"/>
        <v>116.48100000000002</v>
      </c>
      <c r="F846" s="14"/>
      <c r="G846" s="15">
        <f t="shared" si="66"/>
        <v>0</v>
      </c>
      <c r="H846" s="14"/>
      <c r="I846" s="15">
        <f t="shared" si="68"/>
        <v>8.5419999999999998</v>
      </c>
      <c r="J846" s="14"/>
      <c r="K846" s="13"/>
    </row>
    <row r="847" spans="1:11" ht="12.6" customHeight="1" x14ac:dyDescent="0.2">
      <c r="A847" s="13"/>
      <c r="B847" s="19"/>
      <c r="C847" s="15"/>
      <c r="D847" s="14"/>
      <c r="E847" s="15">
        <f t="shared" si="67"/>
        <v>116.48100000000002</v>
      </c>
      <c r="F847" s="14"/>
      <c r="G847" s="15">
        <f t="shared" si="66"/>
        <v>0</v>
      </c>
      <c r="H847" s="14"/>
      <c r="I847" s="15">
        <f t="shared" si="68"/>
        <v>8.5419999999999998</v>
      </c>
      <c r="J847" s="14"/>
      <c r="K847" s="13"/>
    </row>
    <row r="848" spans="1:11" ht="12.6" customHeight="1" x14ac:dyDescent="0.2">
      <c r="A848" s="13"/>
      <c r="B848" s="19"/>
      <c r="C848" s="15"/>
      <c r="D848" s="14"/>
      <c r="E848" s="15">
        <f t="shared" si="67"/>
        <v>116.48100000000002</v>
      </c>
      <c r="F848" s="14"/>
      <c r="G848" s="15">
        <f t="shared" si="66"/>
        <v>0</v>
      </c>
      <c r="H848" s="14"/>
      <c r="I848" s="15">
        <f t="shared" si="68"/>
        <v>8.5419999999999998</v>
      </c>
      <c r="J848" s="14"/>
      <c r="K848" s="16"/>
    </row>
    <row r="849" spans="1:11" ht="12.6" customHeight="1" x14ac:dyDescent="0.2">
      <c r="A849" s="13"/>
      <c r="B849" s="19"/>
      <c r="C849" s="15"/>
      <c r="D849" s="14"/>
      <c r="E849" s="15">
        <f t="shared" si="67"/>
        <v>116.48100000000002</v>
      </c>
      <c r="F849" s="14"/>
      <c r="G849" s="15">
        <f t="shared" si="66"/>
        <v>0</v>
      </c>
      <c r="H849" s="14"/>
      <c r="I849" s="15">
        <f t="shared" si="68"/>
        <v>8.5419999999999998</v>
      </c>
      <c r="J849" s="14"/>
      <c r="K849" s="16"/>
    </row>
    <row r="850" spans="1:11" ht="12.6" customHeight="1" x14ac:dyDescent="0.2">
      <c r="A850" s="19"/>
      <c r="B850" s="19"/>
      <c r="C850" s="36">
        <f>SUM(C824:C849)</f>
        <v>12.542</v>
      </c>
      <c r="D850" s="36">
        <f>SUM(D824:D849)</f>
        <v>24</v>
      </c>
      <c r="E850" s="36"/>
      <c r="F850" s="37"/>
      <c r="G850" s="36">
        <f>SUM(G824:G849)</f>
        <v>12.542</v>
      </c>
      <c r="H850" s="36">
        <f>SUM(H824:H849)</f>
        <v>40</v>
      </c>
      <c r="I850" s="15"/>
      <c r="J850" s="14"/>
      <c r="K850" s="16"/>
    </row>
    <row r="851" spans="1:11" ht="12.6" customHeight="1" x14ac:dyDescent="0.2">
      <c r="H851" s="27" t="s">
        <v>23</v>
      </c>
      <c r="J851" s="27" t="s">
        <v>584</v>
      </c>
    </row>
    <row r="852" spans="1:11" ht="12.6" customHeight="1" x14ac:dyDescent="0.2"/>
    <row r="853" spans="1:11" ht="12.6" customHeight="1" x14ac:dyDescent="0.2">
      <c r="C853" s="26">
        <f>SUM(C850+C811+C776+C737+C702+C663+C628+C589+C554+C514+C479+C440+C405+C365+C330+C291+C256+C217+C182+C143+C108+C69+C34)</f>
        <v>455.04200000000003</v>
      </c>
      <c r="D853" s="74">
        <f>SUM(D850+D811+D776+D737+D702+D663+D628+D589+D554+D514+D479+D440+D405+D365+D330+D291+D256+D217+D182+D143+D108+D69+D34)</f>
        <v>338.56100000000004</v>
      </c>
      <c r="E853" s="46"/>
      <c r="G853" s="26">
        <f>SUM(G850+G811+G776+G737+G702+G663+G628+G589+G554+G514+G479+G440+G405+G365+G330+G291+G256+G217+G182+G143+G108+G69+G34)</f>
        <v>455.04200000000003</v>
      </c>
      <c r="H853" s="26">
        <f>SUM(H850+H811+H776+H737+H702+H663+H628+H589+H554+H514+H479+H440+H405+H365+H330+H291+H256+H217+H182+H143+H108+H69+H34)</f>
        <v>446.5</v>
      </c>
      <c r="I853" s="46"/>
      <c r="K853" s="28">
        <v>319.875</v>
      </c>
    </row>
    <row r="854" spans="1:11" ht="12.6" customHeight="1" x14ac:dyDescent="0.2">
      <c r="K854" s="47">
        <f>G853-K853</f>
        <v>135.16700000000003</v>
      </c>
    </row>
    <row r="863" spans="1:11" ht="12.6" customHeight="1" x14ac:dyDescent="0.2">
      <c r="B863" s="3" t="s">
        <v>33</v>
      </c>
      <c r="E863" s="46"/>
      <c r="F863" s="48">
        <f>C853</f>
        <v>455.04200000000003</v>
      </c>
      <c r="H863" s="48">
        <f>F863</f>
        <v>455.04200000000003</v>
      </c>
    </row>
    <row r="864" spans="1:11" ht="12.6" customHeight="1" x14ac:dyDescent="0.2">
      <c r="B864" s="3" t="s">
        <v>34</v>
      </c>
      <c r="E864" s="46"/>
      <c r="F864" s="48">
        <v>283.5</v>
      </c>
      <c r="H864" s="48">
        <f>H853</f>
        <v>446.5</v>
      </c>
    </row>
    <row r="865" spans="2:11" ht="12.6" customHeight="1" x14ac:dyDescent="0.2">
      <c r="B865" s="3" t="s">
        <v>35</v>
      </c>
      <c r="E865" s="46"/>
      <c r="F865" s="49">
        <v>33</v>
      </c>
      <c r="G865" s="50"/>
      <c r="H865" s="49"/>
    </row>
    <row r="866" spans="2:11" ht="12.6" customHeight="1" thickBot="1" x14ac:dyDescent="0.25">
      <c r="B866" s="3" t="s">
        <v>36</v>
      </c>
      <c r="E866" s="46"/>
      <c r="F866" s="51">
        <v>22.061</v>
      </c>
      <c r="G866" s="52"/>
      <c r="H866" s="51"/>
    </row>
    <row r="867" spans="2:11" ht="12.6" customHeight="1" thickTop="1" x14ac:dyDescent="0.2">
      <c r="B867" s="3" t="s">
        <v>37</v>
      </c>
      <c r="E867" s="46"/>
      <c r="F867" s="53">
        <f>SUM(F863-F864-F865-F866)</f>
        <v>116.48100000000002</v>
      </c>
      <c r="G867" s="50"/>
      <c r="H867" s="53">
        <f>SUM(H863-H864)</f>
        <v>8.54200000000003</v>
      </c>
      <c r="I867" s="54">
        <f>SUM(H867+F867)</f>
        <v>125.02300000000005</v>
      </c>
    </row>
    <row r="868" spans="2:11" ht="12.6" customHeight="1" x14ac:dyDescent="0.2">
      <c r="E868" s="46"/>
    </row>
    <row r="869" spans="2:11" ht="12.6" customHeight="1" x14ac:dyDescent="0.2">
      <c r="B869" s="1" t="s">
        <v>38</v>
      </c>
      <c r="C869" s="97" t="s">
        <v>39</v>
      </c>
      <c r="D869" s="97"/>
      <c r="E869" s="98" t="s">
        <v>40</v>
      </c>
      <c r="F869" s="98"/>
      <c r="H869" s="99" t="s">
        <v>41</v>
      </c>
      <c r="I869" s="99"/>
      <c r="J869" s="99"/>
    </row>
    <row r="870" spans="2:11" ht="12.6" customHeight="1" thickBot="1" x14ac:dyDescent="0.25">
      <c r="B870" s="70">
        <v>37384</v>
      </c>
      <c r="C870" s="97">
        <f>I867</f>
        <v>125.02300000000005</v>
      </c>
      <c r="D870" s="97"/>
      <c r="E870" s="100">
        <v>4.8192699999999998E-2</v>
      </c>
      <c r="F870" s="100"/>
      <c r="H870" s="110">
        <f>B870*C870*E870</f>
        <v>225245.92472562651</v>
      </c>
      <c r="I870" s="110"/>
      <c r="J870" s="110"/>
      <c r="K870" s="56"/>
    </row>
    <row r="871" spans="2:11" ht="12.6" customHeight="1" thickTop="1" x14ac:dyDescent="0.2"/>
  </sheetData>
  <mergeCells count="23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3:G373"/>
    <mergeCell ref="I373:J373"/>
    <mergeCell ref="A375:A378"/>
    <mergeCell ref="B375:B378"/>
    <mergeCell ref="C375:F375"/>
    <mergeCell ref="G375:J375"/>
    <mergeCell ref="C376:C378"/>
    <mergeCell ref="E376:E378"/>
    <mergeCell ref="G376:G378"/>
    <mergeCell ref="I376:I378"/>
    <mergeCell ref="A408:G408"/>
    <mergeCell ref="I408:J408"/>
    <mergeCell ref="A410:A413"/>
    <mergeCell ref="B410:B413"/>
    <mergeCell ref="C410:F410"/>
    <mergeCell ref="G410:J410"/>
    <mergeCell ref="C411:C413"/>
    <mergeCell ref="E411:E413"/>
    <mergeCell ref="G411:G413"/>
    <mergeCell ref="I411:I413"/>
    <mergeCell ref="A442:C442"/>
    <mergeCell ref="A447:G447"/>
    <mergeCell ref="I447:J447"/>
    <mergeCell ref="A449:A452"/>
    <mergeCell ref="B449:B452"/>
    <mergeCell ref="C449:F449"/>
    <mergeCell ref="G449:J449"/>
    <mergeCell ref="C450:C452"/>
    <mergeCell ref="E450:E452"/>
    <mergeCell ref="G450:G452"/>
    <mergeCell ref="I450:I452"/>
    <mergeCell ref="A482:G482"/>
    <mergeCell ref="I482:J482"/>
    <mergeCell ref="A484:A487"/>
    <mergeCell ref="B484:B487"/>
    <mergeCell ref="C484:F484"/>
    <mergeCell ref="G484:J484"/>
    <mergeCell ref="C485:C487"/>
    <mergeCell ref="E485:E487"/>
    <mergeCell ref="G485:G487"/>
    <mergeCell ref="I525:I527"/>
    <mergeCell ref="C869:D869"/>
    <mergeCell ref="E869:F869"/>
    <mergeCell ref="H869:J869"/>
    <mergeCell ref="C870:D870"/>
    <mergeCell ref="E870:F870"/>
    <mergeCell ref="H870:J870"/>
    <mergeCell ref="I485:I487"/>
    <mergeCell ref="A522:G522"/>
    <mergeCell ref="I522:J522"/>
    <mergeCell ref="A524:A527"/>
    <mergeCell ref="B524:B527"/>
    <mergeCell ref="C524:F524"/>
    <mergeCell ref="G524:J524"/>
    <mergeCell ref="C525:C527"/>
    <mergeCell ref="E525:E527"/>
    <mergeCell ref="G525:G527"/>
    <mergeCell ref="A557:G557"/>
    <mergeCell ref="I557:J557"/>
    <mergeCell ref="A559:A562"/>
    <mergeCell ref="B559:B562"/>
    <mergeCell ref="C559:F559"/>
    <mergeCell ref="G559:J559"/>
    <mergeCell ref="C560:C562"/>
    <mergeCell ref="E560:E562"/>
    <mergeCell ref="G560:G562"/>
    <mergeCell ref="I560:I562"/>
    <mergeCell ref="A596:G596"/>
    <mergeCell ref="I596:J596"/>
    <mergeCell ref="A598:A601"/>
    <mergeCell ref="B598:B601"/>
    <mergeCell ref="C598:F598"/>
    <mergeCell ref="G598:J598"/>
    <mergeCell ref="C599:C601"/>
    <mergeCell ref="E599:E601"/>
    <mergeCell ref="G599:G601"/>
    <mergeCell ref="I599:I601"/>
    <mergeCell ref="A631:G631"/>
    <mergeCell ref="I631:J631"/>
    <mergeCell ref="A633:A636"/>
    <mergeCell ref="B633:B636"/>
    <mergeCell ref="C633:F633"/>
    <mergeCell ref="G633:J633"/>
    <mergeCell ref="C634:C636"/>
    <mergeCell ref="E634:E636"/>
    <mergeCell ref="G634:G636"/>
    <mergeCell ref="I634:I636"/>
    <mergeCell ref="A670:G670"/>
    <mergeCell ref="I670:J670"/>
    <mergeCell ref="A672:A675"/>
    <mergeCell ref="B672:B675"/>
    <mergeCell ref="C672:F672"/>
    <mergeCell ref="G672:J672"/>
    <mergeCell ref="C673:C675"/>
    <mergeCell ref="E673:E675"/>
    <mergeCell ref="G673:G675"/>
    <mergeCell ref="I673:I675"/>
    <mergeCell ref="A705:G705"/>
    <mergeCell ref="I705:J705"/>
    <mergeCell ref="A707:A710"/>
    <mergeCell ref="B707:B710"/>
    <mergeCell ref="C707:F707"/>
    <mergeCell ref="G707:J707"/>
    <mergeCell ref="C708:C710"/>
    <mergeCell ref="E708:E710"/>
    <mergeCell ref="G708:G710"/>
    <mergeCell ref="I708:I710"/>
    <mergeCell ref="A744:G744"/>
    <mergeCell ref="I744:J744"/>
    <mergeCell ref="A746:A749"/>
    <mergeCell ref="B746:B749"/>
    <mergeCell ref="C746:F746"/>
    <mergeCell ref="G746:J746"/>
    <mergeCell ref="C747:C749"/>
    <mergeCell ref="E747:E749"/>
    <mergeCell ref="G747:G749"/>
    <mergeCell ref="I747:I749"/>
    <mergeCell ref="A779:G779"/>
    <mergeCell ref="I779:J779"/>
    <mergeCell ref="A781:A784"/>
    <mergeCell ref="B781:B784"/>
    <mergeCell ref="C781:F781"/>
    <mergeCell ref="G781:J781"/>
    <mergeCell ref="C782:C784"/>
    <mergeCell ref="E782:E784"/>
    <mergeCell ref="G782:G784"/>
    <mergeCell ref="I782:I784"/>
    <mergeCell ref="A818:G818"/>
    <mergeCell ref="I818:J818"/>
    <mergeCell ref="A820:A823"/>
    <mergeCell ref="B820:B823"/>
    <mergeCell ref="C820:F820"/>
    <mergeCell ref="G820:J820"/>
    <mergeCell ref="C821:C823"/>
    <mergeCell ref="E821:E823"/>
    <mergeCell ref="G821:G823"/>
    <mergeCell ref="I821:I823"/>
  </mergeCells>
  <pageMargins left="0.25" right="0.25" top="0.75" bottom="0.75" header="0.3" footer="0.3"/>
  <pageSetup paperSize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74"/>
  <sheetViews>
    <sheetView topLeftCell="C383" zoomScale="230" zoomScaleNormal="230" workbookViewId="0">
      <selection activeCell="B307" sqref="B307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53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54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31052</v>
      </c>
      <c r="B7" s="14"/>
      <c r="C7" s="15">
        <v>0.66700000000000004</v>
      </c>
      <c r="D7" s="14"/>
      <c r="E7" s="15">
        <f>C7+D7</f>
        <v>0.66700000000000004</v>
      </c>
      <c r="F7" s="14"/>
      <c r="G7" s="15">
        <f>C7</f>
        <v>0.66700000000000004</v>
      </c>
      <c r="H7" s="14"/>
      <c r="I7" s="15">
        <f>G7+H7</f>
        <v>0.66700000000000004</v>
      </c>
      <c r="J7" s="14"/>
      <c r="K7" s="16"/>
    </row>
    <row r="8" spans="1:11" ht="12.6" customHeight="1" x14ac:dyDescent="0.2">
      <c r="A8" s="13">
        <v>31057</v>
      </c>
      <c r="B8" s="17"/>
      <c r="C8" s="15">
        <v>6.25</v>
      </c>
      <c r="D8" s="18"/>
      <c r="E8" s="15">
        <f>E7+C8-D8</f>
        <v>6.9169999999999998</v>
      </c>
      <c r="F8" s="14"/>
      <c r="G8" s="15">
        <f t="shared" ref="G8:G33" si="0">C8</f>
        <v>6.25</v>
      </c>
      <c r="H8" s="14"/>
      <c r="I8" s="15">
        <f>I7+G8-H8</f>
        <v>6.9169999999999998</v>
      </c>
      <c r="J8" s="14"/>
      <c r="K8" s="16"/>
    </row>
    <row r="9" spans="1:11" ht="12.6" customHeight="1" x14ac:dyDescent="0.2">
      <c r="A9" s="13"/>
      <c r="B9" s="17" t="s">
        <v>56</v>
      </c>
      <c r="C9" s="15"/>
      <c r="D9" s="14">
        <v>4</v>
      </c>
      <c r="E9" s="15">
        <f t="shared" ref="E9:E33" si="1">E8+C9-D9</f>
        <v>2.9169999999999998</v>
      </c>
      <c r="F9" s="14"/>
      <c r="G9" s="15">
        <f t="shared" si="0"/>
        <v>0</v>
      </c>
      <c r="H9" s="14"/>
      <c r="I9" s="15">
        <f t="shared" ref="I9:I34" si="2">I8+G9-H9</f>
        <v>6.9169999999999998</v>
      </c>
      <c r="J9" s="14"/>
      <c r="K9" s="16" t="s">
        <v>55</v>
      </c>
    </row>
    <row r="10" spans="1:11" ht="12.6" customHeight="1" x14ac:dyDescent="0.2">
      <c r="A10" s="13">
        <v>31413</v>
      </c>
      <c r="B10" s="19"/>
      <c r="C10" s="15">
        <v>3.75</v>
      </c>
      <c r="D10" s="14"/>
      <c r="E10" s="15">
        <f t="shared" si="1"/>
        <v>6.6669999999999998</v>
      </c>
      <c r="F10" s="14"/>
      <c r="G10" s="15">
        <f t="shared" si="0"/>
        <v>3.75</v>
      </c>
      <c r="H10" s="14"/>
      <c r="I10" s="15">
        <f t="shared" si="2"/>
        <v>10.667</v>
      </c>
      <c r="J10" s="14"/>
      <c r="K10" s="13"/>
    </row>
    <row r="11" spans="1:11" s="63" customFormat="1" ht="12.6" customHeight="1" x14ac:dyDescent="0.2">
      <c r="A11" s="58"/>
      <c r="B11" s="59" t="s">
        <v>57</v>
      </c>
      <c r="C11" s="60"/>
      <c r="D11" s="61">
        <v>1</v>
      </c>
      <c r="E11" s="60">
        <f t="shared" si="1"/>
        <v>5.6669999999999998</v>
      </c>
      <c r="F11" s="61"/>
      <c r="G11" s="60">
        <f t="shared" si="0"/>
        <v>0</v>
      </c>
      <c r="H11" s="61"/>
      <c r="I11" s="60">
        <f t="shared" si="2"/>
        <v>10.667</v>
      </c>
      <c r="J11" s="61"/>
      <c r="K11" s="62" t="s">
        <v>58</v>
      </c>
    </row>
    <row r="12" spans="1:11" ht="12.6" customHeight="1" x14ac:dyDescent="0.2">
      <c r="A12" s="13">
        <v>31415</v>
      </c>
      <c r="B12" s="19"/>
      <c r="C12" s="15">
        <v>2.5</v>
      </c>
      <c r="D12" s="14"/>
      <c r="E12" s="15">
        <f t="shared" si="1"/>
        <v>8.1669999999999998</v>
      </c>
      <c r="F12" s="14"/>
      <c r="G12" s="15">
        <f t="shared" si="0"/>
        <v>2.5</v>
      </c>
      <c r="H12" s="14"/>
      <c r="I12" s="15">
        <f t="shared" si="2"/>
        <v>13.167</v>
      </c>
      <c r="J12" s="14"/>
      <c r="K12" s="13"/>
    </row>
    <row r="13" spans="1:11" ht="12.6" customHeight="1" x14ac:dyDescent="0.2">
      <c r="A13" s="13"/>
      <c r="B13" s="17" t="s">
        <v>60</v>
      </c>
      <c r="C13" s="15"/>
      <c r="D13" s="14">
        <v>5</v>
      </c>
      <c r="E13" s="15">
        <f t="shared" si="1"/>
        <v>3.1669999999999998</v>
      </c>
      <c r="F13" s="14"/>
      <c r="G13" s="15">
        <f t="shared" si="0"/>
        <v>0</v>
      </c>
      <c r="H13" s="14"/>
      <c r="I13" s="15">
        <f t="shared" si="2"/>
        <v>13.167</v>
      </c>
      <c r="J13" s="14"/>
      <c r="K13" s="13" t="s">
        <v>59</v>
      </c>
    </row>
    <row r="14" spans="1:11" ht="12.6" customHeight="1" x14ac:dyDescent="0.2">
      <c r="A14" s="13">
        <v>31779</v>
      </c>
      <c r="B14" s="17"/>
      <c r="C14" s="15">
        <v>13.75</v>
      </c>
      <c r="D14" s="14"/>
      <c r="E14" s="15">
        <f t="shared" si="1"/>
        <v>16.917000000000002</v>
      </c>
      <c r="F14" s="14"/>
      <c r="G14" s="15">
        <f t="shared" si="0"/>
        <v>13.75</v>
      </c>
      <c r="H14" s="14"/>
      <c r="I14" s="15">
        <f t="shared" si="2"/>
        <v>26.917000000000002</v>
      </c>
      <c r="J14" s="14"/>
      <c r="K14" s="13"/>
    </row>
    <row r="15" spans="1:11" ht="12.6" customHeight="1" x14ac:dyDescent="0.2">
      <c r="A15" s="13"/>
      <c r="B15" s="17" t="s">
        <v>60</v>
      </c>
      <c r="C15" s="15"/>
      <c r="D15" s="14">
        <v>5</v>
      </c>
      <c r="E15" s="15">
        <f t="shared" si="1"/>
        <v>11.917000000000002</v>
      </c>
      <c r="F15" s="14"/>
      <c r="G15" s="15">
        <f t="shared" si="0"/>
        <v>0</v>
      </c>
      <c r="H15" s="14"/>
      <c r="I15" s="15">
        <f t="shared" si="2"/>
        <v>26.917000000000002</v>
      </c>
      <c r="J15" s="14"/>
      <c r="K15" s="13" t="s">
        <v>61</v>
      </c>
    </row>
    <row r="16" spans="1:11" ht="12.6" customHeight="1" x14ac:dyDescent="0.2">
      <c r="A16" s="13">
        <v>32152</v>
      </c>
      <c r="B16" s="19"/>
      <c r="C16" s="15">
        <v>25</v>
      </c>
      <c r="D16" s="14"/>
      <c r="E16" s="15">
        <f t="shared" si="1"/>
        <v>36.917000000000002</v>
      </c>
      <c r="F16" s="14"/>
      <c r="G16" s="15">
        <f t="shared" si="0"/>
        <v>25</v>
      </c>
      <c r="H16" s="14"/>
      <c r="I16" s="15">
        <f t="shared" si="2"/>
        <v>51.917000000000002</v>
      </c>
      <c r="J16" s="14"/>
      <c r="K16" s="13"/>
    </row>
    <row r="17" spans="1:11" ht="12.6" customHeight="1" x14ac:dyDescent="0.2">
      <c r="A17" s="13"/>
      <c r="B17" s="17" t="s">
        <v>56</v>
      </c>
      <c r="C17" s="15"/>
      <c r="D17" s="14">
        <v>4</v>
      </c>
      <c r="E17" s="15">
        <f t="shared" si="1"/>
        <v>32.917000000000002</v>
      </c>
      <c r="F17" s="14"/>
      <c r="G17" s="15">
        <f t="shared" si="0"/>
        <v>0</v>
      </c>
      <c r="H17" s="14"/>
      <c r="I17" s="15">
        <f t="shared" si="2"/>
        <v>51.917000000000002</v>
      </c>
      <c r="J17" s="14"/>
      <c r="K17" s="13" t="s">
        <v>63</v>
      </c>
    </row>
    <row r="18" spans="1:11" ht="12.6" customHeight="1" x14ac:dyDescent="0.2">
      <c r="A18" s="13">
        <v>32509</v>
      </c>
      <c r="B18" s="17"/>
      <c r="C18" s="15">
        <v>3.75</v>
      </c>
      <c r="D18" s="14"/>
      <c r="E18" s="15">
        <f t="shared" si="1"/>
        <v>36.667000000000002</v>
      </c>
      <c r="F18" s="14"/>
      <c r="G18" s="15">
        <f t="shared" si="0"/>
        <v>3.75</v>
      </c>
      <c r="H18" s="14"/>
      <c r="I18" s="15">
        <f t="shared" si="2"/>
        <v>55.667000000000002</v>
      </c>
      <c r="J18" s="14"/>
      <c r="K18" s="13"/>
    </row>
    <row r="19" spans="1:11" s="63" customFormat="1" ht="12.6" customHeight="1" x14ac:dyDescent="0.2">
      <c r="A19" s="58"/>
      <c r="B19" s="59" t="s">
        <v>57</v>
      </c>
      <c r="C19" s="60"/>
      <c r="D19" s="61">
        <v>1</v>
      </c>
      <c r="E19" s="60">
        <f t="shared" si="1"/>
        <v>35.667000000000002</v>
      </c>
      <c r="F19" s="61"/>
      <c r="G19" s="60">
        <f t="shared" si="0"/>
        <v>0</v>
      </c>
      <c r="H19" s="61"/>
      <c r="I19" s="60">
        <f t="shared" si="2"/>
        <v>55.667000000000002</v>
      </c>
      <c r="J19" s="61"/>
      <c r="K19" s="58" t="s">
        <v>62</v>
      </c>
    </row>
    <row r="20" spans="1:11" ht="12.6" customHeight="1" x14ac:dyDescent="0.2">
      <c r="A20" s="13">
        <v>32874</v>
      </c>
      <c r="B20" s="17"/>
      <c r="C20" s="15">
        <v>15</v>
      </c>
      <c r="D20" s="21"/>
      <c r="E20" s="15">
        <f t="shared" si="1"/>
        <v>50.667000000000002</v>
      </c>
      <c r="F20" s="14"/>
      <c r="G20" s="15">
        <f t="shared" si="0"/>
        <v>15</v>
      </c>
      <c r="H20" s="14"/>
      <c r="I20" s="15">
        <f t="shared" si="2"/>
        <v>70.667000000000002</v>
      </c>
      <c r="J20" s="14"/>
      <c r="K20" s="13"/>
    </row>
    <row r="21" spans="1:11" s="63" customFormat="1" ht="12.6" customHeight="1" x14ac:dyDescent="0.2">
      <c r="A21" s="58"/>
      <c r="B21" s="59" t="s">
        <v>65</v>
      </c>
      <c r="C21" s="60"/>
      <c r="D21" s="61">
        <v>5</v>
      </c>
      <c r="E21" s="60">
        <f t="shared" si="1"/>
        <v>45.667000000000002</v>
      </c>
      <c r="F21" s="61"/>
      <c r="G21" s="60">
        <f t="shared" si="0"/>
        <v>0</v>
      </c>
      <c r="H21" s="61"/>
      <c r="I21" s="60">
        <f t="shared" si="2"/>
        <v>70.667000000000002</v>
      </c>
      <c r="J21" s="61"/>
      <c r="K21" s="58" t="s">
        <v>64</v>
      </c>
    </row>
    <row r="22" spans="1:11" ht="12.6" customHeight="1" x14ac:dyDescent="0.2">
      <c r="A22" s="13">
        <v>32876</v>
      </c>
      <c r="B22" s="17"/>
      <c r="C22" s="15">
        <v>2.5</v>
      </c>
      <c r="D22" s="14"/>
      <c r="E22" s="15">
        <f t="shared" si="1"/>
        <v>48.167000000000002</v>
      </c>
      <c r="F22" s="14"/>
      <c r="G22" s="15">
        <f t="shared" si="0"/>
        <v>2.5</v>
      </c>
      <c r="H22" s="14"/>
      <c r="I22" s="15">
        <f t="shared" si="2"/>
        <v>73.167000000000002</v>
      </c>
      <c r="J22" s="14"/>
      <c r="K22" s="13"/>
    </row>
    <row r="23" spans="1:11" ht="12.6" customHeight="1" x14ac:dyDescent="0.2">
      <c r="A23" s="13"/>
      <c r="B23" s="17" t="s">
        <v>47</v>
      </c>
      <c r="C23" s="15"/>
      <c r="D23" s="14"/>
      <c r="E23" s="15">
        <f t="shared" si="1"/>
        <v>48.167000000000002</v>
      </c>
      <c r="F23" s="14"/>
      <c r="G23" s="15">
        <f t="shared" si="0"/>
        <v>0</v>
      </c>
      <c r="H23" s="14">
        <v>1</v>
      </c>
      <c r="I23" s="15">
        <f t="shared" si="2"/>
        <v>72.167000000000002</v>
      </c>
      <c r="J23" s="14"/>
      <c r="K23" s="13">
        <v>33057</v>
      </c>
    </row>
    <row r="24" spans="1:11" ht="12.6" customHeight="1" x14ac:dyDescent="0.2">
      <c r="A24" s="13">
        <v>32877</v>
      </c>
      <c r="B24" s="19"/>
      <c r="C24" s="15">
        <v>1.25</v>
      </c>
      <c r="D24" s="14"/>
      <c r="E24" s="15">
        <f t="shared" si="1"/>
        <v>49.417000000000002</v>
      </c>
      <c r="F24" s="14"/>
      <c r="G24" s="15">
        <f t="shared" si="0"/>
        <v>1.25</v>
      </c>
      <c r="H24" s="14"/>
      <c r="I24" s="15">
        <f t="shared" si="2"/>
        <v>73.417000000000002</v>
      </c>
      <c r="J24" s="14"/>
      <c r="K24" s="13"/>
    </row>
    <row r="25" spans="1:11" ht="12.6" customHeight="1" x14ac:dyDescent="0.2">
      <c r="A25" s="13"/>
      <c r="B25" s="17" t="s">
        <v>67</v>
      </c>
      <c r="C25" s="15"/>
      <c r="D25" s="14"/>
      <c r="E25" s="15">
        <f t="shared" si="1"/>
        <v>49.417000000000002</v>
      </c>
      <c r="F25" s="14"/>
      <c r="G25" s="15">
        <f t="shared" si="0"/>
        <v>0</v>
      </c>
      <c r="H25" s="14">
        <v>3</v>
      </c>
      <c r="I25" s="15">
        <f t="shared" si="2"/>
        <v>70.417000000000002</v>
      </c>
      <c r="J25" s="14"/>
      <c r="K25" s="13" t="s">
        <v>66</v>
      </c>
    </row>
    <row r="26" spans="1:11" ht="12.6" customHeight="1" x14ac:dyDescent="0.2">
      <c r="A26" s="13">
        <v>33242</v>
      </c>
      <c r="B26" s="19"/>
      <c r="C26" s="15">
        <v>15</v>
      </c>
      <c r="D26" s="14"/>
      <c r="E26" s="15">
        <f t="shared" si="1"/>
        <v>64.417000000000002</v>
      </c>
      <c r="F26" s="14"/>
      <c r="G26" s="15">
        <f t="shared" si="0"/>
        <v>15</v>
      </c>
      <c r="H26" s="14"/>
      <c r="I26" s="15">
        <f t="shared" si="2"/>
        <v>85.417000000000002</v>
      </c>
      <c r="J26" s="14"/>
      <c r="K26" s="13"/>
    </row>
    <row r="27" spans="1:11" ht="12.6" customHeight="1" x14ac:dyDescent="0.2">
      <c r="A27" s="13">
        <v>33604</v>
      </c>
      <c r="B27" s="17"/>
      <c r="C27" s="15">
        <v>11.25</v>
      </c>
      <c r="D27" s="14"/>
      <c r="E27" s="15">
        <f t="shared" si="1"/>
        <v>75.667000000000002</v>
      </c>
      <c r="F27" s="14"/>
      <c r="G27" s="15">
        <f t="shared" si="0"/>
        <v>11.25</v>
      </c>
      <c r="H27" s="14"/>
      <c r="I27" s="15">
        <f t="shared" si="2"/>
        <v>96.667000000000002</v>
      </c>
      <c r="J27" s="14"/>
      <c r="K27" s="13"/>
    </row>
    <row r="28" spans="1:11" s="63" customFormat="1" ht="12.6" customHeight="1" x14ac:dyDescent="0.2">
      <c r="A28" s="58"/>
      <c r="B28" s="59" t="s">
        <v>211</v>
      </c>
      <c r="C28" s="60"/>
      <c r="D28" s="61">
        <v>10</v>
      </c>
      <c r="E28" s="60">
        <f t="shared" si="1"/>
        <v>65.667000000000002</v>
      </c>
      <c r="F28" s="61"/>
      <c r="G28" s="60">
        <f t="shared" si="0"/>
        <v>0</v>
      </c>
      <c r="H28" s="61"/>
      <c r="I28" s="60">
        <f t="shared" si="2"/>
        <v>96.667000000000002</v>
      </c>
      <c r="J28" s="61"/>
      <c r="K28" s="58" t="s">
        <v>210</v>
      </c>
    </row>
    <row r="29" spans="1:11" ht="12.6" customHeight="1" x14ac:dyDescent="0.2">
      <c r="A29" s="13">
        <v>33970</v>
      </c>
      <c r="B29" s="19"/>
      <c r="C29" s="15">
        <v>15</v>
      </c>
      <c r="D29" s="14"/>
      <c r="E29" s="15">
        <f t="shared" si="1"/>
        <v>80.667000000000002</v>
      </c>
      <c r="F29" s="14"/>
      <c r="G29" s="15">
        <f t="shared" si="0"/>
        <v>15</v>
      </c>
      <c r="H29" s="14"/>
      <c r="I29" s="15">
        <f t="shared" si="2"/>
        <v>111.667</v>
      </c>
      <c r="J29" s="14"/>
      <c r="K29" s="13"/>
    </row>
    <row r="30" spans="1:11" s="63" customFormat="1" ht="12.6" customHeight="1" x14ac:dyDescent="0.2">
      <c r="A30" s="58"/>
      <c r="B30" s="59" t="s">
        <v>65</v>
      </c>
      <c r="C30" s="60"/>
      <c r="D30" s="61">
        <v>5</v>
      </c>
      <c r="E30" s="60">
        <f t="shared" si="1"/>
        <v>75.667000000000002</v>
      </c>
      <c r="F30" s="61"/>
      <c r="G30" s="60">
        <f t="shared" si="0"/>
        <v>0</v>
      </c>
      <c r="H30" s="61"/>
      <c r="I30" s="60">
        <f t="shared" si="2"/>
        <v>111.667</v>
      </c>
      <c r="J30" s="61"/>
      <c r="K30" s="64" t="s">
        <v>69</v>
      </c>
    </row>
    <row r="31" spans="1:11" ht="12.6" customHeight="1" x14ac:dyDescent="0.2">
      <c r="A31" s="13">
        <v>34335</v>
      </c>
      <c r="B31" s="19"/>
      <c r="C31" s="15">
        <v>15</v>
      </c>
      <c r="D31" s="14"/>
      <c r="E31" s="15">
        <f t="shared" si="1"/>
        <v>90.667000000000002</v>
      </c>
      <c r="F31" s="22"/>
      <c r="G31" s="15">
        <f t="shared" si="0"/>
        <v>15</v>
      </c>
      <c r="H31" s="22"/>
      <c r="I31" s="15">
        <f t="shared" si="2"/>
        <v>126.667</v>
      </c>
      <c r="J31" s="22"/>
      <c r="K31" s="23"/>
    </row>
    <row r="32" spans="1:11" s="63" customFormat="1" ht="12.6" customHeight="1" x14ac:dyDescent="0.2">
      <c r="A32" s="58"/>
      <c r="B32" s="59" t="s">
        <v>65</v>
      </c>
      <c r="C32" s="60"/>
      <c r="D32" s="61">
        <v>5</v>
      </c>
      <c r="E32" s="60">
        <f t="shared" si="1"/>
        <v>85.667000000000002</v>
      </c>
      <c r="F32" s="65"/>
      <c r="G32" s="60">
        <f t="shared" si="0"/>
        <v>0</v>
      </c>
      <c r="H32" s="65"/>
      <c r="I32" s="60">
        <f t="shared" si="2"/>
        <v>126.667</v>
      </c>
      <c r="J32" s="65"/>
      <c r="K32" s="66" t="s">
        <v>70</v>
      </c>
    </row>
    <row r="33" spans="1:11" ht="12.6" customHeight="1" x14ac:dyDescent="0.2">
      <c r="A33" s="13">
        <v>34700</v>
      </c>
      <c r="B33" s="17"/>
      <c r="C33" s="15">
        <v>15</v>
      </c>
      <c r="D33" s="14"/>
      <c r="E33" s="15">
        <f t="shared" si="1"/>
        <v>100.667</v>
      </c>
      <c r="F33" s="22"/>
      <c r="G33" s="15">
        <f t="shared" si="0"/>
        <v>15</v>
      </c>
      <c r="H33" s="22"/>
      <c r="I33" s="15">
        <f t="shared" si="2"/>
        <v>141.667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145.667</v>
      </c>
      <c r="D34" s="25">
        <f>SUM(D9:D33)</f>
        <v>45</v>
      </c>
      <c r="E34" s="25"/>
      <c r="F34" s="22"/>
      <c r="G34" s="25">
        <f>SUM(G7:G33)</f>
        <v>145.667</v>
      </c>
      <c r="H34" s="25">
        <f>SUM(H7:H33)</f>
        <v>4</v>
      </c>
      <c r="I34" s="15">
        <f t="shared" si="2"/>
        <v>283.334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NICASIO D. CATAPANG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APRIL 15, 1985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s="63" customFormat="1" ht="12.6" customHeight="1" x14ac:dyDescent="0.2">
      <c r="A43" s="58"/>
      <c r="B43" s="59" t="s">
        <v>65</v>
      </c>
      <c r="C43" s="60"/>
      <c r="D43" s="61">
        <v>5</v>
      </c>
      <c r="E43" s="60">
        <f>E33+C43-D43</f>
        <v>95.667000000000002</v>
      </c>
      <c r="F43" s="61"/>
      <c r="G43" s="60">
        <f>C43</f>
        <v>0</v>
      </c>
      <c r="H43" s="61"/>
      <c r="I43" s="60">
        <f>I33+G43-H43</f>
        <v>141.667</v>
      </c>
      <c r="J43" s="61"/>
      <c r="K43" s="58" t="s">
        <v>71</v>
      </c>
    </row>
    <row r="44" spans="1:11" ht="12.6" customHeight="1" x14ac:dyDescent="0.2">
      <c r="A44" s="13">
        <v>34709</v>
      </c>
      <c r="B44" s="17"/>
      <c r="C44" s="15">
        <v>11.25</v>
      </c>
      <c r="D44" s="14"/>
      <c r="E44" s="15">
        <f>E43+C44-D44</f>
        <v>106.917</v>
      </c>
      <c r="F44" s="14"/>
      <c r="G44" s="15">
        <f t="shared" ref="G44:G68" si="3">C44</f>
        <v>11.25</v>
      </c>
      <c r="H44" s="14"/>
      <c r="I44" s="15">
        <f>I43+G44-H44</f>
        <v>152.917</v>
      </c>
      <c r="J44" s="14"/>
      <c r="K44" s="13"/>
    </row>
    <row r="45" spans="1:11" ht="12.6" customHeight="1" x14ac:dyDescent="0.2">
      <c r="A45" s="13"/>
      <c r="B45" s="17" t="s">
        <v>60</v>
      </c>
      <c r="C45" s="15"/>
      <c r="D45" s="14">
        <v>5</v>
      </c>
      <c r="E45" s="15">
        <f t="shared" ref="E45:E68" si="4">E44+C45-D45</f>
        <v>101.917</v>
      </c>
      <c r="F45" s="14"/>
      <c r="G45" s="15">
        <f t="shared" si="3"/>
        <v>0</v>
      </c>
      <c r="H45" s="14"/>
      <c r="I45" s="15">
        <f t="shared" ref="I45:I68" si="5">I44+G45-H45</f>
        <v>152.917</v>
      </c>
      <c r="J45" s="14"/>
      <c r="K45" s="13" t="s">
        <v>72</v>
      </c>
    </row>
    <row r="46" spans="1:11" ht="12.6" customHeight="1" x14ac:dyDescent="0.2">
      <c r="A46" s="13">
        <v>35067</v>
      </c>
      <c r="B46" s="17"/>
      <c r="C46" s="15">
        <v>6.25</v>
      </c>
      <c r="D46" s="14"/>
      <c r="E46" s="15">
        <f t="shared" si="4"/>
        <v>108.167</v>
      </c>
      <c r="F46" s="14"/>
      <c r="G46" s="15">
        <f t="shared" si="3"/>
        <v>6.25</v>
      </c>
      <c r="H46" s="14"/>
      <c r="I46" s="15">
        <f t="shared" si="5"/>
        <v>159.167</v>
      </c>
      <c r="J46" s="14"/>
      <c r="K46" s="13"/>
    </row>
    <row r="47" spans="1:11" ht="12.6" customHeight="1" x14ac:dyDescent="0.2">
      <c r="A47" s="13"/>
      <c r="B47" s="19" t="s">
        <v>74</v>
      </c>
      <c r="C47" s="15"/>
      <c r="D47" s="14">
        <v>1</v>
      </c>
      <c r="E47" s="15">
        <f t="shared" si="4"/>
        <v>107.167</v>
      </c>
      <c r="F47" s="14"/>
      <c r="G47" s="15">
        <f t="shared" si="3"/>
        <v>0</v>
      </c>
      <c r="H47" s="14"/>
      <c r="I47" s="15">
        <f t="shared" si="5"/>
        <v>159.167</v>
      </c>
      <c r="J47" s="14"/>
      <c r="K47" s="13" t="s">
        <v>73</v>
      </c>
    </row>
    <row r="48" spans="1:11" ht="12.6" customHeight="1" x14ac:dyDescent="0.2">
      <c r="A48" s="13">
        <v>35068</v>
      </c>
      <c r="B48" s="17"/>
      <c r="C48" s="15">
        <v>1.25</v>
      </c>
      <c r="D48" s="14"/>
      <c r="E48" s="15">
        <f t="shared" si="4"/>
        <v>108.417</v>
      </c>
      <c r="F48" s="14"/>
      <c r="G48" s="15">
        <f t="shared" si="3"/>
        <v>1.25</v>
      </c>
      <c r="H48" s="14"/>
      <c r="I48" s="15">
        <f t="shared" si="5"/>
        <v>160.417</v>
      </c>
      <c r="J48" s="14"/>
      <c r="K48" s="13"/>
    </row>
    <row r="49" spans="1:11" ht="12.6" customHeight="1" x14ac:dyDescent="0.2">
      <c r="A49" s="13"/>
      <c r="B49" s="19" t="s">
        <v>76</v>
      </c>
      <c r="C49" s="15"/>
      <c r="D49" s="14">
        <v>2</v>
      </c>
      <c r="E49" s="15">
        <f t="shared" si="4"/>
        <v>106.417</v>
      </c>
      <c r="F49" s="14"/>
      <c r="G49" s="15">
        <f t="shared" si="3"/>
        <v>0</v>
      </c>
      <c r="H49" s="14"/>
      <c r="I49" s="15">
        <f t="shared" si="5"/>
        <v>160.417</v>
      </c>
      <c r="J49" s="14"/>
      <c r="K49" s="13" t="s">
        <v>75</v>
      </c>
    </row>
    <row r="50" spans="1:11" ht="12.6" customHeight="1" x14ac:dyDescent="0.2">
      <c r="A50" s="13">
        <v>35076</v>
      </c>
      <c r="B50" s="19"/>
      <c r="C50" s="15">
        <v>10</v>
      </c>
      <c r="D50" s="14"/>
      <c r="E50" s="15">
        <f t="shared" si="4"/>
        <v>116.417</v>
      </c>
      <c r="F50" s="14"/>
      <c r="G50" s="15">
        <f t="shared" si="3"/>
        <v>10</v>
      </c>
      <c r="H50" s="14"/>
      <c r="I50" s="15">
        <f t="shared" si="5"/>
        <v>170.417</v>
      </c>
      <c r="J50" s="14"/>
      <c r="K50" s="13"/>
    </row>
    <row r="51" spans="1:11" ht="12.6" customHeight="1" x14ac:dyDescent="0.2">
      <c r="A51" s="13"/>
      <c r="B51" s="19" t="s">
        <v>77</v>
      </c>
      <c r="C51" s="15"/>
      <c r="D51" s="14">
        <v>2</v>
      </c>
      <c r="E51" s="15">
        <f t="shared" si="4"/>
        <v>114.417</v>
      </c>
      <c r="F51" s="14"/>
      <c r="G51" s="15">
        <f t="shared" si="3"/>
        <v>0</v>
      </c>
      <c r="H51" s="14"/>
      <c r="I51" s="15">
        <f t="shared" si="5"/>
        <v>170.417</v>
      </c>
      <c r="J51" s="14"/>
      <c r="K51" s="16" t="s">
        <v>78</v>
      </c>
    </row>
    <row r="52" spans="1:11" ht="12.6" customHeight="1" x14ac:dyDescent="0.2">
      <c r="A52" s="13">
        <v>35434</v>
      </c>
      <c r="B52" s="19"/>
      <c r="C52" s="15">
        <v>5</v>
      </c>
      <c r="D52" s="14"/>
      <c r="E52" s="15">
        <f t="shared" si="4"/>
        <v>119.417</v>
      </c>
      <c r="F52" s="14"/>
      <c r="G52" s="15">
        <f t="shared" si="3"/>
        <v>5</v>
      </c>
      <c r="H52" s="14"/>
      <c r="I52" s="15">
        <f t="shared" si="5"/>
        <v>175.417</v>
      </c>
      <c r="J52" s="14"/>
      <c r="K52" s="13"/>
    </row>
    <row r="53" spans="1:11" ht="12.6" customHeight="1" x14ac:dyDescent="0.2">
      <c r="A53" s="13"/>
      <c r="B53" s="19" t="s">
        <v>74</v>
      </c>
      <c r="C53" s="15"/>
      <c r="D53" s="14">
        <v>1</v>
      </c>
      <c r="E53" s="15">
        <f t="shared" si="4"/>
        <v>118.417</v>
      </c>
      <c r="F53" s="14"/>
      <c r="G53" s="15">
        <f t="shared" si="3"/>
        <v>0</v>
      </c>
      <c r="H53" s="14"/>
      <c r="I53" s="15">
        <f t="shared" si="5"/>
        <v>175.417</v>
      </c>
      <c r="J53" s="14"/>
      <c r="K53" s="13">
        <v>35646</v>
      </c>
    </row>
    <row r="54" spans="1:11" ht="12.6" customHeight="1" x14ac:dyDescent="0.2">
      <c r="A54" s="13">
        <v>35439</v>
      </c>
      <c r="B54" s="19"/>
      <c r="C54" s="15">
        <v>6.25</v>
      </c>
      <c r="D54" s="14"/>
      <c r="E54" s="15">
        <f t="shared" si="4"/>
        <v>124.667</v>
      </c>
      <c r="F54" s="14"/>
      <c r="G54" s="15">
        <f t="shared" si="3"/>
        <v>6.25</v>
      </c>
      <c r="H54" s="14"/>
      <c r="I54" s="15">
        <f t="shared" si="5"/>
        <v>181.667</v>
      </c>
      <c r="J54" s="14"/>
      <c r="K54" s="13"/>
    </row>
    <row r="55" spans="1:11" ht="12.6" customHeight="1" x14ac:dyDescent="0.2">
      <c r="A55" s="13"/>
      <c r="B55" s="19" t="s">
        <v>74</v>
      </c>
      <c r="C55" s="15"/>
      <c r="D55" s="14">
        <v>1</v>
      </c>
      <c r="E55" s="15">
        <f t="shared" si="4"/>
        <v>123.667</v>
      </c>
      <c r="F55" s="14"/>
      <c r="G55" s="15">
        <f t="shared" si="3"/>
        <v>0</v>
      </c>
      <c r="H55" s="14"/>
      <c r="I55" s="15">
        <f t="shared" si="5"/>
        <v>181.667</v>
      </c>
      <c r="J55" s="14"/>
      <c r="K55" s="13" t="s">
        <v>79</v>
      </c>
    </row>
    <row r="56" spans="1:11" ht="12.6" customHeight="1" x14ac:dyDescent="0.2">
      <c r="A56" s="13"/>
      <c r="B56" s="19" t="s">
        <v>74</v>
      </c>
      <c r="C56" s="15"/>
      <c r="D56" s="14">
        <v>1</v>
      </c>
      <c r="E56" s="15">
        <f t="shared" si="4"/>
        <v>122.667</v>
      </c>
      <c r="F56" s="14"/>
      <c r="G56" s="15">
        <f t="shared" si="3"/>
        <v>0</v>
      </c>
      <c r="H56" s="14"/>
      <c r="I56" s="15">
        <f t="shared" si="5"/>
        <v>181.667</v>
      </c>
      <c r="J56" s="14"/>
      <c r="K56" s="13">
        <v>35652</v>
      </c>
    </row>
    <row r="57" spans="1:11" ht="12.6" customHeight="1" x14ac:dyDescent="0.2">
      <c r="A57" s="13">
        <v>35441</v>
      </c>
      <c r="B57" s="19"/>
      <c r="C57" s="15">
        <v>2.5</v>
      </c>
      <c r="D57" s="14"/>
      <c r="E57" s="15">
        <f t="shared" si="4"/>
        <v>125.167</v>
      </c>
      <c r="F57" s="14"/>
      <c r="G57" s="15">
        <f t="shared" si="3"/>
        <v>2.5</v>
      </c>
      <c r="H57" s="14"/>
      <c r="I57" s="15">
        <f t="shared" si="5"/>
        <v>184.167</v>
      </c>
      <c r="J57" s="14"/>
      <c r="K57" s="13"/>
    </row>
    <row r="58" spans="1:11" ht="12.6" customHeight="1" x14ac:dyDescent="0.2">
      <c r="A58" s="13"/>
      <c r="B58" s="19" t="s">
        <v>81</v>
      </c>
      <c r="C58" s="15"/>
      <c r="D58" s="14"/>
      <c r="E58" s="15">
        <f t="shared" si="4"/>
        <v>125.167</v>
      </c>
      <c r="F58" s="14"/>
      <c r="G58" s="15">
        <f t="shared" si="3"/>
        <v>0</v>
      </c>
      <c r="H58" s="14"/>
      <c r="I58" s="15">
        <f t="shared" si="5"/>
        <v>184.167</v>
      </c>
      <c r="J58" s="14"/>
      <c r="K58" s="13" t="s">
        <v>80</v>
      </c>
    </row>
    <row r="59" spans="1:11" ht="12.6" customHeight="1" x14ac:dyDescent="0.2">
      <c r="A59" s="13"/>
      <c r="B59" s="19" t="s">
        <v>67</v>
      </c>
      <c r="C59" s="15"/>
      <c r="D59" s="14"/>
      <c r="E59" s="15">
        <f t="shared" si="4"/>
        <v>125.167</v>
      </c>
      <c r="F59" s="14"/>
      <c r="G59" s="15">
        <f t="shared" si="3"/>
        <v>0</v>
      </c>
      <c r="H59" s="14">
        <v>3</v>
      </c>
      <c r="I59" s="15">
        <f t="shared" si="5"/>
        <v>181.167</v>
      </c>
      <c r="J59" s="14"/>
      <c r="K59" s="13" t="s">
        <v>82</v>
      </c>
    </row>
    <row r="60" spans="1:11" ht="12.6" customHeight="1" x14ac:dyDescent="0.2">
      <c r="A60" s="13">
        <v>35796</v>
      </c>
      <c r="B60" s="19"/>
      <c r="C60" s="15">
        <v>2.5</v>
      </c>
      <c r="D60" s="14"/>
      <c r="E60" s="15">
        <f t="shared" si="4"/>
        <v>127.667</v>
      </c>
      <c r="F60" s="14"/>
      <c r="G60" s="15">
        <f t="shared" si="3"/>
        <v>2.5</v>
      </c>
      <c r="H60" s="14"/>
      <c r="I60" s="15">
        <f t="shared" si="5"/>
        <v>183.667</v>
      </c>
      <c r="J60" s="14"/>
      <c r="K60" s="13"/>
    </row>
    <row r="61" spans="1:11" s="63" customFormat="1" ht="12.6" customHeight="1" x14ac:dyDescent="0.2">
      <c r="A61" s="58"/>
      <c r="B61" s="67" t="s">
        <v>77</v>
      </c>
      <c r="C61" s="60"/>
      <c r="D61" s="61">
        <v>2</v>
      </c>
      <c r="E61" s="60">
        <f t="shared" si="4"/>
        <v>125.667</v>
      </c>
      <c r="F61" s="61"/>
      <c r="G61" s="60">
        <f t="shared" si="3"/>
        <v>0</v>
      </c>
      <c r="H61" s="61"/>
      <c r="I61" s="60">
        <f t="shared" si="5"/>
        <v>183.667</v>
      </c>
      <c r="J61" s="61"/>
      <c r="K61" s="58" t="s">
        <v>83</v>
      </c>
    </row>
    <row r="62" spans="1:11" ht="12.6" customHeight="1" x14ac:dyDescent="0.2">
      <c r="A62" s="13">
        <v>35802</v>
      </c>
      <c r="B62" s="17"/>
      <c r="C62" s="15">
        <v>7.5</v>
      </c>
      <c r="D62" s="14"/>
      <c r="E62" s="15">
        <f t="shared" si="4"/>
        <v>133.167</v>
      </c>
      <c r="F62" s="14"/>
      <c r="G62" s="15">
        <f t="shared" si="3"/>
        <v>7.5</v>
      </c>
      <c r="H62" s="14"/>
      <c r="I62" s="15">
        <f t="shared" si="5"/>
        <v>191.167</v>
      </c>
      <c r="J62" s="14"/>
      <c r="K62" s="16"/>
    </row>
    <row r="63" spans="1:11" ht="12.6" customHeight="1" x14ac:dyDescent="0.2">
      <c r="A63" s="13"/>
      <c r="B63" s="19" t="s">
        <v>67</v>
      </c>
      <c r="C63" s="15"/>
      <c r="D63" s="14"/>
      <c r="E63" s="15">
        <f t="shared" si="4"/>
        <v>133.167</v>
      </c>
      <c r="F63" s="14"/>
      <c r="G63" s="15">
        <f t="shared" si="3"/>
        <v>0</v>
      </c>
      <c r="H63" s="14">
        <v>3</v>
      </c>
      <c r="I63" s="15">
        <f t="shared" si="5"/>
        <v>188.167</v>
      </c>
      <c r="J63" s="14"/>
      <c r="K63" s="13" t="s">
        <v>84</v>
      </c>
    </row>
    <row r="64" spans="1:11" ht="12.6" customHeight="1" x14ac:dyDescent="0.2">
      <c r="A64" s="29">
        <v>35804</v>
      </c>
      <c r="B64" s="17"/>
      <c r="C64" s="15">
        <v>2.5</v>
      </c>
      <c r="D64" s="14"/>
      <c r="E64" s="15">
        <f t="shared" si="4"/>
        <v>135.667</v>
      </c>
      <c r="F64" s="14"/>
      <c r="G64" s="15">
        <f>C64</f>
        <v>2.5</v>
      </c>
      <c r="H64" s="14"/>
      <c r="I64" s="15">
        <f t="shared" si="5"/>
        <v>190.667</v>
      </c>
      <c r="J64" s="14"/>
      <c r="K64" s="29"/>
    </row>
    <row r="65" spans="1:11" ht="12.6" customHeight="1" x14ac:dyDescent="0.2">
      <c r="A65" s="13"/>
      <c r="B65" s="19" t="s">
        <v>76</v>
      </c>
      <c r="C65" s="15"/>
      <c r="D65" s="21">
        <v>2</v>
      </c>
      <c r="E65" s="15">
        <f t="shared" si="4"/>
        <v>133.667</v>
      </c>
      <c r="F65" s="14"/>
      <c r="G65" s="15">
        <f t="shared" si="3"/>
        <v>0</v>
      </c>
      <c r="H65" s="14"/>
      <c r="I65" s="15">
        <f t="shared" si="5"/>
        <v>190.667</v>
      </c>
      <c r="J65" s="14"/>
      <c r="K65" s="13" t="s">
        <v>85</v>
      </c>
    </row>
    <row r="66" spans="1:11" ht="12.6" customHeight="1" x14ac:dyDescent="0.2">
      <c r="A66" s="13">
        <v>36161</v>
      </c>
      <c r="B66" s="19"/>
      <c r="C66" s="15">
        <v>5</v>
      </c>
      <c r="D66" s="14"/>
      <c r="E66" s="15">
        <f t="shared" si="4"/>
        <v>138.667</v>
      </c>
      <c r="F66" s="14"/>
      <c r="G66" s="15">
        <f t="shared" si="3"/>
        <v>5</v>
      </c>
      <c r="H66" s="14"/>
      <c r="I66" s="15">
        <f t="shared" si="5"/>
        <v>195.667</v>
      </c>
      <c r="J66" s="14"/>
      <c r="K66" s="13"/>
    </row>
    <row r="67" spans="1:11" s="63" customFormat="1" ht="12.6" customHeight="1" x14ac:dyDescent="0.2">
      <c r="A67" s="68"/>
      <c r="B67" s="67" t="s">
        <v>87</v>
      </c>
      <c r="C67" s="60"/>
      <c r="D67" s="61">
        <v>3</v>
      </c>
      <c r="E67" s="60">
        <f t="shared" si="4"/>
        <v>135.667</v>
      </c>
      <c r="F67" s="61"/>
      <c r="G67" s="60">
        <f t="shared" si="3"/>
        <v>0</v>
      </c>
      <c r="H67" s="69"/>
      <c r="I67" s="60">
        <f t="shared" si="5"/>
        <v>195.667</v>
      </c>
      <c r="J67" s="69"/>
      <c r="K67" s="68" t="s">
        <v>86</v>
      </c>
    </row>
    <row r="68" spans="1:11" ht="12.6" customHeight="1" x14ac:dyDescent="0.2">
      <c r="A68" s="13">
        <v>36165</v>
      </c>
      <c r="B68" s="19"/>
      <c r="C68" s="15">
        <v>5</v>
      </c>
      <c r="D68" s="14"/>
      <c r="E68" s="15">
        <f t="shared" si="4"/>
        <v>140.667</v>
      </c>
      <c r="F68" s="14"/>
      <c r="G68" s="15">
        <f t="shared" si="3"/>
        <v>5</v>
      </c>
      <c r="H68" s="14"/>
      <c r="I68" s="15">
        <f t="shared" si="5"/>
        <v>200.667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65</v>
      </c>
      <c r="D69" s="15">
        <f>SUM(D43:D68)</f>
        <v>25</v>
      </c>
      <c r="E69" s="15" t="s">
        <v>17</v>
      </c>
      <c r="F69" s="32"/>
      <c r="G69" s="15">
        <f>SUM(G43:G68)</f>
        <v>65</v>
      </c>
      <c r="H69" s="15">
        <f>SUM(H43:H68)</f>
        <v>6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NICASIO D. CATAPANG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APRIL 15, 1985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90</v>
      </c>
      <c r="C82" s="15"/>
      <c r="D82" s="14"/>
      <c r="E82" s="15">
        <f>E68+C82-D82</f>
        <v>140.667</v>
      </c>
      <c r="F82" s="14"/>
      <c r="G82" s="15">
        <f>C82</f>
        <v>0</v>
      </c>
      <c r="H82" s="14"/>
      <c r="I82" s="15">
        <f>I68+G82-H82</f>
        <v>200.667</v>
      </c>
      <c r="J82" s="14"/>
      <c r="K82" s="13" t="s">
        <v>88</v>
      </c>
    </row>
    <row r="83" spans="1:11" ht="12.6" customHeight="1" x14ac:dyDescent="0.2">
      <c r="A83" s="13"/>
      <c r="B83" s="17" t="s">
        <v>76</v>
      </c>
      <c r="C83" s="15"/>
      <c r="D83" s="14">
        <v>2</v>
      </c>
      <c r="E83" s="15">
        <f>E82+C83-D83</f>
        <v>138.667</v>
      </c>
      <c r="F83" s="14"/>
      <c r="G83" s="15">
        <f t="shared" ref="G83:G107" si="6">C83</f>
        <v>0</v>
      </c>
      <c r="H83" s="14"/>
      <c r="I83" s="15">
        <f>I82+G83-H83</f>
        <v>200.667</v>
      </c>
      <c r="J83" s="22"/>
      <c r="K83" s="23" t="s">
        <v>89</v>
      </c>
    </row>
    <row r="84" spans="1:11" ht="12.6" customHeight="1" x14ac:dyDescent="0.2">
      <c r="A84" s="13">
        <v>36171</v>
      </c>
      <c r="B84" s="19"/>
      <c r="C84" s="15">
        <v>7.5</v>
      </c>
      <c r="D84" s="14"/>
      <c r="E84" s="15">
        <f t="shared" ref="E84:E107" si="7">E83+C84-D84</f>
        <v>146.167</v>
      </c>
      <c r="F84" s="14"/>
      <c r="G84" s="15">
        <f t="shared" si="6"/>
        <v>7.5</v>
      </c>
      <c r="H84" s="14"/>
      <c r="I84" s="15">
        <f t="shared" ref="I84:I107" si="8">I83+G84-H84</f>
        <v>208.167</v>
      </c>
      <c r="J84" s="14"/>
      <c r="K84" s="16"/>
    </row>
    <row r="85" spans="1:11" ht="12.6" customHeight="1" x14ac:dyDescent="0.2">
      <c r="A85" s="13"/>
      <c r="B85" s="19" t="s">
        <v>74</v>
      </c>
      <c r="C85" s="15"/>
      <c r="D85" s="14">
        <v>1</v>
      </c>
      <c r="E85" s="15">
        <f t="shared" si="7"/>
        <v>145.167</v>
      </c>
      <c r="F85" s="14"/>
      <c r="G85" s="15">
        <f t="shared" si="6"/>
        <v>0</v>
      </c>
      <c r="H85" s="14"/>
      <c r="I85" s="15">
        <f t="shared" si="8"/>
        <v>208.167</v>
      </c>
      <c r="J85" s="14"/>
      <c r="K85" s="13">
        <v>36505</v>
      </c>
    </row>
    <row r="86" spans="1:11" ht="12.6" customHeight="1" x14ac:dyDescent="0.2">
      <c r="A86" s="29">
        <v>36172</v>
      </c>
      <c r="B86" s="19"/>
      <c r="C86" s="15">
        <v>1.25</v>
      </c>
      <c r="D86" s="14"/>
      <c r="E86" s="15">
        <f t="shared" si="7"/>
        <v>146.417</v>
      </c>
      <c r="F86" s="14"/>
      <c r="G86" s="15">
        <f t="shared" si="6"/>
        <v>1.25</v>
      </c>
      <c r="H86" s="14"/>
      <c r="I86" s="15">
        <f t="shared" si="8"/>
        <v>209.417</v>
      </c>
      <c r="J86" s="14"/>
      <c r="K86" s="13"/>
    </row>
    <row r="87" spans="1:11" ht="12.6" customHeight="1" x14ac:dyDescent="0.2">
      <c r="A87" s="13"/>
      <c r="B87" s="19" t="s">
        <v>91</v>
      </c>
      <c r="C87" s="15"/>
      <c r="D87" s="14">
        <v>30</v>
      </c>
      <c r="E87" s="15">
        <f t="shared" si="7"/>
        <v>116.417</v>
      </c>
      <c r="F87" s="14"/>
      <c r="G87" s="15">
        <f t="shared" si="6"/>
        <v>0</v>
      </c>
      <c r="H87" s="14"/>
      <c r="I87" s="15">
        <f t="shared" si="8"/>
        <v>209.417</v>
      </c>
      <c r="J87" s="14"/>
      <c r="K87" s="13">
        <v>36495</v>
      </c>
    </row>
    <row r="88" spans="1:11" ht="12.6" customHeight="1" x14ac:dyDescent="0.2">
      <c r="A88" s="13">
        <v>36526</v>
      </c>
      <c r="B88" s="17"/>
      <c r="C88" s="15">
        <v>1.25</v>
      </c>
      <c r="D88" s="14"/>
      <c r="E88" s="15">
        <f t="shared" si="7"/>
        <v>117.667</v>
      </c>
      <c r="F88" s="14"/>
      <c r="G88" s="15">
        <f t="shared" si="6"/>
        <v>1.25</v>
      </c>
      <c r="H88" s="14"/>
      <c r="I88" s="15">
        <f t="shared" si="8"/>
        <v>210.667</v>
      </c>
      <c r="J88" s="14"/>
      <c r="K88" s="13"/>
    </row>
    <row r="89" spans="1:11" s="63" customFormat="1" ht="12.6" customHeight="1" x14ac:dyDescent="0.2">
      <c r="A89" s="58"/>
      <c r="B89" s="59" t="s">
        <v>77</v>
      </c>
      <c r="C89" s="60"/>
      <c r="D89" s="61">
        <v>2</v>
      </c>
      <c r="E89" s="60">
        <f t="shared" si="7"/>
        <v>115.667</v>
      </c>
      <c r="F89" s="61"/>
      <c r="G89" s="60">
        <f t="shared" si="6"/>
        <v>0</v>
      </c>
      <c r="H89" s="61"/>
      <c r="I89" s="60">
        <f t="shared" si="8"/>
        <v>210.667</v>
      </c>
      <c r="J89" s="61"/>
      <c r="K89" s="64" t="s">
        <v>92</v>
      </c>
    </row>
    <row r="90" spans="1:11" ht="12.6" customHeight="1" x14ac:dyDescent="0.2">
      <c r="A90" s="13">
        <v>36892</v>
      </c>
      <c r="B90" s="17"/>
      <c r="C90" s="15">
        <v>15</v>
      </c>
      <c r="D90" s="14"/>
      <c r="E90" s="15">
        <f t="shared" si="7"/>
        <v>130.667</v>
      </c>
      <c r="F90" s="14"/>
      <c r="G90" s="15">
        <f t="shared" si="6"/>
        <v>15</v>
      </c>
      <c r="H90" s="14"/>
      <c r="I90" s="15">
        <f t="shared" si="8"/>
        <v>225.667</v>
      </c>
      <c r="J90" s="14"/>
      <c r="K90" s="16"/>
    </row>
    <row r="91" spans="1:11" s="63" customFormat="1" ht="12.6" customHeight="1" x14ac:dyDescent="0.2">
      <c r="A91" s="58"/>
      <c r="B91" s="59" t="s">
        <v>65</v>
      </c>
      <c r="C91" s="60"/>
      <c r="D91" s="61">
        <v>5</v>
      </c>
      <c r="E91" s="60">
        <f t="shared" si="7"/>
        <v>125.667</v>
      </c>
      <c r="F91" s="61"/>
      <c r="G91" s="60">
        <f t="shared" si="6"/>
        <v>0</v>
      </c>
      <c r="H91" s="61"/>
      <c r="I91" s="60">
        <f t="shared" si="8"/>
        <v>225.667</v>
      </c>
      <c r="J91" s="61"/>
      <c r="K91" s="64" t="s">
        <v>93</v>
      </c>
    </row>
    <row r="92" spans="1:11" ht="12.6" customHeight="1" x14ac:dyDescent="0.2">
      <c r="A92" s="13">
        <v>36898</v>
      </c>
      <c r="B92" s="19"/>
      <c r="C92" s="15">
        <v>7.5</v>
      </c>
      <c r="D92" s="14"/>
      <c r="E92" s="15">
        <f t="shared" si="7"/>
        <v>133.167</v>
      </c>
      <c r="F92" s="14"/>
      <c r="G92" s="15">
        <f t="shared" si="6"/>
        <v>7.5</v>
      </c>
      <c r="H92" s="14"/>
      <c r="I92" s="15">
        <f t="shared" si="8"/>
        <v>233.167</v>
      </c>
      <c r="J92" s="14"/>
      <c r="K92" s="13"/>
    </row>
    <row r="93" spans="1:11" ht="12.6" customHeight="1" x14ac:dyDescent="0.2">
      <c r="A93" s="13"/>
      <c r="B93" s="17" t="s">
        <v>47</v>
      </c>
      <c r="C93" s="15"/>
      <c r="D93" s="14"/>
      <c r="E93" s="15">
        <f t="shared" si="7"/>
        <v>133.167</v>
      </c>
      <c r="F93" s="14"/>
      <c r="G93" s="15">
        <f t="shared" si="6"/>
        <v>0</v>
      </c>
      <c r="H93" s="14">
        <v>1</v>
      </c>
      <c r="I93" s="15">
        <f t="shared" si="8"/>
        <v>232.167</v>
      </c>
      <c r="J93" s="14"/>
      <c r="K93" s="13">
        <v>36957</v>
      </c>
    </row>
    <row r="94" spans="1:11" ht="12.6" customHeight="1" x14ac:dyDescent="0.2">
      <c r="A94" s="13">
        <v>36901</v>
      </c>
      <c r="B94" s="19"/>
      <c r="C94" s="15">
        <v>3.75</v>
      </c>
      <c r="D94" s="14"/>
      <c r="E94" s="15">
        <f t="shared" si="7"/>
        <v>136.917</v>
      </c>
      <c r="F94" s="14"/>
      <c r="G94" s="15">
        <f t="shared" si="6"/>
        <v>3.75</v>
      </c>
      <c r="H94" s="14"/>
      <c r="I94" s="15">
        <f t="shared" si="8"/>
        <v>235.917</v>
      </c>
      <c r="J94" s="14"/>
      <c r="K94" s="13"/>
    </row>
    <row r="95" spans="1:11" ht="12.6" customHeight="1" x14ac:dyDescent="0.2">
      <c r="A95" s="13"/>
      <c r="B95" s="19" t="s">
        <v>95</v>
      </c>
      <c r="C95" s="15"/>
      <c r="D95" s="14">
        <v>3</v>
      </c>
      <c r="E95" s="15">
        <f t="shared" si="7"/>
        <v>133.917</v>
      </c>
      <c r="F95" s="14"/>
      <c r="G95" s="15">
        <f t="shared" si="6"/>
        <v>0</v>
      </c>
      <c r="H95" s="14"/>
      <c r="I95" s="15">
        <f t="shared" si="8"/>
        <v>235.917</v>
      </c>
      <c r="J95" s="14"/>
      <c r="K95" s="13" t="s">
        <v>94</v>
      </c>
    </row>
    <row r="96" spans="1:11" ht="12.6" customHeight="1" x14ac:dyDescent="0.2">
      <c r="A96" s="13">
        <v>37257</v>
      </c>
      <c r="B96" s="19"/>
      <c r="C96" s="15">
        <v>3.75</v>
      </c>
      <c r="D96" s="14"/>
      <c r="E96" s="15">
        <f t="shared" si="7"/>
        <v>137.667</v>
      </c>
      <c r="F96" s="14"/>
      <c r="G96" s="15">
        <f t="shared" si="6"/>
        <v>3.75</v>
      </c>
      <c r="H96" s="14"/>
      <c r="I96" s="15">
        <f t="shared" si="8"/>
        <v>239.667</v>
      </c>
      <c r="J96" s="14"/>
      <c r="K96" s="33"/>
    </row>
    <row r="97" spans="1:11" s="63" customFormat="1" ht="12.6" customHeight="1" x14ac:dyDescent="0.2">
      <c r="A97" s="58"/>
      <c r="B97" s="59" t="s">
        <v>77</v>
      </c>
      <c r="C97" s="60"/>
      <c r="D97" s="61">
        <v>2</v>
      </c>
      <c r="E97" s="60">
        <f t="shared" si="7"/>
        <v>135.667</v>
      </c>
      <c r="F97" s="61"/>
      <c r="G97" s="60">
        <f t="shared" si="6"/>
        <v>0</v>
      </c>
      <c r="H97" s="61"/>
      <c r="I97" s="60">
        <f t="shared" si="8"/>
        <v>239.667</v>
      </c>
      <c r="J97" s="61"/>
      <c r="K97" s="58" t="s">
        <v>96</v>
      </c>
    </row>
    <row r="98" spans="1:11" ht="12.6" customHeight="1" x14ac:dyDescent="0.2">
      <c r="A98" s="13">
        <v>37261</v>
      </c>
      <c r="B98" s="19"/>
      <c r="C98" s="15">
        <v>5</v>
      </c>
      <c r="D98" s="14"/>
      <c r="E98" s="15">
        <f t="shared" si="7"/>
        <v>140.667</v>
      </c>
      <c r="F98" s="14"/>
      <c r="G98" s="15">
        <f t="shared" si="6"/>
        <v>5</v>
      </c>
      <c r="H98" s="14"/>
      <c r="I98" s="15">
        <f t="shared" si="8"/>
        <v>244.667</v>
      </c>
      <c r="J98" s="14"/>
      <c r="K98" s="16"/>
    </row>
    <row r="99" spans="1:11" ht="12.6" customHeight="1" x14ac:dyDescent="0.2">
      <c r="A99" s="13"/>
      <c r="B99" s="17" t="s">
        <v>76</v>
      </c>
      <c r="C99" s="15"/>
      <c r="D99" s="14">
        <v>2</v>
      </c>
      <c r="E99" s="15">
        <f t="shared" si="7"/>
        <v>138.667</v>
      </c>
      <c r="F99" s="14"/>
      <c r="G99" s="15">
        <f t="shared" si="6"/>
        <v>0</v>
      </c>
      <c r="H99" s="14"/>
      <c r="I99" s="15">
        <f t="shared" si="8"/>
        <v>244.667</v>
      </c>
      <c r="J99" s="14"/>
      <c r="K99" s="13" t="s">
        <v>97</v>
      </c>
    </row>
    <row r="100" spans="1:11" ht="12.6" customHeight="1" x14ac:dyDescent="0.2">
      <c r="A100" s="13">
        <v>37622</v>
      </c>
      <c r="B100" s="19"/>
      <c r="C100" s="15">
        <v>10</v>
      </c>
      <c r="D100" s="14"/>
      <c r="E100" s="15">
        <f t="shared" si="7"/>
        <v>148.667</v>
      </c>
      <c r="F100" s="14"/>
      <c r="G100" s="15">
        <f t="shared" si="6"/>
        <v>10</v>
      </c>
      <c r="H100" s="14"/>
      <c r="I100" s="15">
        <f t="shared" si="8"/>
        <v>254.667</v>
      </c>
      <c r="J100" s="14"/>
      <c r="K100" s="13"/>
    </row>
    <row r="101" spans="1:11" s="63" customFormat="1" ht="12.6" customHeight="1" x14ac:dyDescent="0.2">
      <c r="A101" s="58"/>
      <c r="B101" s="67" t="s">
        <v>87</v>
      </c>
      <c r="C101" s="60"/>
      <c r="D101" s="61">
        <v>3</v>
      </c>
      <c r="E101" s="60">
        <f t="shared" si="7"/>
        <v>145.667</v>
      </c>
      <c r="F101" s="61"/>
      <c r="G101" s="60">
        <f t="shared" si="6"/>
        <v>0</v>
      </c>
      <c r="H101" s="61"/>
      <c r="I101" s="60">
        <f t="shared" si="8"/>
        <v>254.667</v>
      </c>
      <c r="J101" s="61"/>
      <c r="K101" s="58" t="s">
        <v>98</v>
      </c>
    </row>
    <row r="102" spans="1:11" ht="12.6" customHeight="1" x14ac:dyDescent="0.2">
      <c r="A102" s="13">
        <v>37631</v>
      </c>
      <c r="B102" s="19"/>
      <c r="C102" s="15">
        <v>11.25</v>
      </c>
      <c r="D102" s="14"/>
      <c r="E102" s="15">
        <f t="shared" si="7"/>
        <v>156.917</v>
      </c>
      <c r="F102" s="14"/>
      <c r="G102" s="15">
        <f t="shared" si="6"/>
        <v>11.25</v>
      </c>
      <c r="H102" s="14"/>
      <c r="I102" s="15">
        <f t="shared" si="8"/>
        <v>265.91700000000003</v>
      </c>
      <c r="J102" s="14"/>
      <c r="K102" s="13"/>
    </row>
    <row r="103" spans="1:11" ht="12.6" customHeight="1" x14ac:dyDescent="0.2">
      <c r="A103" s="13"/>
      <c r="B103" s="17" t="s">
        <v>52</v>
      </c>
      <c r="C103" s="15"/>
      <c r="D103" s="14"/>
      <c r="E103" s="15">
        <f t="shared" si="7"/>
        <v>156.917</v>
      </c>
      <c r="F103" s="14"/>
      <c r="G103" s="15">
        <f t="shared" si="6"/>
        <v>0</v>
      </c>
      <c r="H103" s="14">
        <v>2</v>
      </c>
      <c r="I103" s="15">
        <f t="shared" si="8"/>
        <v>263.91700000000003</v>
      </c>
      <c r="J103" s="14"/>
      <c r="K103" s="19" t="s">
        <v>99</v>
      </c>
    </row>
    <row r="104" spans="1:11" ht="12.6" customHeight="1" x14ac:dyDescent="0.2">
      <c r="A104" s="13">
        <v>37633</v>
      </c>
      <c r="B104" s="19"/>
      <c r="C104" s="15">
        <v>2.5</v>
      </c>
      <c r="D104" s="14"/>
      <c r="E104" s="15">
        <f t="shared" si="7"/>
        <v>159.417</v>
      </c>
      <c r="F104" s="14"/>
      <c r="G104" s="15">
        <f t="shared" si="6"/>
        <v>2.5</v>
      </c>
      <c r="H104" s="14"/>
      <c r="I104" s="15">
        <f t="shared" si="8"/>
        <v>266.41700000000003</v>
      </c>
      <c r="J104" s="14"/>
      <c r="K104" s="13"/>
    </row>
    <row r="105" spans="1:11" ht="12.6" customHeight="1" x14ac:dyDescent="0.2">
      <c r="A105" s="13"/>
      <c r="B105" s="19" t="s">
        <v>100</v>
      </c>
      <c r="C105" s="15"/>
      <c r="D105" s="14"/>
      <c r="E105" s="15">
        <f t="shared" si="7"/>
        <v>159.417</v>
      </c>
      <c r="F105" s="14"/>
      <c r="G105" s="15">
        <f t="shared" si="6"/>
        <v>0</v>
      </c>
      <c r="H105" s="14"/>
      <c r="I105" s="15">
        <f t="shared" si="8"/>
        <v>266.41700000000003</v>
      </c>
      <c r="J105" s="14"/>
      <c r="K105" s="13">
        <v>37723</v>
      </c>
    </row>
    <row r="106" spans="1:11" ht="12.6" customHeight="1" x14ac:dyDescent="0.2">
      <c r="A106" s="13">
        <v>37987</v>
      </c>
      <c r="B106" s="19"/>
      <c r="C106" s="15">
        <v>1.25</v>
      </c>
      <c r="D106" s="14"/>
      <c r="E106" s="15">
        <f t="shared" si="7"/>
        <v>160.667</v>
      </c>
      <c r="F106" s="14"/>
      <c r="G106" s="15">
        <f t="shared" si="6"/>
        <v>1.25</v>
      </c>
      <c r="H106" s="14"/>
      <c r="I106" s="15">
        <f t="shared" si="8"/>
        <v>267.66700000000003</v>
      </c>
      <c r="J106" s="14"/>
      <c r="K106" s="13"/>
    </row>
    <row r="107" spans="1:11" s="63" customFormat="1" ht="12.6" customHeight="1" x14ac:dyDescent="0.2">
      <c r="A107" s="58"/>
      <c r="B107" s="59" t="s">
        <v>65</v>
      </c>
      <c r="C107" s="60"/>
      <c r="D107" s="61">
        <v>5</v>
      </c>
      <c r="E107" s="60">
        <f t="shared" si="7"/>
        <v>155.667</v>
      </c>
      <c r="F107" s="61"/>
      <c r="G107" s="60">
        <f t="shared" si="6"/>
        <v>0</v>
      </c>
      <c r="H107" s="61"/>
      <c r="I107" s="60">
        <f t="shared" si="8"/>
        <v>267.66700000000003</v>
      </c>
      <c r="J107" s="61"/>
      <c r="K107" s="64" t="s">
        <v>101</v>
      </c>
    </row>
    <row r="108" spans="1:11" ht="12.6" customHeight="1" x14ac:dyDescent="0.2">
      <c r="A108" s="19"/>
      <c r="B108" s="19"/>
      <c r="C108" s="15">
        <f>SUM(C82:C107)</f>
        <v>70</v>
      </c>
      <c r="D108" s="15">
        <f>SUM(D82:D107)</f>
        <v>55</v>
      </c>
      <c r="E108" s="15"/>
      <c r="F108" s="14"/>
      <c r="G108" s="15">
        <f>SUM(G82:G107)</f>
        <v>70</v>
      </c>
      <c r="H108" s="15">
        <f>SUM(H82:H107)</f>
        <v>3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NICASIO D. CATAPANG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APRIL 15, 1985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37992</v>
      </c>
      <c r="B117" s="19"/>
      <c r="C117" s="15">
        <v>6.25</v>
      </c>
      <c r="D117" s="14"/>
      <c r="E117" s="15">
        <f>E107+C117-D117</f>
        <v>161.917</v>
      </c>
      <c r="F117" s="14"/>
      <c r="G117" s="15">
        <f>C117</f>
        <v>6.25</v>
      </c>
      <c r="H117" s="14"/>
      <c r="I117" s="15">
        <f>I107+G117-H117</f>
        <v>273.91700000000003</v>
      </c>
      <c r="J117" s="14"/>
      <c r="K117" s="13"/>
    </row>
    <row r="118" spans="1:11" ht="12.6" customHeight="1" x14ac:dyDescent="0.2">
      <c r="A118" s="13"/>
      <c r="B118" s="17" t="s">
        <v>67</v>
      </c>
      <c r="C118" s="15"/>
      <c r="D118" s="14"/>
      <c r="E118" s="15">
        <f>E117+C118-D118</f>
        <v>161.917</v>
      </c>
      <c r="F118" s="14"/>
      <c r="G118" s="15">
        <f t="shared" ref="G118:G142" si="9">C118</f>
        <v>0</v>
      </c>
      <c r="H118" s="14">
        <v>2</v>
      </c>
      <c r="I118" s="15">
        <f>I117+G118-H118</f>
        <v>271.91700000000003</v>
      </c>
      <c r="J118" s="22"/>
      <c r="K118" s="23" t="s">
        <v>102</v>
      </c>
    </row>
    <row r="119" spans="1:11" ht="12.6" customHeight="1" x14ac:dyDescent="0.2">
      <c r="A119" s="13">
        <v>37993</v>
      </c>
      <c r="B119" s="19"/>
      <c r="C119" s="15">
        <v>1.25</v>
      </c>
      <c r="D119" s="14"/>
      <c r="E119" s="15">
        <f t="shared" ref="E119:E142" si="10">E118+C119-D119</f>
        <v>163.167</v>
      </c>
      <c r="F119" s="14"/>
      <c r="G119" s="15">
        <f t="shared" si="9"/>
        <v>1.25</v>
      </c>
      <c r="H119" s="14"/>
      <c r="I119" s="15">
        <f t="shared" ref="I119:I142" si="11">I118+G119-H119</f>
        <v>273.16700000000003</v>
      </c>
      <c r="J119" s="14"/>
      <c r="K119" s="16"/>
    </row>
    <row r="120" spans="1:11" ht="12.6" customHeight="1" x14ac:dyDescent="0.2">
      <c r="A120" s="13"/>
      <c r="B120" s="19" t="s">
        <v>74</v>
      </c>
      <c r="C120" s="15"/>
      <c r="D120" s="14">
        <v>1</v>
      </c>
      <c r="E120" s="15">
        <f t="shared" si="10"/>
        <v>162.167</v>
      </c>
      <c r="F120" s="14"/>
      <c r="G120" s="15">
        <f t="shared" si="9"/>
        <v>0</v>
      </c>
      <c r="H120" s="14"/>
      <c r="I120" s="15">
        <f t="shared" si="11"/>
        <v>273.16700000000003</v>
      </c>
      <c r="J120" s="14"/>
      <c r="K120" s="13" t="s">
        <v>103</v>
      </c>
    </row>
    <row r="121" spans="1:11" ht="12.6" customHeight="1" x14ac:dyDescent="0.2">
      <c r="A121" s="29">
        <v>37997</v>
      </c>
      <c r="B121" s="19"/>
      <c r="C121" s="15">
        <v>5</v>
      </c>
      <c r="D121" s="14"/>
      <c r="E121" s="15">
        <f t="shared" si="10"/>
        <v>167.167</v>
      </c>
      <c r="F121" s="14"/>
      <c r="G121" s="15">
        <f t="shared" si="9"/>
        <v>5</v>
      </c>
      <c r="H121" s="14"/>
      <c r="I121" s="15">
        <f t="shared" si="11"/>
        <v>278.16700000000003</v>
      </c>
      <c r="J121" s="14"/>
      <c r="K121" s="13"/>
    </row>
    <row r="122" spans="1:11" ht="12.6" customHeight="1" x14ac:dyDescent="0.2">
      <c r="A122" s="13"/>
      <c r="B122" s="19" t="s">
        <v>81</v>
      </c>
      <c r="C122" s="15"/>
      <c r="D122" s="14"/>
      <c r="E122" s="15">
        <f t="shared" si="10"/>
        <v>167.167</v>
      </c>
      <c r="F122" s="14"/>
      <c r="G122" s="15">
        <f t="shared" si="9"/>
        <v>0</v>
      </c>
      <c r="H122" s="14"/>
      <c r="I122" s="15">
        <f t="shared" si="11"/>
        <v>278.16700000000003</v>
      </c>
      <c r="J122" s="14"/>
      <c r="K122" s="13">
        <v>38332</v>
      </c>
    </row>
    <row r="123" spans="1:11" ht="12.6" customHeight="1" x14ac:dyDescent="0.2">
      <c r="A123" s="13">
        <v>38353</v>
      </c>
      <c r="B123" s="17"/>
      <c r="C123" s="15">
        <v>2.5</v>
      </c>
      <c r="D123" s="14"/>
      <c r="E123" s="15">
        <f t="shared" si="10"/>
        <v>169.667</v>
      </c>
      <c r="F123" s="14"/>
      <c r="G123" s="15">
        <f t="shared" si="9"/>
        <v>2.5</v>
      </c>
      <c r="H123" s="14"/>
      <c r="I123" s="15">
        <f t="shared" si="11"/>
        <v>280.66700000000003</v>
      </c>
      <c r="J123" s="14"/>
      <c r="K123" s="13"/>
    </row>
    <row r="124" spans="1:11" s="63" customFormat="1" ht="12.6" customHeight="1" x14ac:dyDescent="0.2">
      <c r="A124" s="58"/>
      <c r="B124" s="67" t="s">
        <v>105</v>
      </c>
      <c r="C124" s="60"/>
      <c r="D124" s="61">
        <v>4</v>
      </c>
      <c r="E124" s="60">
        <f t="shared" si="10"/>
        <v>165.667</v>
      </c>
      <c r="F124" s="61"/>
      <c r="G124" s="60">
        <f t="shared" si="9"/>
        <v>0</v>
      </c>
      <c r="H124" s="61"/>
      <c r="I124" s="60">
        <f t="shared" si="11"/>
        <v>280.66700000000003</v>
      </c>
      <c r="J124" s="61"/>
      <c r="K124" s="64" t="s">
        <v>104</v>
      </c>
    </row>
    <row r="125" spans="1:11" ht="12.6" customHeight="1" x14ac:dyDescent="0.2">
      <c r="A125" s="13">
        <v>38354</v>
      </c>
      <c r="B125" s="17"/>
      <c r="C125" s="15">
        <v>1.25</v>
      </c>
      <c r="D125" s="14"/>
      <c r="E125" s="15">
        <f t="shared" si="10"/>
        <v>166.917</v>
      </c>
      <c r="F125" s="14"/>
      <c r="G125" s="15">
        <f t="shared" si="9"/>
        <v>1.25</v>
      </c>
      <c r="H125" s="14"/>
      <c r="I125" s="15">
        <f t="shared" si="11"/>
        <v>281.91700000000003</v>
      </c>
      <c r="J125" s="14"/>
      <c r="K125" s="16"/>
    </row>
    <row r="126" spans="1:11" ht="12.6" customHeight="1" x14ac:dyDescent="0.2">
      <c r="A126" s="13"/>
      <c r="B126" s="19" t="s">
        <v>47</v>
      </c>
      <c r="C126" s="15"/>
      <c r="D126" s="14"/>
      <c r="E126" s="15">
        <f t="shared" si="10"/>
        <v>166.917</v>
      </c>
      <c r="F126" s="14"/>
      <c r="G126" s="15">
        <f t="shared" si="9"/>
        <v>0</v>
      </c>
      <c r="H126" s="14">
        <v>1</v>
      </c>
      <c r="I126" s="15">
        <f t="shared" si="11"/>
        <v>280.91700000000003</v>
      </c>
      <c r="J126" s="14"/>
      <c r="K126" s="16" t="s">
        <v>106</v>
      </c>
    </row>
    <row r="127" spans="1:11" ht="12.6" customHeight="1" x14ac:dyDescent="0.2">
      <c r="A127" s="13">
        <v>38357</v>
      </c>
      <c r="B127" s="19"/>
      <c r="C127" s="15">
        <v>3.75</v>
      </c>
      <c r="D127" s="14"/>
      <c r="E127" s="15">
        <f t="shared" si="10"/>
        <v>170.667</v>
      </c>
      <c r="F127" s="14"/>
      <c r="G127" s="15">
        <f t="shared" si="9"/>
        <v>3.75</v>
      </c>
      <c r="H127" s="14"/>
      <c r="I127" s="15">
        <f t="shared" si="11"/>
        <v>284.66700000000003</v>
      </c>
      <c r="J127" s="14"/>
      <c r="K127" s="13"/>
    </row>
    <row r="128" spans="1:11" ht="12.6" customHeight="1" x14ac:dyDescent="0.2">
      <c r="A128" s="13"/>
      <c r="B128" s="17" t="s">
        <v>60</v>
      </c>
      <c r="C128" s="15"/>
      <c r="D128" s="14">
        <v>5</v>
      </c>
      <c r="E128" s="15">
        <f t="shared" si="10"/>
        <v>165.667</v>
      </c>
      <c r="F128" s="14"/>
      <c r="G128" s="15">
        <f t="shared" si="9"/>
        <v>0</v>
      </c>
      <c r="H128" s="14"/>
      <c r="I128" s="15">
        <f t="shared" si="11"/>
        <v>284.66700000000003</v>
      </c>
      <c r="J128" s="14"/>
      <c r="K128" s="13" t="s">
        <v>107</v>
      </c>
    </row>
    <row r="129" spans="1:11" ht="12.6" customHeight="1" x14ac:dyDescent="0.2">
      <c r="A129" s="13">
        <v>38360</v>
      </c>
      <c r="B129" s="19"/>
      <c r="C129" s="15">
        <v>3.75</v>
      </c>
      <c r="D129" s="14"/>
      <c r="E129" s="15">
        <f t="shared" si="10"/>
        <v>169.417</v>
      </c>
      <c r="F129" s="14"/>
      <c r="G129" s="15">
        <f t="shared" si="9"/>
        <v>3.75</v>
      </c>
      <c r="H129" s="14"/>
      <c r="I129" s="15">
        <f t="shared" si="11"/>
        <v>288.41700000000003</v>
      </c>
      <c r="J129" s="14"/>
      <c r="K129" s="13"/>
    </row>
    <row r="130" spans="1:11" ht="12.6" customHeight="1" x14ac:dyDescent="0.2">
      <c r="A130" s="13"/>
      <c r="B130" s="17" t="s">
        <v>67</v>
      </c>
      <c r="C130" s="15"/>
      <c r="D130" s="14"/>
      <c r="E130" s="15">
        <f t="shared" si="10"/>
        <v>169.417</v>
      </c>
      <c r="F130" s="14"/>
      <c r="G130" s="15">
        <f t="shared" si="9"/>
        <v>0</v>
      </c>
      <c r="H130" s="14">
        <v>3</v>
      </c>
      <c r="I130" s="15">
        <f t="shared" si="11"/>
        <v>285.41700000000003</v>
      </c>
      <c r="J130" s="14"/>
      <c r="K130" s="13" t="s">
        <v>108</v>
      </c>
    </row>
    <row r="131" spans="1:11" ht="12.6" customHeight="1" x14ac:dyDescent="0.2">
      <c r="A131" s="13">
        <v>38362</v>
      </c>
      <c r="B131" s="19"/>
      <c r="C131" s="15">
        <v>2.5</v>
      </c>
      <c r="D131" s="14"/>
      <c r="E131" s="15">
        <f t="shared" si="10"/>
        <v>171.917</v>
      </c>
      <c r="F131" s="14"/>
      <c r="G131" s="15">
        <f t="shared" si="9"/>
        <v>2.5</v>
      </c>
      <c r="H131" s="14"/>
      <c r="I131" s="15">
        <f t="shared" si="11"/>
        <v>287.91700000000003</v>
      </c>
      <c r="J131" s="14"/>
      <c r="K131" s="33"/>
    </row>
    <row r="132" spans="1:11" ht="12.6" customHeight="1" x14ac:dyDescent="0.2">
      <c r="A132" s="13"/>
      <c r="B132" s="19" t="s">
        <v>76</v>
      </c>
      <c r="C132" s="15"/>
      <c r="D132" s="14">
        <v>2</v>
      </c>
      <c r="E132" s="15">
        <f t="shared" si="10"/>
        <v>169.917</v>
      </c>
      <c r="F132" s="14"/>
      <c r="G132" s="15">
        <f t="shared" si="9"/>
        <v>0</v>
      </c>
      <c r="H132" s="14"/>
      <c r="I132" s="15">
        <f t="shared" si="11"/>
        <v>287.91700000000003</v>
      </c>
      <c r="J132" s="14"/>
      <c r="K132" s="13" t="s">
        <v>109</v>
      </c>
    </row>
    <row r="133" spans="1:11" ht="12.6" customHeight="1" x14ac:dyDescent="0.2">
      <c r="A133" s="13"/>
      <c r="B133" s="19" t="s">
        <v>47</v>
      </c>
      <c r="C133" s="15"/>
      <c r="D133" s="14"/>
      <c r="E133" s="15">
        <f t="shared" si="10"/>
        <v>169.917</v>
      </c>
      <c r="F133" s="14"/>
      <c r="G133" s="15">
        <f t="shared" si="9"/>
        <v>0</v>
      </c>
      <c r="H133" s="14">
        <v>1</v>
      </c>
      <c r="I133" s="15">
        <f t="shared" si="11"/>
        <v>286.91700000000003</v>
      </c>
      <c r="J133" s="14"/>
      <c r="K133" s="16" t="s">
        <v>110</v>
      </c>
    </row>
    <row r="134" spans="1:11" ht="12.6" customHeight="1" x14ac:dyDescent="0.2">
      <c r="A134" s="13">
        <v>38363</v>
      </c>
      <c r="B134" s="19"/>
      <c r="C134" s="15">
        <v>1.25</v>
      </c>
      <c r="D134" s="14"/>
      <c r="E134" s="15">
        <f t="shared" si="10"/>
        <v>171.167</v>
      </c>
      <c r="F134" s="14"/>
      <c r="G134" s="15">
        <f t="shared" si="9"/>
        <v>1.25</v>
      </c>
      <c r="H134" s="14"/>
      <c r="I134" s="15">
        <f t="shared" si="11"/>
        <v>288.16700000000003</v>
      </c>
      <c r="J134" s="14"/>
      <c r="K134" s="13"/>
    </row>
    <row r="135" spans="1:11" ht="12.6" customHeight="1" x14ac:dyDescent="0.2">
      <c r="A135" s="13"/>
      <c r="B135" s="19" t="s">
        <v>81</v>
      </c>
      <c r="C135" s="15"/>
      <c r="D135" s="14"/>
      <c r="E135" s="15">
        <f t="shared" si="10"/>
        <v>171.167</v>
      </c>
      <c r="F135" s="14"/>
      <c r="G135" s="15">
        <f t="shared" si="9"/>
        <v>0</v>
      </c>
      <c r="H135" s="14"/>
      <c r="I135" s="15">
        <f t="shared" si="11"/>
        <v>288.16700000000003</v>
      </c>
      <c r="J135" s="14"/>
      <c r="K135" s="13">
        <v>38667</v>
      </c>
    </row>
    <row r="136" spans="1:11" ht="12.6" customHeight="1" x14ac:dyDescent="0.2">
      <c r="A136" s="13">
        <v>38718</v>
      </c>
      <c r="B136" s="19"/>
      <c r="C136" s="15">
        <v>2.5</v>
      </c>
      <c r="D136" s="14"/>
      <c r="E136" s="15">
        <f t="shared" si="10"/>
        <v>173.667</v>
      </c>
      <c r="F136" s="14"/>
      <c r="G136" s="15">
        <f t="shared" si="9"/>
        <v>2.5</v>
      </c>
      <c r="H136" s="14"/>
      <c r="I136" s="15">
        <f t="shared" si="11"/>
        <v>290.66700000000003</v>
      </c>
      <c r="J136" s="14"/>
      <c r="K136" s="13"/>
    </row>
    <row r="137" spans="1:11" ht="12.6" customHeight="1" x14ac:dyDescent="0.2">
      <c r="A137" s="13"/>
      <c r="B137" s="19" t="s">
        <v>81</v>
      </c>
      <c r="C137" s="15"/>
      <c r="D137" s="14"/>
      <c r="E137" s="15">
        <f t="shared" si="10"/>
        <v>173.667</v>
      </c>
      <c r="F137" s="14"/>
      <c r="G137" s="15">
        <f t="shared" si="9"/>
        <v>0</v>
      </c>
      <c r="H137" s="14"/>
      <c r="I137" s="15">
        <f t="shared" si="11"/>
        <v>290.66700000000003</v>
      </c>
      <c r="J137" s="14"/>
      <c r="K137" s="13">
        <v>38869</v>
      </c>
    </row>
    <row r="138" spans="1:11" ht="12.6" customHeight="1" x14ac:dyDescent="0.2">
      <c r="A138" s="13">
        <v>38721</v>
      </c>
      <c r="B138" s="19"/>
      <c r="C138" s="15">
        <v>3.75</v>
      </c>
      <c r="D138" s="14"/>
      <c r="E138" s="15">
        <f t="shared" si="10"/>
        <v>177.417</v>
      </c>
      <c r="F138" s="14"/>
      <c r="G138" s="15">
        <f t="shared" si="9"/>
        <v>3.75</v>
      </c>
      <c r="H138" s="14"/>
      <c r="I138" s="15">
        <f t="shared" si="11"/>
        <v>294.41700000000003</v>
      </c>
      <c r="J138" s="14"/>
      <c r="K138" s="19"/>
    </row>
    <row r="139" spans="1:11" ht="12.6" customHeight="1" x14ac:dyDescent="0.2">
      <c r="A139" s="13"/>
      <c r="B139" s="19" t="s">
        <v>52</v>
      </c>
      <c r="C139" s="15"/>
      <c r="D139" s="14"/>
      <c r="E139" s="15">
        <f t="shared" si="10"/>
        <v>177.417</v>
      </c>
      <c r="F139" s="14"/>
      <c r="G139" s="15">
        <f t="shared" si="9"/>
        <v>0</v>
      </c>
      <c r="H139" s="14">
        <v>2</v>
      </c>
      <c r="I139" s="15">
        <f t="shared" si="11"/>
        <v>292.41700000000003</v>
      </c>
      <c r="J139" s="14"/>
      <c r="K139" s="13" t="s">
        <v>111</v>
      </c>
    </row>
    <row r="140" spans="1:11" ht="12.6" customHeight="1" x14ac:dyDescent="0.2">
      <c r="A140" s="13">
        <v>38722</v>
      </c>
      <c r="B140" s="19"/>
      <c r="C140" s="15">
        <v>1.25</v>
      </c>
      <c r="D140" s="14"/>
      <c r="E140" s="15">
        <f t="shared" si="10"/>
        <v>178.667</v>
      </c>
      <c r="F140" s="14"/>
      <c r="G140" s="15">
        <f t="shared" si="9"/>
        <v>1.25</v>
      </c>
      <c r="H140" s="14"/>
      <c r="I140" s="15">
        <f t="shared" si="11"/>
        <v>293.66700000000003</v>
      </c>
      <c r="J140" s="14"/>
      <c r="K140" s="13"/>
    </row>
    <row r="141" spans="1:11" ht="12.6" customHeight="1" x14ac:dyDescent="0.2">
      <c r="A141" s="13"/>
      <c r="B141" s="19" t="s">
        <v>47</v>
      </c>
      <c r="C141" s="15"/>
      <c r="D141" s="14"/>
      <c r="E141" s="15">
        <f t="shared" si="10"/>
        <v>178.667</v>
      </c>
      <c r="F141" s="14"/>
      <c r="G141" s="15">
        <f t="shared" si="9"/>
        <v>0</v>
      </c>
      <c r="H141" s="14">
        <v>1</v>
      </c>
      <c r="I141" s="15">
        <f t="shared" si="11"/>
        <v>292.66700000000003</v>
      </c>
      <c r="J141" s="14"/>
      <c r="K141" s="13">
        <v>38934</v>
      </c>
    </row>
    <row r="142" spans="1:11" ht="12.6" customHeight="1" x14ac:dyDescent="0.2">
      <c r="A142" s="13">
        <v>38723</v>
      </c>
      <c r="B142" s="19"/>
      <c r="C142" s="15">
        <v>1.25</v>
      </c>
      <c r="D142" s="14"/>
      <c r="E142" s="15">
        <f t="shared" si="10"/>
        <v>179.917</v>
      </c>
      <c r="F142" s="14"/>
      <c r="G142" s="15">
        <f t="shared" si="9"/>
        <v>1.25</v>
      </c>
      <c r="H142" s="14"/>
      <c r="I142" s="15">
        <f t="shared" si="11"/>
        <v>293.91700000000003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36.25</v>
      </c>
      <c r="D143" s="15">
        <f>SUM(D117:D142)</f>
        <v>12</v>
      </c>
      <c r="E143" s="15"/>
      <c r="F143" s="14"/>
      <c r="G143" s="15">
        <f>SUM(G117:G142)</f>
        <v>36.25</v>
      </c>
      <c r="H143" s="15">
        <f>SUM(H117:H142)</f>
        <v>10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NICASIO D. CATAPANG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APRIL 15, 1985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47</v>
      </c>
      <c r="C156" s="15"/>
      <c r="D156" s="14"/>
      <c r="E156" s="15">
        <f>E142+C156-D156</f>
        <v>179.917</v>
      </c>
      <c r="F156" s="14"/>
      <c r="G156" s="15">
        <f>C156</f>
        <v>0</v>
      </c>
      <c r="H156" s="14">
        <v>1</v>
      </c>
      <c r="I156" s="15">
        <f>I142+G156-H156</f>
        <v>292.91700000000003</v>
      </c>
      <c r="J156" s="14"/>
      <c r="K156" s="13" t="s">
        <v>112</v>
      </c>
    </row>
    <row r="157" spans="1:11" ht="12.6" customHeight="1" x14ac:dyDescent="0.2">
      <c r="A157" s="13">
        <v>38725</v>
      </c>
      <c r="B157" s="19"/>
      <c r="C157" s="15">
        <v>2.5</v>
      </c>
      <c r="D157" s="14"/>
      <c r="E157" s="15">
        <f>E156+C157-D157</f>
        <v>182.417</v>
      </c>
      <c r="F157" s="14"/>
      <c r="G157" s="15">
        <f t="shared" ref="G157:G181" si="12">C157</f>
        <v>2.5</v>
      </c>
      <c r="H157" s="14"/>
      <c r="I157" s="15">
        <f>I156+G157-H157</f>
        <v>295.41700000000003</v>
      </c>
      <c r="J157" s="14"/>
      <c r="K157" s="13"/>
    </row>
    <row r="158" spans="1:11" ht="12.6" customHeight="1" x14ac:dyDescent="0.2">
      <c r="A158" s="13"/>
      <c r="B158" s="19" t="s">
        <v>47</v>
      </c>
      <c r="C158" s="15"/>
      <c r="D158" s="14"/>
      <c r="E158" s="15">
        <f t="shared" ref="E158:E181" si="13">E157+C158-D158</f>
        <v>182.417</v>
      </c>
      <c r="F158" s="22"/>
      <c r="G158" s="15">
        <f t="shared" si="12"/>
        <v>0</v>
      </c>
      <c r="H158" s="34">
        <v>1</v>
      </c>
      <c r="I158" s="15">
        <f t="shared" ref="I158:I181" si="14">I157+G158-H158</f>
        <v>294.41700000000003</v>
      </c>
      <c r="J158" s="14"/>
      <c r="K158" s="13" t="s">
        <v>113</v>
      </c>
    </row>
    <row r="159" spans="1:11" ht="12.6" customHeight="1" x14ac:dyDescent="0.2">
      <c r="A159" s="13">
        <v>38728</v>
      </c>
      <c r="B159" s="19"/>
      <c r="C159" s="15">
        <v>3.75</v>
      </c>
      <c r="D159" s="14"/>
      <c r="E159" s="15">
        <f t="shared" si="13"/>
        <v>186.167</v>
      </c>
      <c r="F159" s="14"/>
      <c r="G159" s="15">
        <f t="shared" si="12"/>
        <v>3.75</v>
      </c>
      <c r="H159" s="34"/>
      <c r="I159" s="15">
        <f t="shared" si="14"/>
        <v>298.16700000000003</v>
      </c>
      <c r="J159" s="14"/>
      <c r="K159" s="13"/>
    </row>
    <row r="160" spans="1:11" ht="12.6" customHeight="1" x14ac:dyDescent="0.2">
      <c r="A160" s="13"/>
      <c r="B160" s="19" t="s">
        <v>81</v>
      </c>
      <c r="C160" s="15"/>
      <c r="D160" s="14"/>
      <c r="E160" s="15">
        <f t="shared" si="13"/>
        <v>186.167</v>
      </c>
      <c r="F160" s="14"/>
      <c r="G160" s="15">
        <f t="shared" si="12"/>
        <v>0</v>
      </c>
      <c r="H160" s="34"/>
      <c r="I160" s="15">
        <f t="shared" si="14"/>
        <v>298.16700000000003</v>
      </c>
      <c r="J160" s="14"/>
      <c r="K160" s="16" t="s">
        <v>114</v>
      </c>
    </row>
    <row r="161" spans="1:11" ht="12.6" customHeight="1" x14ac:dyDescent="0.2">
      <c r="A161" s="13"/>
      <c r="B161" s="19" t="s">
        <v>47</v>
      </c>
      <c r="C161" s="15"/>
      <c r="D161" s="14"/>
      <c r="E161" s="15">
        <f t="shared" si="13"/>
        <v>186.167</v>
      </c>
      <c r="F161" s="14"/>
      <c r="G161" s="15">
        <f t="shared" si="12"/>
        <v>0</v>
      </c>
      <c r="H161" s="34">
        <v>1</v>
      </c>
      <c r="I161" s="15">
        <f t="shared" si="14"/>
        <v>297.16700000000003</v>
      </c>
      <c r="J161" s="14"/>
      <c r="K161" s="13" t="s">
        <v>115</v>
      </c>
    </row>
    <row r="162" spans="1:11" ht="12.6" customHeight="1" x14ac:dyDescent="0.2">
      <c r="A162" s="13">
        <v>39083</v>
      </c>
      <c r="B162" s="19"/>
      <c r="C162" s="15">
        <v>2.5</v>
      </c>
      <c r="D162" s="14"/>
      <c r="E162" s="15">
        <f t="shared" si="13"/>
        <v>188.667</v>
      </c>
      <c r="F162" s="14"/>
      <c r="G162" s="15">
        <f t="shared" si="12"/>
        <v>2.5</v>
      </c>
      <c r="H162" s="34"/>
      <c r="I162" s="15">
        <f t="shared" si="14"/>
        <v>299.66700000000003</v>
      </c>
      <c r="J162" s="14"/>
      <c r="K162" s="16"/>
    </row>
    <row r="163" spans="1:11" s="63" customFormat="1" ht="12.6" customHeight="1" x14ac:dyDescent="0.2">
      <c r="A163" s="58"/>
      <c r="B163" s="67" t="s">
        <v>65</v>
      </c>
      <c r="C163" s="60"/>
      <c r="D163" s="65">
        <v>5</v>
      </c>
      <c r="E163" s="60">
        <f t="shared" si="13"/>
        <v>183.667</v>
      </c>
      <c r="F163" s="65"/>
      <c r="G163" s="60">
        <f t="shared" si="12"/>
        <v>0</v>
      </c>
      <c r="H163" s="61"/>
      <c r="I163" s="60">
        <f t="shared" si="14"/>
        <v>299.66700000000003</v>
      </c>
      <c r="J163" s="61"/>
      <c r="K163" s="58" t="s">
        <v>116</v>
      </c>
    </row>
    <row r="164" spans="1:11" ht="12.6" customHeight="1" x14ac:dyDescent="0.2">
      <c r="A164" s="13"/>
      <c r="B164" s="19" t="s">
        <v>81</v>
      </c>
      <c r="C164" s="15"/>
      <c r="D164" s="22"/>
      <c r="E164" s="15">
        <f t="shared" si="13"/>
        <v>183.667</v>
      </c>
      <c r="F164" s="14"/>
      <c r="G164" s="15">
        <f t="shared" si="12"/>
        <v>0</v>
      </c>
      <c r="H164" s="34"/>
      <c r="I164" s="15">
        <f t="shared" si="14"/>
        <v>299.66700000000003</v>
      </c>
      <c r="J164" s="14"/>
      <c r="K164" s="13">
        <v>39203</v>
      </c>
    </row>
    <row r="165" spans="1:11" ht="12.6" customHeight="1" x14ac:dyDescent="0.2">
      <c r="A165" s="13"/>
      <c r="B165" s="19" t="s">
        <v>47</v>
      </c>
      <c r="C165" s="15"/>
      <c r="D165" s="14"/>
      <c r="E165" s="15">
        <f t="shared" si="13"/>
        <v>183.667</v>
      </c>
      <c r="F165" s="14"/>
      <c r="G165" s="15">
        <f t="shared" si="12"/>
        <v>0</v>
      </c>
      <c r="H165" s="34">
        <v>1</v>
      </c>
      <c r="I165" s="15">
        <f t="shared" si="14"/>
        <v>298.66700000000003</v>
      </c>
      <c r="J165" s="14"/>
      <c r="K165" s="13">
        <v>39387</v>
      </c>
    </row>
    <row r="166" spans="1:11" ht="12.6" customHeight="1" x14ac:dyDescent="0.2">
      <c r="A166" s="13">
        <v>39085</v>
      </c>
      <c r="B166" s="19"/>
      <c r="C166" s="15">
        <v>2.5</v>
      </c>
      <c r="D166" s="14"/>
      <c r="E166" s="15">
        <f t="shared" si="13"/>
        <v>186.167</v>
      </c>
      <c r="F166" s="22"/>
      <c r="G166" s="15">
        <f t="shared" si="12"/>
        <v>2.5</v>
      </c>
      <c r="H166" s="34"/>
      <c r="I166" s="15">
        <f t="shared" si="14"/>
        <v>301.16700000000003</v>
      </c>
      <c r="J166" s="14"/>
      <c r="K166" s="13"/>
    </row>
    <row r="167" spans="1:11" ht="12.6" customHeight="1" x14ac:dyDescent="0.2">
      <c r="A167" s="13"/>
      <c r="B167" s="19" t="s">
        <v>47</v>
      </c>
      <c r="C167" s="15"/>
      <c r="D167" s="14"/>
      <c r="E167" s="15">
        <f t="shared" si="13"/>
        <v>186.167</v>
      </c>
      <c r="F167" s="22"/>
      <c r="G167" s="15">
        <f t="shared" si="12"/>
        <v>0</v>
      </c>
      <c r="H167" s="35">
        <v>1</v>
      </c>
      <c r="I167" s="15">
        <f t="shared" si="14"/>
        <v>300.16700000000003</v>
      </c>
      <c r="J167" s="14"/>
      <c r="K167" s="16" t="s">
        <v>117</v>
      </c>
    </row>
    <row r="168" spans="1:11" ht="12.6" customHeight="1" x14ac:dyDescent="0.2">
      <c r="A168" s="13"/>
      <c r="B168" s="19" t="s">
        <v>95</v>
      </c>
      <c r="C168" s="15"/>
      <c r="D168" s="14">
        <v>3</v>
      </c>
      <c r="E168" s="15">
        <f t="shared" si="13"/>
        <v>183.167</v>
      </c>
      <c r="F168" s="14"/>
      <c r="G168" s="15">
        <f t="shared" si="12"/>
        <v>0</v>
      </c>
      <c r="H168" s="32"/>
      <c r="I168" s="15">
        <f t="shared" si="14"/>
        <v>300.16700000000003</v>
      </c>
      <c r="J168" s="14"/>
      <c r="K168" s="13" t="s">
        <v>118</v>
      </c>
    </row>
    <row r="169" spans="1:11" ht="12.6" customHeight="1" x14ac:dyDescent="0.2">
      <c r="A169" s="13">
        <v>39086</v>
      </c>
      <c r="B169" s="19"/>
      <c r="C169" s="15">
        <v>1.25</v>
      </c>
      <c r="D169" s="14"/>
      <c r="E169" s="15">
        <f t="shared" si="13"/>
        <v>184.417</v>
      </c>
      <c r="F169" s="22"/>
      <c r="G169" s="15">
        <f t="shared" si="12"/>
        <v>1.25</v>
      </c>
      <c r="H169" s="34"/>
      <c r="I169" s="15">
        <f t="shared" si="14"/>
        <v>301.41700000000003</v>
      </c>
      <c r="J169" s="14"/>
      <c r="K169" s="13"/>
    </row>
    <row r="170" spans="1:11" ht="12.6" customHeight="1" x14ac:dyDescent="0.2">
      <c r="A170" s="13"/>
      <c r="B170" s="19" t="s">
        <v>47</v>
      </c>
      <c r="C170" s="15"/>
      <c r="D170" s="14"/>
      <c r="E170" s="15">
        <f t="shared" si="13"/>
        <v>184.417</v>
      </c>
      <c r="F170" s="14"/>
      <c r="G170" s="15">
        <f t="shared" si="12"/>
        <v>0</v>
      </c>
      <c r="H170" s="14">
        <v>1</v>
      </c>
      <c r="I170" s="15">
        <f t="shared" si="14"/>
        <v>300.41700000000003</v>
      </c>
      <c r="J170" s="14"/>
      <c r="K170" s="13" t="s">
        <v>119</v>
      </c>
    </row>
    <row r="171" spans="1:11" ht="12.6" customHeight="1" x14ac:dyDescent="0.2">
      <c r="A171" s="13">
        <v>39087</v>
      </c>
      <c r="B171" s="19"/>
      <c r="C171" s="15">
        <v>1.25</v>
      </c>
      <c r="D171" s="14"/>
      <c r="E171" s="15">
        <f t="shared" si="13"/>
        <v>185.667</v>
      </c>
      <c r="F171" s="14"/>
      <c r="G171" s="15">
        <f t="shared" si="12"/>
        <v>1.25</v>
      </c>
      <c r="H171" s="34"/>
      <c r="I171" s="15">
        <f t="shared" si="14"/>
        <v>301.66700000000003</v>
      </c>
      <c r="J171" s="14"/>
      <c r="K171" s="16"/>
    </row>
    <row r="172" spans="1:11" ht="12.6" customHeight="1" x14ac:dyDescent="0.2">
      <c r="A172" s="13"/>
      <c r="B172" s="19" t="s">
        <v>47</v>
      </c>
      <c r="C172" s="15"/>
      <c r="D172" s="14"/>
      <c r="E172" s="15">
        <f t="shared" si="13"/>
        <v>185.667</v>
      </c>
      <c r="F172" s="14"/>
      <c r="G172" s="15">
        <f t="shared" si="12"/>
        <v>0</v>
      </c>
      <c r="H172" s="34">
        <v>1</v>
      </c>
      <c r="I172" s="15">
        <f t="shared" si="14"/>
        <v>300.66700000000003</v>
      </c>
      <c r="J172" s="14"/>
      <c r="K172" s="13">
        <v>39146</v>
      </c>
    </row>
    <row r="173" spans="1:11" ht="12.6" customHeight="1" x14ac:dyDescent="0.2">
      <c r="A173" s="13">
        <v>39088</v>
      </c>
      <c r="B173" s="19"/>
      <c r="C173" s="15">
        <v>1.25</v>
      </c>
      <c r="D173" s="14"/>
      <c r="E173" s="15">
        <f t="shared" si="13"/>
        <v>186.917</v>
      </c>
      <c r="F173" s="14"/>
      <c r="G173" s="15">
        <f t="shared" si="12"/>
        <v>1.25</v>
      </c>
      <c r="H173" s="35"/>
      <c r="I173" s="15">
        <f t="shared" si="14"/>
        <v>301.91700000000003</v>
      </c>
      <c r="J173" s="14"/>
      <c r="K173" s="13"/>
    </row>
    <row r="174" spans="1:11" ht="12.6" customHeight="1" x14ac:dyDescent="0.2">
      <c r="A174" s="13"/>
      <c r="B174" s="19" t="s">
        <v>74</v>
      </c>
      <c r="C174" s="15"/>
      <c r="D174" s="14">
        <v>1</v>
      </c>
      <c r="E174" s="15">
        <f t="shared" si="13"/>
        <v>185.917</v>
      </c>
      <c r="F174" s="22"/>
      <c r="G174" s="15">
        <f t="shared" si="12"/>
        <v>0</v>
      </c>
      <c r="H174" s="14"/>
      <c r="I174" s="15">
        <f t="shared" si="14"/>
        <v>301.91700000000003</v>
      </c>
      <c r="J174" s="14"/>
      <c r="K174" s="13">
        <v>39208</v>
      </c>
    </row>
    <row r="175" spans="1:11" ht="12.6" customHeight="1" x14ac:dyDescent="0.2">
      <c r="A175" s="13"/>
      <c r="B175" s="19" t="s">
        <v>47</v>
      </c>
      <c r="C175" s="15"/>
      <c r="D175" s="14"/>
      <c r="E175" s="15">
        <f t="shared" si="13"/>
        <v>185.917</v>
      </c>
      <c r="F175" s="22"/>
      <c r="G175" s="15">
        <f t="shared" si="12"/>
        <v>0</v>
      </c>
      <c r="H175" s="34">
        <v>1</v>
      </c>
      <c r="I175" s="15">
        <f t="shared" si="14"/>
        <v>300.91700000000003</v>
      </c>
      <c r="J175" s="14"/>
      <c r="K175" s="13" t="s">
        <v>120</v>
      </c>
    </row>
    <row r="176" spans="1:11" ht="12.6" customHeight="1" x14ac:dyDescent="0.2">
      <c r="A176" s="13">
        <v>39090</v>
      </c>
      <c r="B176" s="19"/>
      <c r="C176" s="15">
        <v>2.5</v>
      </c>
      <c r="D176" s="14"/>
      <c r="E176" s="15">
        <f t="shared" si="13"/>
        <v>188.417</v>
      </c>
      <c r="F176" s="14"/>
      <c r="G176" s="15">
        <f t="shared" si="12"/>
        <v>2.5</v>
      </c>
      <c r="H176" s="32"/>
      <c r="I176" s="15">
        <f t="shared" si="14"/>
        <v>303.41700000000003</v>
      </c>
      <c r="J176" s="14"/>
      <c r="K176" s="16"/>
    </row>
    <row r="177" spans="1:11" ht="12.6" customHeight="1" x14ac:dyDescent="0.2">
      <c r="A177" s="13"/>
      <c r="B177" s="19" t="s">
        <v>74</v>
      </c>
      <c r="C177" s="15"/>
      <c r="D177" s="14">
        <v>1</v>
      </c>
      <c r="E177" s="15">
        <f t="shared" si="13"/>
        <v>187.417</v>
      </c>
      <c r="F177" s="14"/>
      <c r="G177" s="15">
        <f t="shared" si="12"/>
        <v>0</v>
      </c>
      <c r="H177" s="34"/>
      <c r="I177" s="15">
        <f t="shared" si="14"/>
        <v>303.41700000000003</v>
      </c>
      <c r="J177" s="14"/>
      <c r="K177" s="13">
        <v>39271</v>
      </c>
    </row>
    <row r="178" spans="1:11" ht="12.6" customHeight="1" x14ac:dyDescent="0.2">
      <c r="A178" s="13">
        <v>39093</v>
      </c>
      <c r="B178" s="19"/>
      <c r="C178" s="15">
        <v>3.75</v>
      </c>
      <c r="D178" s="14"/>
      <c r="E178" s="15">
        <f t="shared" si="13"/>
        <v>191.167</v>
      </c>
      <c r="F178" s="14"/>
      <c r="G178" s="15">
        <f t="shared" si="12"/>
        <v>3.75</v>
      </c>
      <c r="H178" s="34"/>
      <c r="I178" s="15">
        <f t="shared" si="14"/>
        <v>307.16700000000003</v>
      </c>
      <c r="J178" s="14"/>
      <c r="K178" s="13"/>
    </row>
    <row r="179" spans="1:11" ht="12.6" customHeight="1" x14ac:dyDescent="0.2">
      <c r="A179" s="13"/>
      <c r="B179" s="19" t="s">
        <v>81</v>
      </c>
      <c r="C179" s="15"/>
      <c r="D179" s="14"/>
      <c r="E179" s="15">
        <f t="shared" si="13"/>
        <v>191.167</v>
      </c>
      <c r="F179" s="14"/>
      <c r="G179" s="15">
        <f t="shared" si="12"/>
        <v>0</v>
      </c>
      <c r="H179" s="34"/>
      <c r="I179" s="15">
        <f t="shared" si="14"/>
        <v>307.16700000000003</v>
      </c>
      <c r="J179" s="14"/>
      <c r="K179" s="16" t="s">
        <v>121</v>
      </c>
    </row>
    <row r="180" spans="1:11" ht="12.6" customHeight="1" x14ac:dyDescent="0.2">
      <c r="A180" s="13">
        <v>39448</v>
      </c>
      <c r="B180" s="19"/>
      <c r="C180" s="15">
        <v>2.5</v>
      </c>
      <c r="D180" s="14"/>
      <c r="E180" s="15">
        <f t="shared" si="13"/>
        <v>193.667</v>
      </c>
      <c r="F180" s="14"/>
      <c r="G180" s="15">
        <f t="shared" si="12"/>
        <v>2.5</v>
      </c>
      <c r="H180" s="34"/>
      <c r="I180" s="15">
        <f t="shared" si="14"/>
        <v>309.66700000000003</v>
      </c>
      <c r="J180" s="14"/>
      <c r="K180" s="13"/>
    </row>
    <row r="181" spans="1:11" ht="12.6" customHeight="1" x14ac:dyDescent="0.2">
      <c r="A181" s="13"/>
      <c r="B181" s="19" t="s">
        <v>125</v>
      </c>
      <c r="C181" s="15"/>
      <c r="D181" s="14"/>
      <c r="E181" s="15">
        <f t="shared" si="13"/>
        <v>193.667</v>
      </c>
      <c r="F181" s="14"/>
      <c r="G181" s="15">
        <f t="shared" si="12"/>
        <v>0</v>
      </c>
      <c r="H181" s="34">
        <v>4</v>
      </c>
      <c r="I181" s="15">
        <f t="shared" si="14"/>
        <v>305.66700000000003</v>
      </c>
      <c r="J181" s="14"/>
      <c r="K181" s="13" t="s">
        <v>124</v>
      </c>
    </row>
    <row r="182" spans="1:11" ht="12.6" customHeight="1" x14ac:dyDescent="0.2">
      <c r="A182" s="19"/>
      <c r="B182" s="19"/>
      <c r="C182" s="15">
        <f>SUM(C156:C181)</f>
        <v>23.75</v>
      </c>
      <c r="D182" s="15">
        <f>SUM(D156:D181)</f>
        <v>10</v>
      </c>
      <c r="E182" s="36"/>
      <c r="F182" s="37"/>
      <c r="G182" s="15">
        <f>SUM(G156:G181)</f>
        <v>23.75</v>
      </c>
      <c r="H182" s="15">
        <f>SUM(H156:H181)</f>
        <v>12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NICASIO D. CATAPANG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APRIL 15, 1985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3" t="s">
        <v>52</v>
      </c>
      <c r="C191" s="15"/>
      <c r="D191" s="14"/>
      <c r="E191" s="15">
        <f>E181+C191-D191</f>
        <v>193.667</v>
      </c>
      <c r="F191" s="14"/>
      <c r="G191" s="15">
        <f>C191</f>
        <v>0</v>
      </c>
      <c r="H191" s="34">
        <v>2</v>
      </c>
      <c r="I191" s="15">
        <f>I181+G191-H191</f>
        <v>303.66700000000003</v>
      </c>
      <c r="J191" s="14"/>
      <c r="K191" s="13" t="s">
        <v>122</v>
      </c>
    </row>
    <row r="192" spans="1:11" ht="12.6" customHeight="1" x14ac:dyDescent="0.2">
      <c r="A192" s="13"/>
      <c r="B192" s="13" t="s">
        <v>60</v>
      </c>
      <c r="C192" s="15"/>
      <c r="D192" s="14">
        <v>5</v>
      </c>
      <c r="E192" s="15">
        <f>E191+C192-D192</f>
        <v>188.667</v>
      </c>
      <c r="F192" s="14"/>
      <c r="G192" s="15">
        <f t="shared" ref="G192:G216" si="15">C192</f>
        <v>0</v>
      </c>
      <c r="H192" s="34"/>
      <c r="I192" s="15">
        <f>I191+G192-H192</f>
        <v>303.66700000000003</v>
      </c>
      <c r="J192" s="14"/>
      <c r="K192" s="13" t="s">
        <v>123</v>
      </c>
    </row>
    <row r="193" spans="1:11" ht="12.6" customHeight="1" x14ac:dyDescent="0.2">
      <c r="A193" s="13">
        <v>39450</v>
      </c>
      <c r="B193" s="19"/>
      <c r="C193" s="15">
        <v>2.5</v>
      </c>
      <c r="D193" s="14"/>
      <c r="E193" s="15">
        <f t="shared" ref="E193:E216" si="16">E192+C193-D193</f>
        <v>191.167</v>
      </c>
      <c r="F193" s="22"/>
      <c r="G193" s="15">
        <f t="shared" si="15"/>
        <v>2.5</v>
      </c>
      <c r="H193" s="34"/>
      <c r="I193" s="15">
        <f t="shared" ref="I193:I216" si="17">I192+G193-H193</f>
        <v>306.16700000000003</v>
      </c>
      <c r="J193" s="14"/>
      <c r="K193" s="38"/>
    </row>
    <row r="194" spans="1:11" ht="12.6" customHeight="1" x14ac:dyDescent="0.2">
      <c r="A194" s="13"/>
      <c r="B194" s="19" t="s">
        <v>74</v>
      </c>
      <c r="C194" s="15"/>
      <c r="D194" s="14">
        <v>1</v>
      </c>
      <c r="E194" s="15">
        <f t="shared" si="16"/>
        <v>190.167</v>
      </c>
      <c r="F194" s="14"/>
      <c r="G194" s="15">
        <f t="shared" si="15"/>
        <v>0</v>
      </c>
      <c r="H194" s="34"/>
      <c r="I194" s="15">
        <f t="shared" si="17"/>
        <v>306.16700000000003</v>
      </c>
      <c r="J194" s="14"/>
      <c r="K194" s="13" t="s">
        <v>126</v>
      </c>
    </row>
    <row r="195" spans="1:11" ht="12.6" customHeight="1" x14ac:dyDescent="0.2">
      <c r="A195" s="13"/>
      <c r="B195" s="19" t="s">
        <v>129</v>
      </c>
      <c r="C195" s="15"/>
      <c r="D195" s="14"/>
      <c r="E195" s="15">
        <f t="shared" si="16"/>
        <v>190.167</v>
      </c>
      <c r="F195" s="14"/>
      <c r="G195" s="15">
        <f t="shared" si="15"/>
        <v>0</v>
      </c>
      <c r="H195" s="32">
        <v>0.5</v>
      </c>
      <c r="I195" s="15">
        <f t="shared" si="17"/>
        <v>305.66700000000003</v>
      </c>
      <c r="J195" s="14"/>
      <c r="K195" s="13" t="s">
        <v>127</v>
      </c>
    </row>
    <row r="196" spans="1:11" ht="12.6" customHeight="1" x14ac:dyDescent="0.2">
      <c r="A196" s="13"/>
      <c r="B196" s="19" t="s">
        <v>47</v>
      </c>
      <c r="C196" s="15"/>
      <c r="D196" s="14"/>
      <c r="E196" s="15">
        <f t="shared" si="16"/>
        <v>190.167</v>
      </c>
      <c r="F196" s="14"/>
      <c r="G196" s="15">
        <f t="shared" si="15"/>
        <v>0</v>
      </c>
      <c r="H196" s="34">
        <v>1</v>
      </c>
      <c r="I196" s="15">
        <f t="shared" si="17"/>
        <v>304.66700000000003</v>
      </c>
      <c r="J196" s="14"/>
      <c r="K196" s="13" t="s">
        <v>128</v>
      </c>
    </row>
    <row r="197" spans="1:11" ht="12.6" customHeight="1" x14ac:dyDescent="0.2">
      <c r="A197" s="13">
        <v>39451</v>
      </c>
      <c r="B197" s="19"/>
      <c r="C197" s="15">
        <v>1.25</v>
      </c>
      <c r="D197" s="14"/>
      <c r="E197" s="15">
        <f t="shared" si="16"/>
        <v>191.417</v>
      </c>
      <c r="F197" s="14"/>
      <c r="G197" s="15">
        <f t="shared" si="15"/>
        <v>1.25</v>
      </c>
      <c r="H197" s="34"/>
      <c r="I197" s="15">
        <f t="shared" si="17"/>
        <v>305.91700000000003</v>
      </c>
      <c r="J197" s="14"/>
      <c r="K197" s="13"/>
    </row>
    <row r="198" spans="1:11" ht="12.6" customHeight="1" x14ac:dyDescent="0.2">
      <c r="A198" s="13"/>
      <c r="B198" s="19" t="s">
        <v>47</v>
      </c>
      <c r="C198" s="15"/>
      <c r="D198" s="22"/>
      <c r="E198" s="15">
        <f t="shared" si="16"/>
        <v>191.417</v>
      </c>
      <c r="F198" s="22"/>
      <c r="G198" s="15">
        <f t="shared" si="15"/>
        <v>0</v>
      </c>
      <c r="H198" s="34">
        <v>1</v>
      </c>
      <c r="I198" s="15">
        <f t="shared" si="17"/>
        <v>304.91700000000003</v>
      </c>
      <c r="J198" s="14"/>
      <c r="K198" s="16" t="s">
        <v>130</v>
      </c>
    </row>
    <row r="199" spans="1:11" ht="12.6" customHeight="1" x14ac:dyDescent="0.2">
      <c r="A199" s="13">
        <v>39453</v>
      </c>
      <c r="B199" s="19"/>
      <c r="C199" s="15">
        <v>2.5</v>
      </c>
      <c r="D199" s="22"/>
      <c r="E199" s="15">
        <f t="shared" si="16"/>
        <v>193.917</v>
      </c>
      <c r="F199" s="14"/>
      <c r="G199" s="15">
        <f t="shared" si="15"/>
        <v>2.5</v>
      </c>
      <c r="H199" s="34"/>
      <c r="I199" s="15">
        <f t="shared" si="17"/>
        <v>307.41700000000003</v>
      </c>
      <c r="J199" s="14"/>
      <c r="K199" s="16"/>
    </row>
    <row r="200" spans="1:11" ht="12.6" customHeight="1" x14ac:dyDescent="0.2">
      <c r="A200" s="13"/>
      <c r="B200" s="19" t="s">
        <v>133</v>
      </c>
      <c r="C200" s="15"/>
      <c r="D200" s="14"/>
      <c r="E200" s="15">
        <f t="shared" si="16"/>
        <v>193.917</v>
      </c>
      <c r="F200" s="14"/>
      <c r="G200" s="15">
        <f t="shared" si="15"/>
        <v>0</v>
      </c>
      <c r="H200" s="34"/>
      <c r="I200" s="15">
        <f t="shared" si="17"/>
        <v>307.41700000000003</v>
      </c>
      <c r="J200" s="14"/>
      <c r="K200" s="13" t="s">
        <v>131</v>
      </c>
    </row>
    <row r="201" spans="1:11" ht="12.6" customHeight="1" x14ac:dyDescent="0.2">
      <c r="A201" s="13"/>
      <c r="B201" s="19" t="s">
        <v>134</v>
      </c>
      <c r="C201" s="15"/>
      <c r="D201" s="22">
        <v>2</v>
      </c>
      <c r="E201" s="15">
        <f t="shared" si="16"/>
        <v>191.917</v>
      </c>
      <c r="F201" s="22"/>
      <c r="G201" s="15">
        <f t="shared" si="15"/>
        <v>0</v>
      </c>
      <c r="H201" s="34"/>
      <c r="I201" s="15">
        <f t="shared" si="17"/>
        <v>307.41700000000003</v>
      </c>
      <c r="J201" s="14"/>
      <c r="K201" s="13" t="s">
        <v>132</v>
      </c>
    </row>
    <row r="202" spans="1:11" ht="12.6" customHeight="1" x14ac:dyDescent="0.2">
      <c r="A202" s="13">
        <v>39458</v>
      </c>
      <c r="B202" s="19"/>
      <c r="C202" s="15">
        <v>6.25</v>
      </c>
      <c r="D202" s="14"/>
      <c r="E202" s="15">
        <f t="shared" si="16"/>
        <v>198.167</v>
      </c>
      <c r="F202" s="22"/>
      <c r="G202" s="15">
        <f t="shared" si="15"/>
        <v>6.25</v>
      </c>
      <c r="H202" s="34"/>
      <c r="I202" s="15">
        <f t="shared" si="17"/>
        <v>313.66700000000003</v>
      </c>
      <c r="J202" s="14"/>
      <c r="K202" s="13"/>
    </row>
    <row r="203" spans="1:11" ht="12.6" customHeight="1" x14ac:dyDescent="0.2">
      <c r="A203" s="13"/>
      <c r="B203" s="19" t="s">
        <v>136</v>
      </c>
      <c r="C203" s="15"/>
      <c r="D203" s="14">
        <v>2</v>
      </c>
      <c r="E203" s="15">
        <f t="shared" si="16"/>
        <v>196.167</v>
      </c>
      <c r="F203" s="14"/>
      <c r="G203" s="15">
        <f t="shared" si="15"/>
        <v>0</v>
      </c>
      <c r="H203" s="34"/>
      <c r="I203" s="15">
        <f t="shared" si="17"/>
        <v>313.66700000000003</v>
      </c>
      <c r="J203" s="14"/>
      <c r="K203" s="16" t="s">
        <v>135</v>
      </c>
    </row>
    <row r="204" spans="1:11" ht="12.6" customHeight="1" x14ac:dyDescent="0.2">
      <c r="A204" s="13">
        <v>39818</v>
      </c>
      <c r="B204" s="19"/>
      <c r="C204" s="15">
        <v>7.5</v>
      </c>
      <c r="D204" s="14"/>
      <c r="E204" s="15">
        <f t="shared" si="16"/>
        <v>203.667</v>
      </c>
      <c r="F204" s="22"/>
      <c r="G204" s="15">
        <f t="shared" si="15"/>
        <v>7.5</v>
      </c>
      <c r="H204" s="34"/>
      <c r="I204" s="15">
        <f t="shared" si="17"/>
        <v>321.16700000000003</v>
      </c>
      <c r="J204" s="14"/>
      <c r="K204" s="13"/>
    </row>
    <row r="205" spans="1:11" ht="12.6" customHeight="1" x14ac:dyDescent="0.2">
      <c r="A205" s="13"/>
      <c r="B205" s="19" t="s">
        <v>45</v>
      </c>
      <c r="C205" s="15"/>
      <c r="D205" s="14"/>
      <c r="E205" s="15">
        <f t="shared" si="16"/>
        <v>203.667</v>
      </c>
      <c r="F205" s="14"/>
      <c r="G205" s="15">
        <f t="shared" si="15"/>
        <v>0</v>
      </c>
      <c r="H205" s="34"/>
      <c r="I205" s="15">
        <f t="shared" si="17"/>
        <v>321.16700000000003</v>
      </c>
      <c r="J205" s="14"/>
      <c r="K205" s="16" t="s">
        <v>137</v>
      </c>
    </row>
    <row r="206" spans="1:11" ht="12.6" customHeight="1" x14ac:dyDescent="0.2">
      <c r="A206" s="13">
        <v>39819</v>
      </c>
      <c r="B206" s="19"/>
      <c r="C206" s="15">
        <v>1.25</v>
      </c>
      <c r="D206" s="22"/>
      <c r="E206" s="15">
        <f t="shared" si="16"/>
        <v>204.917</v>
      </c>
      <c r="F206" s="14"/>
      <c r="G206" s="15">
        <f t="shared" si="15"/>
        <v>1.25</v>
      </c>
      <c r="H206" s="34"/>
      <c r="I206" s="15">
        <f t="shared" si="17"/>
        <v>322.41700000000003</v>
      </c>
      <c r="J206" s="14"/>
      <c r="K206" s="16"/>
    </row>
    <row r="207" spans="1:11" ht="12.6" customHeight="1" x14ac:dyDescent="0.2">
      <c r="A207" s="13"/>
      <c r="B207" s="19" t="s">
        <v>47</v>
      </c>
      <c r="C207" s="15"/>
      <c r="D207" s="22"/>
      <c r="E207" s="15">
        <f t="shared" si="16"/>
        <v>204.917</v>
      </c>
      <c r="F207" s="14"/>
      <c r="G207" s="15">
        <f t="shared" si="15"/>
        <v>0</v>
      </c>
      <c r="H207" s="34">
        <v>1</v>
      </c>
      <c r="I207" s="15">
        <f t="shared" si="17"/>
        <v>321.41700000000003</v>
      </c>
      <c r="J207" s="14"/>
      <c r="K207" s="13" t="s">
        <v>138</v>
      </c>
    </row>
    <row r="208" spans="1:11" ht="12.6" customHeight="1" x14ac:dyDescent="0.2">
      <c r="A208" s="13">
        <v>39821</v>
      </c>
      <c r="B208" s="19"/>
      <c r="C208" s="15">
        <v>2.5</v>
      </c>
      <c r="D208" s="14"/>
      <c r="E208" s="15">
        <f t="shared" si="16"/>
        <v>207.417</v>
      </c>
      <c r="F208" s="14"/>
      <c r="G208" s="15">
        <f t="shared" si="15"/>
        <v>2.5</v>
      </c>
      <c r="H208" s="34"/>
      <c r="I208" s="15">
        <f t="shared" si="17"/>
        <v>323.91700000000003</v>
      </c>
      <c r="J208" s="14"/>
      <c r="K208" s="13"/>
    </row>
    <row r="209" spans="1:11" ht="12.6" customHeight="1" x14ac:dyDescent="0.2">
      <c r="A209" s="13"/>
      <c r="B209" s="19" t="s">
        <v>47</v>
      </c>
      <c r="C209" s="15"/>
      <c r="D209" s="14"/>
      <c r="E209" s="15">
        <f t="shared" si="16"/>
        <v>207.417</v>
      </c>
      <c r="F209" s="22"/>
      <c r="G209" s="15">
        <f t="shared" si="15"/>
        <v>0</v>
      </c>
      <c r="H209" s="34">
        <v>1</v>
      </c>
      <c r="I209" s="15">
        <f t="shared" si="17"/>
        <v>322.91700000000003</v>
      </c>
      <c r="J209" s="14"/>
      <c r="K209" s="16" t="s">
        <v>139</v>
      </c>
    </row>
    <row r="210" spans="1:11" ht="12.6" customHeight="1" x14ac:dyDescent="0.2">
      <c r="A210" s="13">
        <v>39823</v>
      </c>
      <c r="B210" s="19"/>
      <c r="C210" s="15">
        <v>2.5</v>
      </c>
      <c r="D210" s="14"/>
      <c r="E210" s="15">
        <f t="shared" si="16"/>
        <v>209.917</v>
      </c>
      <c r="F210" s="22"/>
      <c r="G210" s="15">
        <f t="shared" si="15"/>
        <v>2.5</v>
      </c>
      <c r="H210" s="34"/>
      <c r="I210" s="15">
        <f t="shared" si="17"/>
        <v>325.41700000000003</v>
      </c>
      <c r="J210" s="14"/>
      <c r="K210" s="13"/>
    </row>
    <row r="211" spans="1:11" ht="12.6" customHeight="1" x14ac:dyDescent="0.2">
      <c r="A211" s="13"/>
      <c r="B211" s="19" t="s">
        <v>74</v>
      </c>
      <c r="C211" s="15"/>
      <c r="D211" s="14">
        <v>1</v>
      </c>
      <c r="E211" s="15">
        <f t="shared" si="16"/>
        <v>208.917</v>
      </c>
      <c r="F211" s="14"/>
      <c r="G211" s="15">
        <f t="shared" si="15"/>
        <v>0</v>
      </c>
      <c r="H211" s="34"/>
      <c r="I211" s="15">
        <f t="shared" si="17"/>
        <v>325.41700000000003</v>
      </c>
      <c r="J211" s="14"/>
      <c r="K211" s="16" t="s">
        <v>140</v>
      </c>
    </row>
    <row r="212" spans="1:11" ht="12.6" customHeight="1" x14ac:dyDescent="0.2">
      <c r="A212" s="13"/>
      <c r="B212" s="19" t="s">
        <v>47</v>
      </c>
      <c r="C212" s="15"/>
      <c r="D212" s="14"/>
      <c r="E212" s="15">
        <f t="shared" si="16"/>
        <v>208.917</v>
      </c>
      <c r="F212" s="14"/>
      <c r="G212" s="15">
        <f t="shared" si="15"/>
        <v>0</v>
      </c>
      <c r="H212" s="34">
        <v>1</v>
      </c>
      <c r="I212" s="15">
        <f t="shared" si="17"/>
        <v>324.41700000000003</v>
      </c>
      <c r="J212" s="14"/>
      <c r="K212" s="13" t="s">
        <v>141</v>
      </c>
    </row>
    <row r="213" spans="1:11" ht="12.6" customHeight="1" x14ac:dyDescent="0.2">
      <c r="A213" s="13">
        <v>40179</v>
      </c>
      <c r="B213" s="19"/>
      <c r="C213" s="15">
        <v>3.75</v>
      </c>
      <c r="D213" s="14"/>
      <c r="E213" s="15">
        <f t="shared" si="16"/>
        <v>212.667</v>
      </c>
      <c r="F213" s="14"/>
      <c r="G213" s="15">
        <f t="shared" si="15"/>
        <v>3.75</v>
      </c>
      <c r="H213" s="34"/>
      <c r="I213" s="15">
        <f t="shared" si="17"/>
        <v>328.16700000000003</v>
      </c>
      <c r="J213" s="14"/>
      <c r="K213" s="13"/>
    </row>
    <row r="214" spans="1:11" s="63" customFormat="1" ht="12.6" customHeight="1" x14ac:dyDescent="0.2">
      <c r="A214" s="58"/>
      <c r="B214" s="67" t="s">
        <v>105</v>
      </c>
      <c r="C214" s="60"/>
      <c r="D214" s="61">
        <v>4</v>
      </c>
      <c r="E214" s="60">
        <f t="shared" si="16"/>
        <v>208.667</v>
      </c>
      <c r="F214" s="61"/>
      <c r="G214" s="60">
        <f t="shared" si="15"/>
        <v>0</v>
      </c>
      <c r="H214" s="61"/>
      <c r="I214" s="60">
        <f t="shared" si="17"/>
        <v>328.16700000000003</v>
      </c>
      <c r="J214" s="61"/>
      <c r="K214" s="64" t="s">
        <v>142</v>
      </c>
    </row>
    <row r="215" spans="1:11" ht="12.6" customHeight="1" x14ac:dyDescent="0.2">
      <c r="A215" s="13">
        <v>40180</v>
      </c>
      <c r="B215" s="19"/>
      <c r="C215" s="15">
        <v>1.25</v>
      </c>
      <c r="D215" s="14"/>
      <c r="E215" s="15">
        <f t="shared" si="16"/>
        <v>209.917</v>
      </c>
      <c r="F215" s="14"/>
      <c r="G215" s="15">
        <f t="shared" si="15"/>
        <v>1.25</v>
      </c>
      <c r="H215" s="14"/>
      <c r="I215" s="15">
        <f t="shared" si="17"/>
        <v>329.41700000000003</v>
      </c>
      <c r="J215" s="14"/>
      <c r="K215" s="13"/>
    </row>
    <row r="216" spans="1:11" ht="12.6" customHeight="1" x14ac:dyDescent="0.2">
      <c r="A216" s="13"/>
      <c r="B216" s="19" t="s">
        <v>144</v>
      </c>
      <c r="C216" s="15"/>
      <c r="D216" s="14"/>
      <c r="E216" s="15">
        <f t="shared" si="16"/>
        <v>209.917</v>
      </c>
      <c r="F216" s="14"/>
      <c r="G216" s="15">
        <f t="shared" si="15"/>
        <v>0</v>
      </c>
      <c r="H216" s="14">
        <v>1.5</v>
      </c>
      <c r="I216" s="15">
        <f t="shared" si="17"/>
        <v>327.91700000000003</v>
      </c>
      <c r="J216" s="14"/>
      <c r="K216" s="16" t="s">
        <v>143</v>
      </c>
    </row>
    <row r="217" spans="1:11" ht="12.6" customHeight="1" x14ac:dyDescent="0.2">
      <c r="A217" s="57"/>
      <c r="B217" s="19"/>
      <c r="C217" s="15">
        <f>SUM(C191:C216)</f>
        <v>31.25</v>
      </c>
      <c r="D217" s="15">
        <f>SUM(D191:D216)</f>
        <v>15</v>
      </c>
      <c r="E217" s="36"/>
      <c r="F217" s="39"/>
      <c r="G217" s="15">
        <f>SUM(G191:G216)</f>
        <v>31.25</v>
      </c>
      <c r="H217" s="15">
        <f>SUM(H191:H216)</f>
        <v>9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NICASIO D. CATAPANG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APRIL 15, 1985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40182</v>
      </c>
      <c r="B230" s="19"/>
      <c r="C230" s="15">
        <v>2.5</v>
      </c>
      <c r="D230" s="14"/>
      <c r="E230" s="15">
        <f>E216+C230-D230</f>
        <v>212.417</v>
      </c>
      <c r="F230" s="14"/>
      <c r="G230" s="15">
        <f>C230</f>
        <v>2.5</v>
      </c>
      <c r="H230" s="14"/>
      <c r="I230" s="15">
        <f>I216+G230-H230</f>
        <v>330.41700000000003</v>
      </c>
      <c r="J230" s="14"/>
      <c r="K230" s="16"/>
    </row>
    <row r="231" spans="1:11" ht="12.6" customHeight="1" x14ac:dyDescent="0.2">
      <c r="A231" s="13"/>
      <c r="B231" s="19" t="s">
        <v>56</v>
      </c>
      <c r="C231" s="15"/>
      <c r="D231" s="14">
        <v>4</v>
      </c>
      <c r="E231" s="15">
        <f>E230+C231-D231</f>
        <v>208.417</v>
      </c>
      <c r="F231" s="14"/>
      <c r="G231" s="15">
        <f t="shared" ref="G231:G255" si="18">C231</f>
        <v>0</v>
      </c>
      <c r="H231" s="14"/>
      <c r="I231" s="15">
        <f>I230+G231-H231</f>
        <v>330.41700000000003</v>
      </c>
      <c r="J231" s="14"/>
      <c r="K231" s="13" t="s">
        <v>145</v>
      </c>
    </row>
    <row r="232" spans="1:11" ht="12.6" customHeight="1" x14ac:dyDescent="0.2">
      <c r="A232" s="13"/>
      <c r="B232" s="19" t="s">
        <v>45</v>
      </c>
      <c r="C232" s="15"/>
      <c r="D232" s="14"/>
      <c r="E232" s="15">
        <f t="shared" ref="E232:E255" si="19">E231+C232-D232</f>
        <v>208.417</v>
      </c>
      <c r="F232" s="14"/>
      <c r="G232" s="15">
        <f t="shared" si="18"/>
        <v>0</v>
      </c>
      <c r="H232" s="14"/>
      <c r="I232" s="15">
        <f t="shared" ref="I232:I255" si="20">I231+G232-H232</f>
        <v>330.41700000000003</v>
      </c>
      <c r="J232" s="14"/>
      <c r="K232" s="13" t="s">
        <v>146</v>
      </c>
    </row>
    <row r="233" spans="1:11" ht="12.6" customHeight="1" x14ac:dyDescent="0.2">
      <c r="A233" s="13">
        <v>40185</v>
      </c>
      <c r="B233" s="19"/>
      <c r="C233" s="15">
        <v>3.75</v>
      </c>
      <c r="D233" s="14"/>
      <c r="E233" s="15">
        <f t="shared" si="19"/>
        <v>212.167</v>
      </c>
      <c r="F233" s="14"/>
      <c r="G233" s="15">
        <f t="shared" si="18"/>
        <v>3.75</v>
      </c>
      <c r="H233" s="14"/>
      <c r="I233" s="15">
        <f t="shared" si="20"/>
        <v>334.16700000000003</v>
      </c>
      <c r="J233" s="14"/>
      <c r="K233" s="16"/>
    </row>
    <row r="234" spans="1:11" ht="12.6" customHeight="1" x14ac:dyDescent="0.2">
      <c r="A234" s="13"/>
      <c r="B234" s="19" t="s">
        <v>45</v>
      </c>
      <c r="C234" s="15"/>
      <c r="D234" s="14"/>
      <c r="E234" s="15">
        <f t="shared" si="19"/>
        <v>212.167</v>
      </c>
      <c r="F234" s="14"/>
      <c r="G234" s="15">
        <f t="shared" si="18"/>
        <v>0</v>
      </c>
      <c r="H234" s="14"/>
      <c r="I234" s="15">
        <f t="shared" si="20"/>
        <v>334.16700000000003</v>
      </c>
      <c r="J234" s="14"/>
      <c r="K234" s="13" t="s">
        <v>147</v>
      </c>
    </row>
    <row r="235" spans="1:11" ht="12.6" customHeight="1" x14ac:dyDescent="0.2">
      <c r="A235" s="13"/>
      <c r="B235" s="19" t="s">
        <v>144</v>
      </c>
      <c r="C235" s="15"/>
      <c r="D235" s="14"/>
      <c r="E235" s="15">
        <f t="shared" si="19"/>
        <v>212.167</v>
      </c>
      <c r="F235" s="14"/>
      <c r="G235" s="15">
        <f t="shared" si="18"/>
        <v>0</v>
      </c>
      <c r="H235" s="14">
        <v>1.5</v>
      </c>
      <c r="I235" s="15">
        <f t="shared" si="20"/>
        <v>332.66700000000003</v>
      </c>
      <c r="J235" s="14"/>
      <c r="K235" s="16" t="s">
        <v>148</v>
      </c>
    </row>
    <row r="236" spans="1:11" ht="12.6" customHeight="1" x14ac:dyDescent="0.2">
      <c r="A236" s="13">
        <v>40189</v>
      </c>
      <c r="B236" s="19"/>
      <c r="C236" s="15">
        <v>5</v>
      </c>
      <c r="D236" s="14"/>
      <c r="E236" s="15">
        <f t="shared" si="19"/>
        <v>217.167</v>
      </c>
      <c r="F236" s="14"/>
      <c r="G236" s="15">
        <f t="shared" si="18"/>
        <v>5</v>
      </c>
      <c r="H236" s="14"/>
      <c r="I236" s="15">
        <f t="shared" si="20"/>
        <v>337.66700000000003</v>
      </c>
      <c r="J236" s="14"/>
      <c r="K236" s="13"/>
    </row>
    <row r="237" spans="1:11" ht="12.6" customHeight="1" x14ac:dyDescent="0.2">
      <c r="A237" s="13"/>
      <c r="B237" s="19" t="s">
        <v>81</v>
      </c>
      <c r="C237" s="15"/>
      <c r="D237" s="14"/>
      <c r="E237" s="15">
        <f t="shared" si="19"/>
        <v>217.167</v>
      </c>
      <c r="F237" s="14"/>
      <c r="G237" s="15">
        <f t="shared" si="18"/>
        <v>0</v>
      </c>
      <c r="H237" s="14"/>
      <c r="I237" s="15">
        <f t="shared" si="20"/>
        <v>337.66700000000003</v>
      </c>
      <c r="J237" s="14"/>
      <c r="K237" s="13">
        <v>40523</v>
      </c>
    </row>
    <row r="238" spans="1:11" ht="12.6" customHeight="1" x14ac:dyDescent="0.2">
      <c r="A238" s="13">
        <v>40544</v>
      </c>
      <c r="B238" s="19"/>
      <c r="C238" s="15">
        <v>2.5</v>
      </c>
      <c r="D238" s="14"/>
      <c r="E238" s="15">
        <f t="shared" si="19"/>
        <v>219.667</v>
      </c>
      <c r="F238" s="14"/>
      <c r="G238" s="15">
        <f t="shared" si="18"/>
        <v>2.5</v>
      </c>
      <c r="H238" s="14"/>
      <c r="I238" s="15">
        <f t="shared" si="20"/>
        <v>340.16700000000003</v>
      </c>
      <c r="J238" s="14"/>
      <c r="K238" s="16"/>
    </row>
    <row r="239" spans="1:11" s="63" customFormat="1" ht="12.6" customHeight="1" x14ac:dyDescent="0.2">
      <c r="A239" s="58"/>
      <c r="B239" s="67" t="s">
        <v>57</v>
      </c>
      <c r="C239" s="60"/>
      <c r="D239" s="61">
        <v>1</v>
      </c>
      <c r="E239" s="60">
        <f t="shared" si="19"/>
        <v>218.667</v>
      </c>
      <c r="F239" s="61"/>
      <c r="G239" s="60">
        <f t="shared" si="18"/>
        <v>0</v>
      </c>
      <c r="H239" s="61"/>
      <c r="I239" s="60">
        <f t="shared" si="20"/>
        <v>340.16700000000003</v>
      </c>
      <c r="J239" s="61"/>
      <c r="K239" s="58" t="s">
        <v>149</v>
      </c>
    </row>
    <row r="240" spans="1:11" ht="12.6" customHeight="1" x14ac:dyDescent="0.2">
      <c r="A240" s="13"/>
      <c r="B240" s="19" t="s">
        <v>47</v>
      </c>
      <c r="C240" s="15"/>
      <c r="D240" s="14"/>
      <c r="E240" s="15">
        <f t="shared" si="19"/>
        <v>218.667</v>
      </c>
      <c r="F240" s="14"/>
      <c r="G240" s="15">
        <f t="shared" si="18"/>
        <v>0</v>
      </c>
      <c r="H240" s="14">
        <v>1</v>
      </c>
      <c r="I240" s="15">
        <f t="shared" si="20"/>
        <v>339.16700000000003</v>
      </c>
      <c r="J240" s="14"/>
      <c r="K240" s="16" t="s">
        <v>150</v>
      </c>
    </row>
    <row r="241" spans="1:11" ht="12.6" customHeight="1" x14ac:dyDescent="0.2">
      <c r="A241" s="13">
        <v>40545</v>
      </c>
      <c r="B241" s="19"/>
      <c r="C241" s="15">
        <v>1.25</v>
      </c>
      <c r="D241" s="14"/>
      <c r="E241" s="15">
        <f t="shared" si="19"/>
        <v>219.917</v>
      </c>
      <c r="F241" s="14"/>
      <c r="G241" s="15">
        <f t="shared" si="18"/>
        <v>1.25</v>
      </c>
      <c r="H241" s="14"/>
      <c r="I241" s="15">
        <f t="shared" si="20"/>
        <v>340.41700000000003</v>
      </c>
      <c r="J241" s="14"/>
      <c r="K241" s="13"/>
    </row>
    <row r="242" spans="1:11" ht="12.6" customHeight="1" x14ac:dyDescent="0.2">
      <c r="A242" s="13"/>
      <c r="B242" s="19" t="s">
        <v>47</v>
      </c>
      <c r="C242" s="15"/>
      <c r="D242" s="14"/>
      <c r="E242" s="15">
        <f t="shared" si="19"/>
        <v>219.917</v>
      </c>
      <c r="F242" s="14"/>
      <c r="G242" s="15">
        <f t="shared" si="18"/>
        <v>0</v>
      </c>
      <c r="H242" s="14">
        <v>1</v>
      </c>
      <c r="I242" s="15">
        <f t="shared" si="20"/>
        <v>339.41700000000003</v>
      </c>
      <c r="J242" s="14"/>
      <c r="K242" s="13" t="s">
        <v>151</v>
      </c>
    </row>
    <row r="243" spans="1:11" ht="12.6" customHeight="1" x14ac:dyDescent="0.2">
      <c r="A243" s="13">
        <v>40550</v>
      </c>
      <c r="B243" s="19"/>
      <c r="C243" s="15">
        <v>6.25</v>
      </c>
      <c r="D243" s="14"/>
      <c r="E243" s="15">
        <f t="shared" si="19"/>
        <v>226.167</v>
      </c>
      <c r="F243" s="14"/>
      <c r="G243" s="15">
        <f t="shared" si="18"/>
        <v>6.25</v>
      </c>
      <c r="H243" s="14"/>
      <c r="I243" s="15">
        <f t="shared" si="20"/>
        <v>345.66700000000003</v>
      </c>
      <c r="J243" s="14"/>
      <c r="K243" s="13"/>
    </row>
    <row r="244" spans="1:11" ht="12.6" customHeight="1" x14ac:dyDescent="0.2">
      <c r="A244" s="13"/>
      <c r="B244" s="19" t="s">
        <v>47</v>
      </c>
      <c r="C244" s="15"/>
      <c r="D244" s="14"/>
      <c r="E244" s="15">
        <f t="shared" si="19"/>
        <v>226.167</v>
      </c>
      <c r="F244" s="14"/>
      <c r="G244" s="15">
        <f t="shared" si="18"/>
        <v>0</v>
      </c>
      <c r="H244" s="14">
        <v>1</v>
      </c>
      <c r="I244" s="15">
        <f t="shared" si="20"/>
        <v>344.66700000000003</v>
      </c>
      <c r="J244" s="14"/>
      <c r="K244" s="13">
        <v>40640</v>
      </c>
    </row>
    <row r="245" spans="1:11" ht="12.6" customHeight="1" x14ac:dyDescent="0.2">
      <c r="A245" s="13"/>
      <c r="B245" s="19" t="s">
        <v>67</v>
      </c>
      <c r="C245" s="15"/>
      <c r="D245" s="14"/>
      <c r="E245" s="15">
        <f t="shared" si="19"/>
        <v>226.167</v>
      </c>
      <c r="F245" s="14"/>
      <c r="G245" s="15">
        <f t="shared" si="18"/>
        <v>0</v>
      </c>
      <c r="H245" s="14"/>
      <c r="I245" s="15">
        <f t="shared" si="20"/>
        <v>344.66700000000003</v>
      </c>
      <c r="J245" s="14"/>
      <c r="K245" s="13" t="s">
        <v>152</v>
      </c>
    </row>
    <row r="246" spans="1:11" ht="12.6" customHeight="1" x14ac:dyDescent="0.2">
      <c r="A246" s="13">
        <v>40551</v>
      </c>
      <c r="B246" s="19"/>
      <c r="C246" s="15">
        <v>1.25</v>
      </c>
      <c r="D246" s="14"/>
      <c r="E246" s="15">
        <f t="shared" si="19"/>
        <v>227.417</v>
      </c>
      <c r="F246" s="14"/>
      <c r="G246" s="15">
        <f t="shared" si="18"/>
        <v>1.25</v>
      </c>
      <c r="H246" s="14"/>
      <c r="I246" s="15">
        <f t="shared" si="20"/>
        <v>345.91700000000003</v>
      </c>
      <c r="J246" s="14"/>
      <c r="K246" s="13"/>
    </row>
    <row r="247" spans="1:11" ht="12.6" customHeight="1" x14ac:dyDescent="0.2">
      <c r="A247" s="13"/>
      <c r="B247" s="19" t="s">
        <v>47</v>
      </c>
      <c r="C247" s="15"/>
      <c r="D247" s="15"/>
      <c r="E247" s="15">
        <f t="shared" si="19"/>
        <v>227.417</v>
      </c>
      <c r="F247" s="14"/>
      <c r="G247" s="15">
        <f t="shared" si="18"/>
        <v>0</v>
      </c>
      <c r="H247" s="14">
        <v>1</v>
      </c>
      <c r="I247" s="15">
        <f t="shared" si="20"/>
        <v>344.91700000000003</v>
      </c>
      <c r="J247" s="14"/>
      <c r="K247" s="13" t="s">
        <v>153</v>
      </c>
    </row>
    <row r="248" spans="1:11" ht="12.6" customHeight="1" x14ac:dyDescent="0.2">
      <c r="A248" s="13">
        <v>40553</v>
      </c>
      <c r="B248" s="19"/>
      <c r="C248" s="15">
        <v>2.5</v>
      </c>
      <c r="D248" s="14"/>
      <c r="E248" s="15">
        <f t="shared" si="19"/>
        <v>229.917</v>
      </c>
      <c r="F248" s="14"/>
      <c r="G248" s="15">
        <f t="shared" si="18"/>
        <v>2.5</v>
      </c>
      <c r="H248" s="14"/>
      <c r="I248" s="15">
        <f t="shared" si="20"/>
        <v>347.41700000000003</v>
      </c>
      <c r="J248" s="14"/>
      <c r="K248" s="13"/>
    </row>
    <row r="249" spans="1:11" ht="12.6" customHeight="1" x14ac:dyDescent="0.2">
      <c r="A249" s="16"/>
      <c r="B249" s="19" t="s">
        <v>74</v>
      </c>
      <c r="C249" s="15"/>
      <c r="D249" s="15">
        <v>1</v>
      </c>
      <c r="E249" s="15">
        <f t="shared" si="19"/>
        <v>228.917</v>
      </c>
      <c r="F249" s="14"/>
      <c r="G249" s="15">
        <f t="shared" si="18"/>
        <v>0</v>
      </c>
      <c r="H249" s="14"/>
      <c r="I249" s="15">
        <f t="shared" si="20"/>
        <v>347.41700000000003</v>
      </c>
      <c r="J249" s="14"/>
      <c r="K249" s="13" t="s">
        <v>154</v>
      </c>
    </row>
    <row r="250" spans="1:11" ht="12.6" customHeight="1" x14ac:dyDescent="0.2">
      <c r="A250" s="13">
        <v>40554</v>
      </c>
      <c r="B250" s="19"/>
      <c r="C250" s="15">
        <v>1.25</v>
      </c>
      <c r="D250" s="14"/>
      <c r="E250" s="15">
        <f t="shared" si="19"/>
        <v>230.167</v>
      </c>
      <c r="F250" s="14"/>
      <c r="G250" s="15">
        <f t="shared" si="18"/>
        <v>1.25</v>
      </c>
      <c r="H250" s="14"/>
      <c r="I250" s="15">
        <f t="shared" si="20"/>
        <v>348.66700000000003</v>
      </c>
      <c r="J250" s="14"/>
      <c r="K250" s="16"/>
    </row>
    <row r="251" spans="1:11" ht="12.6" customHeight="1" x14ac:dyDescent="0.2">
      <c r="A251" s="13"/>
      <c r="B251" s="19" t="s">
        <v>67</v>
      </c>
      <c r="C251" s="15"/>
      <c r="D251" s="14"/>
      <c r="E251" s="15">
        <f t="shared" si="19"/>
        <v>230.167</v>
      </c>
      <c r="F251" s="14"/>
      <c r="G251" s="15">
        <f t="shared" si="18"/>
        <v>0</v>
      </c>
      <c r="H251" s="14">
        <v>3</v>
      </c>
      <c r="I251" s="15">
        <f t="shared" si="20"/>
        <v>345.66700000000003</v>
      </c>
      <c r="J251" s="14"/>
      <c r="K251" s="13" t="s">
        <v>155</v>
      </c>
    </row>
    <row r="252" spans="1:11" ht="12.6" customHeight="1" x14ac:dyDescent="0.2">
      <c r="A252" s="13"/>
      <c r="B252" s="19" t="s">
        <v>74</v>
      </c>
      <c r="C252" s="15"/>
      <c r="D252" s="14">
        <v>1</v>
      </c>
      <c r="E252" s="15">
        <f t="shared" si="19"/>
        <v>229.167</v>
      </c>
      <c r="F252" s="14"/>
      <c r="G252" s="15">
        <f t="shared" si="18"/>
        <v>0</v>
      </c>
      <c r="H252" s="14"/>
      <c r="I252" s="15">
        <f t="shared" si="20"/>
        <v>345.66700000000003</v>
      </c>
      <c r="J252" s="14"/>
      <c r="K252" s="13" t="s">
        <v>156</v>
      </c>
    </row>
    <row r="253" spans="1:11" ht="12.6" customHeight="1" x14ac:dyDescent="0.2">
      <c r="A253" s="13">
        <v>40909</v>
      </c>
      <c r="B253" s="19"/>
      <c r="C253" s="15">
        <v>2.5</v>
      </c>
      <c r="D253" s="14"/>
      <c r="E253" s="15">
        <f t="shared" si="19"/>
        <v>231.667</v>
      </c>
      <c r="F253" s="14"/>
      <c r="G253" s="15">
        <f t="shared" si="18"/>
        <v>2.5</v>
      </c>
      <c r="H253" s="14"/>
      <c r="I253" s="15">
        <f t="shared" si="20"/>
        <v>348.16700000000003</v>
      </c>
      <c r="J253" s="14"/>
      <c r="K253" s="13"/>
    </row>
    <row r="254" spans="1:11" s="63" customFormat="1" ht="12.6" customHeight="1" x14ac:dyDescent="0.2">
      <c r="A254" s="58"/>
      <c r="B254" s="67" t="s">
        <v>87</v>
      </c>
      <c r="C254" s="60"/>
      <c r="D254" s="61">
        <v>3</v>
      </c>
      <c r="E254" s="60">
        <f t="shared" si="19"/>
        <v>228.667</v>
      </c>
      <c r="F254" s="61"/>
      <c r="G254" s="60">
        <f t="shared" si="18"/>
        <v>0</v>
      </c>
      <c r="H254" s="61"/>
      <c r="I254" s="60">
        <f t="shared" si="20"/>
        <v>348.16700000000003</v>
      </c>
      <c r="J254" s="61"/>
      <c r="K254" s="64" t="s">
        <v>157</v>
      </c>
    </row>
    <row r="255" spans="1:11" ht="12.6" customHeight="1" x14ac:dyDescent="0.2">
      <c r="A255" s="13">
        <v>40913</v>
      </c>
      <c r="B255" s="19"/>
      <c r="C255" s="15">
        <v>5</v>
      </c>
      <c r="D255" s="14"/>
      <c r="E255" s="15">
        <f t="shared" si="19"/>
        <v>233.667</v>
      </c>
      <c r="F255" s="14"/>
      <c r="G255" s="15">
        <f t="shared" si="18"/>
        <v>5</v>
      </c>
      <c r="H255" s="14"/>
      <c r="I255" s="15">
        <f t="shared" si="20"/>
        <v>353.16700000000003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33.75</v>
      </c>
      <c r="D256" s="36">
        <f>SUM(D230:D255)</f>
        <v>10</v>
      </c>
      <c r="E256" s="36"/>
      <c r="F256" s="37"/>
      <c r="G256" s="36">
        <f>SUM(G230:G255)</f>
        <v>33.75</v>
      </c>
      <c r="H256" s="36">
        <f>SUM(H230:H255)</f>
        <v>8.5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NICASIO D. CATAPANG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APRIL 15, 1985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74</v>
      </c>
      <c r="C265" s="15"/>
      <c r="D265" s="14">
        <v>1</v>
      </c>
      <c r="E265" s="15">
        <f>E255+C265-D265</f>
        <v>232.667</v>
      </c>
      <c r="F265" s="14"/>
      <c r="G265" s="15">
        <f>C265</f>
        <v>0</v>
      </c>
      <c r="H265" s="14"/>
      <c r="I265" s="15">
        <f>I255+G265-H265</f>
        <v>353.16700000000003</v>
      </c>
      <c r="J265" s="14"/>
      <c r="K265" s="13">
        <v>41218</v>
      </c>
    </row>
    <row r="266" spans="1:11" ht="12.6" customHeight="1" x14ac:dyDescent="0.2">
      <c r="A266" s="13"/>
      <c r="B266" s="19" t="s">
        <v>125</v>
      </c>
      <c r="C266" s="15"/>
      <c r="D266" s="14"/>
      <c r="E266" s="15">
        <f>E265+C266-D266</f>
        <v>232.667</v>
      </c>
      <c r="F266" s="14"/>
      <c r="G266" s="15">
        <f t="shared" ref="G266:G290" si="21">C266</f>
        <v>0</v>
      </c>
      <c r="H266" s="14">
        <v>4</v>
      </c>
      <c r="I266" s="15">
        <f>I265+G266-H266</f>
        <v>349.16700000000003</v>
      </c>
      <c r="J266" s="14"/>
      <c r="K266" s="16" t="s">
        <v>158</v>
      </c>
    </row>
    <row r="267" spans="1:11" ht="12.6" customHeight="1" x14ac:dyDescent="0.2">
      <c r="A267" s="13">
        <v>40919</v>
      </c>
      <c r="B267" s="19"/>
      <c r="C267" s="15">
        <v>7.5</v>
      </c>
      <c r="D267" s="14"/>
      <c r="E267" s="15">
        <f t="shared" ref="E267:E290" si="22">E266+C267-D267</f>
        <v>240.167</v>
      </c>
      <c r="F267" s="14"/>
      <c r="G267" s="15">
        <f t="shared" si="21"/>
        <v>7.5</v>
      </c>
      <c r="H267" s="14"/>
      <c r="I267" s="15">
        <f t="shared" ref="I267:I290" si="23">I266+G267-H267</f>
        <v>356.66700000000003</v>
      </c>
      <c r="J267" s="14"/>
      <c r="K267" s="13"/>
    </row>
    <row r="268" spans="1:11" ht="12.6" customHeight="1" x14ac:dyDescent="0.2">
      <c r="A268" s="13"/>
      <c r="B268" s="19" t="s">
        <v>81</v>
      </c>
      <c r="C268" s="15"/>
      <c r="D268" s="14"/>
      <c r="E268" s="15">
        <f t="shared" si="22"/>
        <v>240.167</v>
      </c>
      <c r="F268" s="14"/>
      <c r="G268" s="15">
        <f t="shared" si="21"/>
        <v>0</v>
      </c>
      <c r="H268" s="14"/>
      <c r="I268" s="15">
        <f t="shared" si="23"/>
        <v>356.66700000000003</v>
      </c>
      <c r="J268" s="14"/>
      <c r="K268" s="16" t="s">
        <v>159</v>
      </c>
    </row>
    <row r="269" spans="1:11" ht="12.6" customHeight="1" x14ac:dyDescent="0.2">
      <c r="A269" s="13"/>
      <c r="B269" s="19" t="s">
        <v>74</v>
      </c>
      <c r="C269" s="15"/>
      <c r="D269" s="14">
        <v>1</v>
      </c>
      <c r="E269" s="15">
        <f t="shared" si="22"/>
        <v>239.167</v>
      </c>
      <c r="F269" s="14"/>
      <c r="G269" s="15">
        <f t="shared" si="21"/>
        <v>0</v>
      </c>
      <c r="H269" s="14"/>
      <c r="I269" s="15">
        <f t="shared" si="23"/>
        <v>356.66700000000003</v>
      </c>
      <c r="J269" s="14"/>
      <c r="K269" s="13" t="s">
        <v>160</v>
      </c>
    </row>
    <row r="270" spans="1:11" ht="12.6" customHeight="1" x14ac:dyDescent="0.2">
      <c r="A270" s="13">
        <v>41275</v>
      </c>
      <c r="B270" s="19"/>
      <c r="C270" s="15">
        <v>2.5</v>
      </c>
      <c r="D270" s="14"/>
      <c r="E270" s="15">
        <f t="shared" si="22"/>
        <v>241.667</v>
      </c>
      <c r="F270" s="14"/>
      <c r="G270" s="15">
        <f t="shared" si="21"/>
        <v>2.5</v>
      </c>
      <c r="H270" s="14"/>
      <c r="I270" s="15">
        <f t="shared" si="23"/>
        <v>359.16700000000003</v>
      </c>
      <c r="J270" s="14"/>
      <c r="K270" s="16"/>
    </row>
    <row r="271" spans="1:11" s="63" customFormat="1" ht="12.6" customHeight="1" x14ac:dyDescent="0.2">
      <c r="A271" s="58"/>
      <c r="B271" s="67" t="s">
        <v>87</v>
      </c>
      <c r="C271" s="60"/>
      <c r="D271" s="61">
        <v>3</v>
      </c>
      <c r="E271" s="60">
        <f t="shared" si="22"/>
        <v>238.667</v>
      </c>
      <c r="F271" s="61"/>
      <c r="G271" s="60">
        <f t="shared" si="21"/>
        <v>0</v>
      </c>
      <c r="H271" s="61"/>
      <c r="I271" s="60">
        <f t="shared" si="23"/>
        <v>359.16700000000003</v>
      </c>
      <c r="J271" s="61"/>
      <c r="K271" s="58" t="s">
        <v>161</v>
      </c>
    </row>
    <row r="272" spans="1:11" ht="12.6" customHeight="1" x14ac:dyDescent="0.2">
      <c r="A272" s="13"/>
      <c r="B272" s="19" t="s">
        <v>52</v>
      </c>
      <c r="C272" s="15"/>
      <c r="D272" s="14"/>
      <c r="E272" s="15">
        <f t="shared" si="22"/>
        <v>238.667</v>
      </c>
      <c r="F272" s="14"/>
      <c r="G272" s="15">
        <f t="shared" si="21"/>
        <v>0</v>
      </c>
      <c r="H272" s="14">
        <v>2</v>
      </c>
      <c r="I272" s="15">
        <f t="shared" si="23"/>
        <v>357.16700000000003</v>
      </c>
      <c r="J272" s="14"/>
      <c r="K272" s="13" t="s">
        <v>162</v>
      </c>
    </row>
    <row r="273" spans="1:11" ht="12.6" customHeight="1" x14ac:dyDescent="0.2">
      <c r="A273" s="13"/>
      <c r="B273" s="19" t="s">
        <v>60</v>
      </c>
      <c r="C273" s="15"/>
      <c r="D273" s="14">
        <v>5</v>
      </c>
      <c r="E273" s="15">
        <f t="shared" si="22"/>
        <v>233.667</v>
      </c>
      <c r="F273" s="14"/>
      <c r="G273" s="15">
        <f t="shared" si="21"/>
        <v>0</v>
      </c>
      <c r="H273" s="14"/>
      <c r="I273" s="15">
        <f t="shared" si="23"/>
        <v>357.16700000000003</v>
      </c>
      <c r="J273" s="14"/>
      <c r="K273" s="16" t="s">
        <v>163</v>
      </c>
    </row>
    <row r="274" spans="1:11" ht="12.6" customHeight="1" x14ac:dyDescent="0.2">
      <c r="A274" s="13">
        <v>41285</v>
      </c>
      <c r="B274" s="19"/>
      <c r="C274" s="15">
        <v>12.5</v>
      </c>
      <c r="D274" s="14"/>
      <c r="E274" s="15">
        <f t="shared" si="22"/>
        <v>246.167</v>
      </c>
      <c r="F274" s="14"/>
      <c r="G274" s="15">
        <f t="shared" si="21"/>
        <v>12.5</v>
      </c>
      <c r="H274" s="14"/>
      <c r="I274" s="15">
        <f t="shared" si="23"/>
        <v>369.66700000000003</v>
      </c>
      <c r="J274" s="14"/>
      <c r="K274" s="16"/>
    </row>
    <row r="275" spans="1:11" ht="12.6" customHeight="1" x14ac:dyDescent="0.2">
      <c r="A275" s="13"/>
      <c r="B275" s="19" t="s">
        <v>81</v>
      </c>
      <c r="C275" s="15"/>
      <c r="D275" s="14"/>
      <c r="E275" s="15">
        <f t="shared" si="22"/>
        <v>246.167</v>
      </c>
      <c r="F275" s="14"/>
      <c r="G275" s="15">
        <f t="shared" si="21"/>
        <v>0</v>
      </c>
      <c r="H275" s="14"/>
      <c r="I275" s="15">
        <f t="shared" si="23"/>
        <v>369.66700000000003</v>
      </c>
      <c r="J275" s="14"/>
      <c r="K275" s="13" t="s">
        <v>164</v>
      </c>
    </row>
    <row r="276" spans="1:11" ht="12.6" customHeight="1" x14ac:dyDescent="0.2">
      <c r="A276" s="13">
        <v>41642</v>
      </c>
      <c r="B276" s="19"/>
      <c r="C276" s="15">
        <v>5</v>
      </c>
      <c r="D276" s="14"/>
      <c r="E276" s="15">
        <f t="shared" si="22"/>
        <v>251.167</v>
      </c>
      <c r="F276" s="14"/>
      <c r="G276" s="15">
        <f t="shared" si="21"/>
        <v>5</v>
      </c>
      <c r="H276" s="14"/>
      <c r="I276" s="15">
        <f t="shared" si="23"/>
        <v>374.66700000000003</v>
      </c>
      <c r="J276" s="14"/>
      <c r="K276" s="13"/>
    </row>
    <row r="277" spans="1:11" ht="12.6" customHeight="1" x14ac:dyDescent="0.2">
      <c r="A277" s="13"/>
      <c r="B277" s="19" t="s">
        <v>47</v>
      </c>
      <c r="C277" s="15"/>
      <c r="D277" s="14"/>
      <c r="E277" s="15">
        <f t="shared" si="22"/>
        <v>251.167</v>
      </c>
      <c r="F277" s="14"/>
      <c r="G277" s="15">
        <f t="shared" si="21"/>
        <v>0</v>
      </c>
      <c r="H277" s="14">
        <v>1</v>
      </c>
      <c r="I277" s="15">
        <f t="shared" si="23"/>
        <v>373.66700000000003</v>
      </c>
      <c r="J277" s="14"/>
      <c r="K277" s="13">
        <v>41823</v>
      </c>
    </row>
    <row r="278" spans="1:11" ht="12.6" customHeight="1" x14ac:dyDescent="0.2">
      <c r="A278" s="13"/>
      <c r="B278" s="19" t="s">
        <v>166</v>
      </c>
      <c r="C278" s="15"/>
      <c r="D278" s="14"/>
      <c r="E278" s="15">
        <f t="shared" si="22"/>
        <v>251.167</v>
      </c>
      <c r="F278" s="14"/>
      <c r="G278" s="15">
        <f t="shared" si="21"/>
        <v>0</v>
      </c>
      <c r="H278" s="14"/>
      <c r="I278" s="15">
        <f t="shared" si="23"/>
        <v>373.66700000000003</v>
      </c>
      <c r="J278" s="14"/>
      <c r="K278" s="13" t="s">
        <v>165</v>
      </c>
    </row>
    <row r="279" spans="1:11" ht="12.6" customHeight="1" x14ac:dyDescent="0.2">
      <c r="A279" s="13">
        <v>41644</v>
      </c>
      <c r="B279" s="19"/>
      <c r="C279" s="15">
        <v>2.5</v>
      </c>
      <c r="D279" s="14"/>
      <c r="E279" s="15">
        <f t="shared" si="22"/>
        <v>253.667</v>
      </c>
      <c r="F279" s="14"/>
      <c r="G279" s="15">
        <f t="shared" si="21"/>
        <v>2.5</v>
      </c>
      <c r="H279" s="14"/>
      <c r="I279" s="15">
        <f t="shared" si="23"/>
        <v>376.16700000000003</v>
      </c>
      <c r="J279" s="14"/>
      <c r="K279" s="13"/>
    </row>
    <row r="280" spans="1:11" ht="12.6" customHeight="1" x14ac:dyDescent="0.2">
      <c r="A280" s="13"/>
      <c r="B280" s="19" t="s">
        <v>47</v>
      </c>
      <c r="C280" s="15"/>
      <c r="D280" s="14"/>
      <c r="E280" s="15">
        <f t="shared" si="22"/>
        <v>253.667</v>
      </c>
      <c r="F280" s="14"/>
      <c r="G280" s="15">
        <f t="shared" si="21"/>
        <v>0</v>
      </c>
      <c r="H280" s="14">
        <v>1</v>
      </c>
      <c r="I280" s="15">
        <f t="shared" si="23"/>
        <v>375.16700000000003</v>
      </c>
      <c r="J280" s="14"/>
      <c r="K280" s="13">
        <v>41978</v>
      </c>
    </row>
    <row r="281" spans="1:11" ht="12.6" customHeight="1" x14ac:dyDescent="0.2">
      <c r="A281" s="13">
        <v>41650</v>
      </c>
      <c r="B281" s="19"/>
      <c r="C281" s="15">
        <v>7.5</v>
      </c>
      <c r="D281" s="14"/>
      <c r="E281" s="15">
        <f t="shared" si="22"/>
        <v>261.16700000000003</v>
      </c>
      <c r="F281" s="14"/>
      <c r="G281" s="15">
        <f t="shared" si="21"/>
        <v>7.5</v>
      </c>
      <c r="H281" s="14"/>
      <c r="I281" s="15">
        <f t="shared" si="23"/>
        <v>382.66700000000003</v>
      </c>
      <c r="J281" s="14"/>
      <c r="K281" s="13"/>
    </row>
    <row r="282" spans="1:11" ht="12.6" customHeight="1" x14ac:dyDescent="0.2">
      <c r="A282" s="13"/>
      <c r="B282" s="19" t="s">
        <v>81</v>
      </c>
      <c r="C282" s="15"/>
      <c r="D282" s="15"/>
      <c r="E282" s="15">
        <f t="shared" si="22"/>
        <v>261.16700000000003</v>
      </c>
      <c r="F282" s="14"/>
      <c r="G282" s="15">
        <f t="shared" si="21"/>
        <v>0</v>
      </c>
      <c r="H282" s="14"/>
      <c r="I282" s="15">
        <f t="shared" si="23"/>
        <v>382.66700000000003</v>
      </c>
      <c r="J282" s="14"/>
      <c r="K282" s="13" t="s">
        <v>167</v>
      </c>
    </row>
    <row r="283" spans="1:11" ht="12.6" customHeight="1" x14ac:dyDescent="0.2">
      <c r="A283" s="13"/>
      <c r="B283" s="19" t="s">
        <v>47</v>
      </c>
      <c r="C283" s="15"/>
      <c r="D283" s="14"/>
      <c r="E283" s="15">
        <f t="shared" si="22"/>
        <v>261.16700000000003</v>
      </c>
      <c r="F283" s="14"/>
      <c r="G283" s="15">
        <f t="shared" si="21"/>
        <v>0</v>
      </c>
      <c r="H283" s="14">
        <v>1</v>
      </c>
      <c r="I283" s="15">
        <f t="shared" si="23"/>
        <v>381.66700000000003</v>
      </c>
      <c r="J283" s="14"/>
      <c r="K283" s="16" t="s">
        <v>168</v>
      </c>
    </row>
    <row r="284" spans="1:11" ht="12.6" customHeight="1" x14ac:dyDescent="0.2">
      <c r="A284" s="13">
        <v>41651</v>
      </c>
      <c r="B284" s="19"/>
      <c r="C284" s="15">
        <v>1.25</v>
      </c>
      <c r="D284" s="15"/>
      <c r="E284" s="15">
        <f t="shared" si="22"/>
        <v>262.41700000000003</v>
      </c>
      <c r="F284" s="14"/>
      <c r="G284" s="15">
        <f t="shared" si="21"/>
        <v>1.25</v>
      </c>
      <c r="H284" s="14"/>
      <c r="I284" s="15">
        <f t="shared" si="23"/>
        <v>382.91700000000003</v>
      </c>
      <c r="J284" s="14"/>
      <c r="K284" s="13"/>
    </row>
    <row r="285" spans="1:11" ht="12.6" customHeight="1" x14ac:dyDescent="0.2">
      <c r="A285" s="13"/>
      <c r="B285" s="19" t="s">
        <v>170</v>
      </c>
      <c r="C285" s="15"/>
      <c r="D285" s="14"/>
      <c r="E285" s="15">
        <f t="shared" si="22"/>
        <v>262.41700000000003</v>
      </c>
      <c r="F285" s="14"/>
      <c r="G285" s="15">
        <f t="shared" si="21"/>
        <v>0</v>
      </c>
      <c r="H285" s="14"/>
      <c r="I285" s="15">
        <f t="shared" si="23"/>
        <v>382.91700000000003</v>
      </c>
      <c r="J285" s="14"/>
      <c r="K285" s="16" t="s">
        <v>169</v>
      </c>
    </row>
    <row r="286" spans="1:11" ht="12.6" customHeight="1" x14ac:dyDescent="0.2">
      <c r="A286" s="13">
        <v>42005</v>
      </c>
      <c r="B286" s="19"/>
      <c r="C286" s="15">
        <v>1.25</v>
      </c>
      <c r="D286" s="14"/>
      <c r="E286" s="15">
        <f t="shared" si="22"/>
        <v>263.66700000000003</v>
      </c>
      <c r="F286" s="14"/>
      <c r="G286" s="15">
        <f t="shared" si="21"/>
        <v>1.25</v>
      </c>
      <c r="H286" s="14"/>
      <c r="I286" s="15">
        <f t="shared" si="23"/>
        <v>384.16700000000003</v>
      </c>
      <c r="J286" s="14"/>
      <c r="K286" s="13"/>
    </row>
    <row r="287" spans="1:11" s="63" customFormat="1" ht="12.6" customHeight="1" x14ac:dyDescent="0.2">
      <c r="A287" s="58"/>
      <c r="B287" s="67" t="s">
        <v>65</v>
      </c>
      <c r="C287" s="60"/>
      <c r="D287" s="61">
        <v>5</v>
      </c>
      <c r="E287" s="60">
        <f t="shared" si="22"/>
        <v>258.66700000000003</v>
      </c>
      <c r="F287" s="61"/>
      <c r="G287" s="60">
        <f t="shared" si="21"/>
        <v>0</v>
      </c>
      <c r="H287" s="61"/>
      <c r="I287" s="60">
        <f t="shared" si="23"/>
        <v>384.16700000000003</v>
      </c>
      <c r="J287" s="61"/>
      <c r="K287" s="58" t="s">
        <v>171</v>
      </c>
    </row>
    <row r="288" spans="1:11" ht="12.6" customHeight="1" x14ac:dyDescent="0.2">
      <c r="A288" s="13"/>
      <c r="B288" s="19" t="s">
        <v>76</v>
      </c>
      <c r="C288" s="15"/>
      <c r="D288" s="14">
        <v>2</v>
      </c>
      <c r="E288" s="15">
        <f t="shared" si="22"/>
        <v>256.66700000000003</v>
      </c>
      <c r="F288" s="14"/>
      <c r="G288" s="15">
        <f t="shared" si="21"/>
        <v>0</v>
      </c>
      <c r="H288" s="14"/>
      <c r="I288" s="15">
        <f t="shared" si="23"/>
        <v>384.16700000000003</v>
      </c>
      <c r="J288" s="14"/>
      <c r="K288" s="13" t="s">
        <v>173</v>
      </c>
    </row>
    <row r="289" spans="1:11" ht="12.6" customHeight="1" x14ac:dyDescent="0.2">
      <c r="A289" s="13">
        <v>42014</v>
      </c>
      <c r="B289" s="19"/>
      <c r="C289" s="15">
        <v>11.25</v>
      </c>
      <c r="D289" s="14"/>
      <c r="E289" s="15">
        <f t="shared" si="22"/>
        <v>267.91700000000003</v>
      </c>
      <c r="F289" s="14"/>
      <c r="G289" s="15">
        <f t="shared" si="21"/>
        <v>11.25</v>
      </c>
      <c r="H289" s="14"/>
      <c r="I289" s="15">
        <f t="shared" si="23"/>
        <v>395.41700000000003</v>
      </c>
      <c r="J289" s="14"/>
      <c r="K289" s="13"/>
    </row>
    <row r="290" spans="1:11" ht="12.6" customHeight="1" x14ac:dyDescent="0.2">
      <c r="A290" s="13"/>
      <c r="B290" s="19" t="s">
        <v>45</v>
      </c>
      <c r="C290" s="15"/>
      <c r="D290" s="14"/>
      <c r="E290" s="15">
        <f t="shared" si="22"/>
        <v>267.91700000000003</v>
      </c>
      <c r="F290" s="14"/>
      <c r="G290" s="15">
        <f t="shared" si="21"/>
        <v>0</v>
      </c>
      <c r="H290" s="14"/>
      <c r="I290" s="15">
        <f t="shared" si="23"/>
        <v>395.41700000000003</v>
      </c>
      <c r="J290" s="14"/>
      <c r="K290" s="16" t="s">
        <v>172</v>
      </c>
    </row>
    <row r="291" spans="1:11" ht="12.6" customHeight="1" x14ac:dyDescent="0.2">
      <c r="A291" s="19"/>
      <c r="B291" s="19"/>
      <c r="C291" s="36">
        <f>SUM(C265:C290)</f>
        <v>51.25</v>
      </c>
      <c r="D291" s="36">
        <f>SUM(D265:D290)</f>
        <v>17</v>
      </c>
      <c r="E291" s="36"/>
      <c r="F291" s="37"/>
      <c r="G291" s="36">
        <f>SUM(G265:G290)</f>
        <v>51.25</v>
      </c>
      <c r="H291" s="36">
        <f>SUM(H265:H290)</f>
        <v>9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NICASIO D. CATAPANG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APRIL 15, 1985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>
        <v>42015</v>
      </c>
      <c r="B304" s="19"/>
      <c r="C304" s="15">
        <v>1.25</v>
      </c>
      <c r="D304" s="14"/>
      <c r="E304" s="15">
        <f>E290+C304-D304</f>
        <v>269.16700000000003</v>
      </c>
      <c r="F304" s="14"/>
      <c r="G304" s="15">
        <f>C304</f>
        <v>1.25</v>
      </c>
      <c r="H304" s="14"/>
      <c r="I304" s="15">
        <f>I290+G304-H304</f>
        <v>396.66700000000003</v>
      </c>
      <c r="J304" s="14"/>
      <c r="K304" s="16"/>
    </row>
    <row r="305" spans="1:11" ht="12.6" customHeight="1" x14ac:dyDescent="0.2">
      <c r="A305" s="13"/>
      <c r="B305" s="19" t="s">
        <v>81</v>
      </c>
      <c r="C305" s="15"/>
      <c r="D305" s="14"/>
      <c r="E305" s="15">
        <f>E304+C305-D305</f>
        <v>269.16700000000003</v>
      </c>
      <c r="F305" s="14"/>
      <c r="G305" s="15">
        <f t="shared" ref="G305:G329" si="24">C305</f>
        <v>0</v>
      </c>
      <c r="H305" s="14"/>
      <c r="I305" s="15">
        <f>I304+G305-H305</f>
        <v>396.66700000000003</v>
      </c>
      <c r="J305" s="14"/>
      <c r="K305" s="13">
        <v>42349</v>
      </c>
    </row>
    <row r="306" spans="1:11" ht="12.6" customHeight="1" x14ac:dyDescent="0.2">
      <c r="A306" s="13">
        <v>42370</v>
      </c>
      <c r="B306" s="19"/>
      <c r="C306" s="15">
        <v>2.5</v>
      </c>
      <c r="D306" s="14"/>
      <c r="E306" s="15">
        <f t="shared" ref="E306:E329" si="25">E305+C306-D306</f>
        <v>271.66700000000003</v>
      </c>
      <c r="F306" s="14"/>
      <c r="G306" s="15">
        <f t="shared" si="24"/>
        <v>2.5</v>
      </c>
      <c r="H306" s="14"/>
      <c r="I306" s="15">
        <f t="shared" ref="I306:I329" si="26">I305+G306-H306</f>
        <v>399.16700000000003</v>
      </c>
      <c r="J306" s="14"/>
      <c r="K306" s="13"/>
    </row>
    <row r="307" spans="1:11" s="63" customFormat="1" ht="12.6" customHeight="1" x14ac:dyDescent="0.2">
      <c r="A307" s="58"/>
      <c r="B307" s="67" t="s">
        <v>87</v>
      </c>
      <c r="C307" s="60"/>
      <c r="D307" s="61">
        <v>3</v>
      </c>
      <c r="E307" s="60">
        <f t="shared" si="25"/>
        <v>268.66700000000003</v>
      </c>
      <c r="F307" s="61"/>
      <c r="G307" s="60">
        <f t="shared" si="24"/>
        <v>0</v>
      </c>
      <c r="H307" s="61"/>
      <c r="I307" s="60">
        <f t="shared" si="26"/>
        <v>399.16700000000003</v>
      </c>
      <c r="J307" s="61"/>
      <c r="K307" s="64" t="s">
        <v>174</v>
      </c>
    </row>
    <row r="308" spans="1:11" ht="12.6" customHeight="1" x14ac:dyDescent="0.2">
      <c r="A308" s="13">
        <v>42376</v>
      </c>
      <c r="B308" s="19"/>
      <c r="C308" s="15">
        <v>7.5</v>
      </c>
      <c r="D308" s="14"/>
      <c r="E308" s="15">
        <f t="shared" si="25"/>
        <v>276.16700000000003</v>
      </c>
      <c r="F308" s="14"/>
      <c r="G308" s="15">
        <f t="shared" si="24"/>
        <v>7.5</v>
      </c>
      <c r="H308" s="14"/>
      <c r="I308" s="15">
        <f t="shared" si="26"/>
        <v>406.66700000000003</v>
      </c>
      <c r="J308" s="14"/>
      <c r="K308" s="13"/>
    </row>
    <row r="309" spans="1:11" ht="12.6" customHeight="1" x14ac:dyDescent="0.2">
      <c r="A309" s="13"/>
      <c r="B309" s="19" t="s">
        <v>76</v>
      </c>
      <c r="C309" s="15"/>
      <c r="D309" s="14">
        <v>2</v>
      </c>
      <c r="E309" s="15">
        <f t="shared" si="25"/>
        <v>274.16700000000003</v>
      </c>
      <c r="F309" s="14"/>
      <c r="G309" s="15">
        <f t="shared" si="24"/>
        <v>0</v>
      </c>
      <c r="H309" s="14"/>
      <c r="I309" s="15">
        <f t="shared" si="26"/>
        <v>406.66700000000003</v>
      </c>
      <c r="J309" s="14"/>
      <c r="K309" s="13" t="s">
        <v>175</v>
      </c>
    </row>
    <row r="310" spans="1:11" ht="12.6" customHeight="1" x14ac:dyDescent="0.2">
      <c r="A310" s="13">
        <v>42380</v>
      </c>
      <c r="B310" s="19"/>
      <c r="C310" s="15">
        <v>5</v>
      </c>
      <c r="D310" s="14"/>
      <c r="E310" s="15">
        <f t="shared" si="25"/>
        <v>279.16700000000003</v>
      </c>
      <c r="F310" s="14"/>
      <c r="G310" s="15">
        <f t="shared" si="24"/>
        <v>5</v>
      </c>
      <c r="H310" s="14"/>
      <c r="I310" s="15">
        <f t="shared" si="26"/>
        <v>411.66700000000003</v>
      </c>
      <c r="J310" s="14"/>
      <c r="K310" s="13"/>
    </row>
    <row r="311" spans="1:11" ht="12.6" customHeight="1" x14ac:dyDescent="0.2">
      <c r="A311" s="13"/>
      <c r="B311" s="19" t="s">
        <v>60</v>
      </c>
      <c r="C311" s="15"/>
      <c r="D311" s="14">
        <v>5</v>
      </c>
      <c r="E311" s="15">
        <f t="shared" si="25"/>
        <v>274.16700000000003</v>
      </c>
      <c r="F311" s="14"/>
      <c r="G311" s="15">
        <f t="shared" si="24"/>
        <v>0</v>
      </c>
      <c r="H311" s="14"/>
      <c r="I311" s="15">
        <f t="shared" si="26"/>
        <v>411.66700000000003</v>
      </c>
      <c r="J311" s="14"/>
      <c r="K311" s="13" t="s">
        <v>176</v>
      </c>
    </row>
    <row r="312" spans="1:11" ht="12.6" customHeight="1" x14ac:dyDescent="0.2">
      <c r="A312" s="13">
        <v>42737</v>
      </c>
      <c r="B312" s="19"/>
      <c r="C312" s="15">
        <v>3.75</v>
      </c>
      <c r="D312" s="14"/>
      <c r="E312" s="15">
        <f t="shared" si="25"/>
        <v>277.91700000000003</v>
      </c>
      <c r="F312" s="14"/>
      <c r="G312" s="15">
        <f t="shared" si="24"/>
        <v>3.75</v>
      </c>
      <c r="H312" s="14"/>
      <c r="I312" s="15">
        <f t="shared" si="26"/>
        <v>415.41700000000003</v>
      </c>
      <c r="J312" s="14"/>
      <c r="K312" s="16"/>
    </row>
    <row r="313" spans="1:11" ht="12.6" customHeight="1" x14ac:dyDescent="0.2">
      <c r="A313" s="13"/>
      <c r="B313" s="19" t="s">
        <v>74</v>
      </c>
      <c r="C313" s="15"/>
      <c r="D313" s="14">
        <v>1</v>
      </c>
      <c r="E313" s="15">
        <f t="shared" si="25"/>
        <v>276.91700000000003</v>
      </c>
      <c r="F313" s="14"/>
      <c r="G313" s="15">
        <f t="shared" si="24"/>
        <v>0</v>
      </c>
      <c r="H313" s="14"/>
      <c r="I313" s="15">
        <f t="shared" si="26"/>
        <v>415.41700000000003</v>
      </c>
      <c r="J313" s="14"/>
      <c r="K313" s="16" t="s">
        <v>177</v>
      </c>
    </row>
    <row r="314" spans="1:11" ht="12.6" customHeight="1" x14ac:dyDescent="0.2">
      <c r="A314" s="13">
        <v>42740</v>
      </c>
      <c r="B314" s="19"/>
      <c r="C314" s="15">
        <v>3.75</v>
      </c>
      <c r="D314" s="14"/>
      <c r="E314" s="15">
        <f t="shared" si="25"/>
        <v>280.66700000000003</v>
      </c>
      <c r="F314" s="14"/>
      <c r="G314" s="15">
        <f t="shared" si="24"/>
        <v>3.75</v>
      </c>
      <c r="H314" s="14"/>
      <c r="I314" s="15">
        <f t="shared" si="26"/>
        <v>419.16700000000003</v>
      </c>
      <c r="J314" s="14"/>
      <c r="K314" s="16"/>
    </row>
    <row r="315" spans="1:11" ht="12.6" customHeight="1" x14ac:dyDescent="0.2">
      <c r="A315" s="13"/>
      <c r="B315" s="19" t="s">
        <v>50</v>
      </c>
      <c r="C315" s="15"/>
      <c r="D315" s="14"/>
      <c r="E315" s="15">
        <f t="shared" si="25"/>
        <v>280.66700000000003</v>
      </c>
      <c r="F315" s="14"/>
      <c r="G315" s="15">
        <f t="shared" si="24"/>
        <v>0</v>
      </c>
      <c r="H315" s="14"/>
      <c r="I315" s="15">
        <f t="shared" si="26"/>
        <v>419.16700000000003</v>
      </c>
      <c r="J315" s="14"/>
      <c r="K315" s="13" t="s">
        <v>178</v>
      </c>
    </row>
    <row r="316" spans="1:11" ht="12.6" customHeight="1" x14ac:dyDescent="0.2">
      <c r="A316" s="13">
        <v>42743</v>
      </c>
      <c r="B316" s="19"/>
      <c r="C316" s="15">
        <v>3.75</v>
      </c>
      <c r="D316" s="14"/>
      <c r="E316" s="15">
        <f t="shared" si="25"/>
        <v>284.41700000000003</v>
      </c>
      <c r="F316" s="14"/>
      <c r="G316" s="15">
        <f t="shared" si="24"/>
        <v>3.75</v>
      </c>
      <c r="H316" s="14"/>
      <c r="I316" s="15">
        <f t="shared" si="26"/>
        <v>422.91700000000003</v>
      </c>
      <c r="J316" s="14"/>
      <c r="K316" s="13"/>
    </row>
    <row r="317" spans="1:11" ht="12.6" customHeight="1" x14ac:dyDescent="0.2">
      <c r="A317" s="13"/>
      <c r="B317" s="19" t="s">
        <v>47</v>
      </c>
      <c r="C317" s="15"/>
      <c r="D317" s="14"/>
      <c r="E317" s="15">
        <f t="shared" si="25"/>
        <v>284.41700000000003</v>
      </c>
      <c r="F317" s="14"/>
      <c r="G317" s="15">
        <f t="shared" si="24"/>
        <v>0</v>
      </c>
      <c r="H317" s="14">
        <v>1</v>
      </c>
      <c r="I317" s="15">
        <f t="shared" si="26"/>
        <v>421.91700000000003</v>
      </c>
      <c r="J317" s="14"/>
      <c r="K317" s="13">
        <v>42833</v>
      </c>
    </row>
    <row r="318" spans="1:11" ht="12.6" customHeight="1" x14ac:dyDescent="0.2">
      <c r="A318" s="13"/>
      <c r="B318" s="19" t="s">
        <v>74</v>
      </c>
      <c r="C318" s="15"/>
      <c r="D318" s="14">
        <v>1</v>
      </c>
      <c r="E318" s="15">
        <f t="shared" si="25"/>
        <v>283.41700000000003</v>
      </c>
      <c r="F318" s="14"/>
      <c r="G318" s="15">
        <f t="shared" si="24"/>
        <v>0</v>
      </c>
      <c r="H318" s="14"/>
      <c r="I318" s="15">
        <f t="shared" si="26"/>
        <v>421.91700000000003</v>
      </c>
      <c r="J318" s="14"/>
      <c r="K318" s="13" t="s">
        <v>179</v>
      </c>
    </row>
    <row r="319" spans="1:11" ht="12.6" customHeight="1" x14ac:dyDescent="0.2">
      <c r="A319" s="13">
        <v>42744</v>
      </c>
      <c r="B319" s="19"/>
      <c r="C319" s="15">
        <v>1.25</v>
      </c>
      <c r="D319" s="14"/>
      <c r="E319" s="15">
        <f t="shared" si="25"/>
        <v>284.66700000000003</v>
      </c>
      <c r="F319" s="14"/>
      <c r="G319" s="15">
        <f t="shared" si="24"/>
        <v>1.25</v>
      </c>
      <c r="H319" s="14"/>
      <c r="I319" s="15">
        <f t="shared" si="26"/>
        <v>423.16700000000003</v>
      </c>
      <c r="J319" s="14"/>
      <c r="K319" s="13"/>
    </row>
    <row r="320" spans="1:11" ht="12.6" customHeight="1" x14ac:dyDescent="0.2">
      <c r="A320" s="13"/>
      <c r="B320" s="19" t="s">
        <v>74</v>
      </c>
      <c r="C320" s="15"/>
      <c r="D320" s="14">
        <v>1</v>
      </c>
      <c r="E320" s="15">
        <f t="shared" si="25"/>
        <v>283.66700000000003</v>
      </c>
      <c r="F320" s="14"/>
      <c r="G320" s="15">
        <f t="shared" si="24"/>
        <v>0</v>
      </c>
      <c r="H320" s="14"/>
      <c r="I320" s="15">
        <f t="shared" si="26"/>
        <v>423.16700000000003</v>
      </c>
      <c r="J320" s="14"/>
      <c r="K320" s="13" t="s">
        <v>180</v>
      </c>
    </row>
    <row r="321" spans="1:11" ht="12.6" customHeight="1" x14ac:dyDescent="0.2">
      <c r="A321" s="13">
        <v>42746</v>
      </c>
      <c r="B321" s="19"/>
      <c r="C321" s="15">
        <v>2.5</v>
      </c>
      <c r="D321" s="15"/>
      <c r="E321" s="15">
        <f t="shared" si="25"/>
        <v>286.16700000000003</v>
      </c>
      <c r="F321" s="14"/>
      <c r="G321" s="15">
        <f t="shared" si="24"/>
        <v>2.5</v>
      </c>
      <c r="H321" s="14"/>
      <c r="I321" s="15">
        <f t="shared" si="26"/>
        <v>425.66700000000003</v>
      </c>
      <c r="J321" s="14"/>
      <c r="K321" s="13"/>
    </row>
    <row r="322" spans="1:11" ht="12.6" customHeight="1" x14ac:dyDescent="0.2">
      <c r="A322" s="13"/>
      <c r="B322" s="19" t="s">
        <v>76</v>
      </c>
      <c r="C322" s="15"/>
      <c r="D322" s="14">
        <v>2</v>
      </c>
      <c r="E322" s="15">
        <f t="shared" si="25"/>
        <v>284.16700000000003</v>
      </c>
      <c r="F322" s="14"/>
      <c r="G322" s="15">
        <f t="shared" si="24"/>
        <v>0</v>
      </c>
      <c r="H322" s="14"/>
      <c r="I322" s="15">
        <f t="shared" si="26"/>
        <v>425.66700000000003</v>
      </c>
      <c r="J322" s="14"/>
      <c r="K322" s="16" t="s">
        <v>181</v>
      </c>
    </row>
    <row r="323" spans="1:11" ht="12.6" customHeight="1" x14ac:dyDescent="0.2">
      <c r="A323" s="13">
        <v>43103</v>
      </c>
      <c r="B323" s="19"/>
      <c r="C323" s="15">
        <v>5</v>
      </c>
      <c r="D323" s="15"/>
      <c r="E323" s="15">
        <f t="shared" si="25"/>
        <v>289.16700000000003</v>
      </c>
      <c r="F323" s="14"/>
      <c r="G323" s="15">
        <f t="shared" si="24"/>
        <v>5</v>
      </c>
      <c r="H323" s="14"/>
      <c r="I323" s="15">
        <f t="shared" si="26"/>
        <v>430.66700000000003</v>
      </c>
      <c r="J323" s="14"/>
      <c r="K323" s="13"/>
    </row>
    <row r="324" spans="1:11" ht="12.6" customHeight="1" x14ac:dyDescent="0.2">
      <c r="A324" s="13"/>
      <c r="B324" s="19" t="s">
        <v>76</v>
      </c>
      <c r="C324" s="15"/>
      <c r="D324" s="14">
        <v>2</v>
      </c>
      <c r="E324" s="15">
        <f t="shared" si="25"/>
        <v>287.16700000000003</v>
      </c>
      <c r="F324" s="14"/>
      <c r="G324" s="15">
        <f t="shared" si="24"/>
        <v>0</v>
      </c>
      <c r="H324" s="14"/>
      <c r="I324" s="15">
        <f t="shared" si="26"/>
        <v>430.66700000000003</v>
      </c>
      <c r="J324" s="14"/>
      <c r="K324" s="16" t="s">
        <v>182</v>
      </c>
    </row>
    <row r="325" spans="1:11" ht="12.6" customHeight="1" x14ac:dyDescent="0.2">
      <c r="A325" s="13"/>
      <c r="B325" s="19" t="s">
        <v>76</v>
      </c>
      <c r="C325" s="15"/>
      <c r="D325" s="14">
        <v>2</v>
      </c>
      <c r="E325" s="15">
        <f t="shared" si="25"/>
        <v>285.16700000000003</v>
      </c>
      <c r="F325" s="14"/>
      <c r="G325" s="15">
        <f t="shared" si="24"/>
        <v>0</v>
      </c>
      <c r="H325" s="14"/>
      <c r="I325" s="15">
        <f t="shared" si="26"/>
        <v>430.66700000000003</v>
      </c>
      <c r="J325" s="14"/>
      <c r="K325" s="13" t="s">
        <v>183</v>
      </c>
    </row>
    <row r="326" spans="1:11" ht="12.6" customHeight="1" x14ac:dyDescent="0.2">
      <c r="A326" s="13">
        <v>43108</v>
      </c>
      <c r="B326" s="19"/>
      <c r="C326" s="15">
        <v>6.25</v>
      </c>
      <c r="D326" s="14"/>
      <c r="E326" s="15">
        <f t="shared" si="25"/>
        <v>291.41700000000003</v>
      </c>
      <c r="F326" s="14"/>
      <c r="G326" s="15">
        <f t="shared" si="24"/>
        <v>6.25</v>
      </c>
      <c r="H326" s="14"/>
      <c r="I326" s="15">
        <f t="shared" si="26"/>
        <v>436.91700000000003</v>
      </c>
      <c r="J326" s="14"/>
      <c r="K326" s="13"/>
    </row>
    <row r="327" spans="1:11" ht="12.6" customHeight="1" x14ac:dyDescent="0.2">
      <c r="A327" s="13"/>
      <c r="B327" s="19" t="s">
        <v>184</v>
      </c>
      <c r="C327" s="15"/>
      <c r="D327" s="14">
        <v>5</v>
      </c>
      <c r="E327" s="15">
        <f t="shared" si="25"/>
        <v>286.41700000000003</v>
      </c>
      <c r="F327" s="14"/>
      <c r="G327" s="15">
        <f t="shared" si="24"/>
        <v>0</v>
      </c>
      <c r="H327" s="14">
        <v>5</v>
      </c>
      <c r="I327" s="15">
        <f t="shared" si="26"/>
        <v>431.91700000000003</v>
      </c>
      <c r="J327" s="14"/>
      <c r="K327" s="13">
        <v>43313</v>
      </c>
    </row>
    <row r="328" spans="1:11" ht="12.6" customHeight="1" x14ac:dyDescent="0.2">
      <c r="A328" s="13">
        <v>43111</v>
      </c>
      <c r="B328" s="19"/>
      <c r="C328" s="15">
        <v>3.75</v>
      </c>
      <c r="D328" s="14"/>
      <c r="E328" s="15">
        <f t="shared" si="25"/>
        <v>290.16700000000003</v>
      </c>
      <c r="F328" s="14"/>
      <c r="G328" s="15">
        <f t="shared" si="24"/>
        <v>3.75</v>
      </c>
      <c r="H328" s="14"/>
      <c r="I328" s="15">
        <f t="shared" si="26"/>
        <v>435.66700000000003</v>
      </c>
      <c r="J328" s="14"/>
      <c r="K328" s="13"/>
    </row>
    <row r="329" spans="1:11" ht="12.6" customHeight="1" x14ac:dyDescent="0.2">
      <c r="A329" s="13"/>
      <c r="B329" s="19" t="s">
        <v>76</v>
      </c>
      <c r="C329" s="15"/>
      <c r="D329" s="14">
        <v>2</v>
      </c>
      <c r="E329" s="15">
        <f t="shared" si="25"/>
        <v>288.16700000000003</v>
      </c>
      <c r="F329" s="14"/>
      <c r="G329" s="15">
        <f t="shared" si="24"/>
        <v>0</v>
      </c>
      <c r="H329" s="14"/>
      <c r="I329" s="15">
        <f t="shared" si="26"/>
        <v>435.66700000000003</v>
      </c>
      <c r="J329" s="14"/>
      <c r="K329" s="16" t="s">
        <v>185</v>
      </c>
    </row>
    <row r="330" spans="1:11" ht="12.6" customHeight="1" x14ac:dyDescent="0.2">
      <c r="A330" s="19"/>
      <c r="B330" s="19"/>
      <c r="C330" s="36">
        <f>SUM(C304:C329)</f>
        <v>46.25</v>
      </c>
      <c r="D330" s="36">
        <f>SUM(D304:D329)</f>
        <v>26</v>
      </c>
      <c r="E330" s="36"/>
      <c r="F330" s="37"/>
      <c r="G330" s="36">
        <f>SUM(G304:G329)</f>
        <v>46.25</v>
      </c>
      <c r="H330" s="36">
        <f>SUM(H304:H329)</f>
        <v>6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NICASIO D. CATAPANG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APRIL 15, 1985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 t="s">
        <v>187</v>
      </c>
      <c r="C339" s="15"/>
      <c r="D339" s="14"/>
      <c r="E339" s="15">
        <f>E329+C339-D339</f>
        <v>288.16700000000003</v>
      </c>
      <c r="F339" s="14"/>
      <c r="G339" s="15">
        <f>C339</f>
        <v>0</v>
      </c>
      <c r="H339" s="14"/>
      <c r="I339" s="15">
        <f>I329+G339-H339</f>
        <v>435.66700000000003</v>
      </c>
      <c r="J339" s="14"/>
      <c r="K339" s="16" t="s">
        <v>186</v>
      </c>
    </row>
    <row r="340" spans="1:11" ht="12.6" customHeight="1" x14ac:dyDescent="0.2">
      <c r="A340" s="13">
        <v>43469</v>
      </c>
      <c r="B340" s="19"/>
      <c r="C340" s="15">
        <v>6.25</v>
      </c>
      <c r="D340" s="14"/>
      <c r="E340" s="15">
        <f>E339+C340-D340</f>
        <v>294.41700000000003</v>
      </c>
      <c r="F340" s="14"/>
      <c r="G340" s="15">
        <f t="shared" ref="G340:G364" si="27">C340</f>
        <v>6.25</v>
      </c>
      <c r="H340" s="14"/>
      <c r="I340" s="15">
        <f>I339+G340-H340</f>
        <v>441.91700000000003</v>
      </c>
      <c r="J340" s="14"/>
      <c r="K340" s="13"/>
    </row>
    <row r="341" spans="1:11" ht="12.6" customHeight="1" x14ac:dyDescent="0.2">
      <c r="A341" s="13"/>
      <c r="B341" s="19" t="s">
        <v>190</v>
      </c>
      <c r="C341" s="15"/>
      <c r="D341" s="14"/>
      <c r="E341" s="15">
        <f t="shared" ref="E341:E364" si="28">E340+C341-D341</f>
        <v>294.41700000000003</v>
      </c>
      <c r="F341" s="14"/>
      <c r="G341" s="15">
        <f t="shared" si="27"/>
        <v>0</v>
      </c>
      <c r="H341" s="14"/>
      <c r="I341" s="15">
        <f t="shared" ref="I341:I364" si="29">I340+G341-H341</f>
        <v>441.91700000000003</v>
      </c>
      <c r="J341" s="14"/>
      <c r="K341" s="13" t="s">
        <v>188</v>
      </c>
    </row>
    <row r="342" spans="1:11" ht="12.6" customHeight="1" x14ac:dyDescent="0.2">
      <c r="A342" s="13"/>
      <c r="B342" s="19" t="s">
        <v>47</v>
      </c>
      <c r="C342" s="15"/>
      <c r="D342" s="14"/>
      <c r="E342" s="15">
        <f t="shared" si="28"/>
        <v>294.41700000000003</v>
      </c>
      <c r="F342" s="14"/>
      <c r="G342" s="15">
        <f t="shared" si="27"/>
        <v>0</v>
      </c>
      <c r="H342" s="14">
        <v>1</v>
      </c>
      <c r="I342" s="15">
        <f t="shared" si="29"/>
        <v>440.91700000000003</v>
      </c>
      <c r="J342" s="14"/>
      <c r="K342" s="13" t="s">
        <v>189</v>
      </c>
    </row>
    <row r="343" spans="1:11" ht="12.6" customHeight="1" x14ac:dyDescent="0.2">
      <c r="A343" s="13">
        <v>43475</v>
      </c>
      <c r="B343" s="19"/>
      <c r="C343" s="15">
        <v>7.5</v>
      </c>
      <c r="D343" s="14"/>
      <c r="E343" s="15">
        <f t="shared" si="28"/>
        <v>301.91700000000003</v>
      </c>
      <c r="F343" s="14"/>
      <c r="G343" s="15">
        <f t="shared" si="27"/>
        <v>7.5</v>
      </c>
      <c r="H343" s="14"/>
      <c r="I343" s="15">
        <f t="shared" si="29"/>
        <v>448.41700000000003</v>
      </c>
      <c r="J343" s="14"/>
      <c r="K343" s="13"/>
    </row>
    <row r="344" spans="1:11" ht="12.6" customHeight="1" x14ac:dyDescent="0.2">
      <c r="A344" s="13"/>
      <c r="B344" s="19" t="s">
        <v>74</v>
      </c>
      <c r="C344" s="15"/>
      <c r="D344" s="14">
        <v>1</v>
      </c>
      <c r="E344" s="15">
        <f t="shared" si="28"/>
        <v>300.91700000000003</v>
      </c>
      <c r="F344" s="14"/>
      <c r="G344" s="15">
        <f t="shared" si="27"/>
        <v>0</v>
      </c>
      <c r="H344" s="14"/>
      <c r="I344" s="15">
        <f t="shared" si="29"/>
        <v>448.41700000000003</v>
      </c>
      <c r="J344" s="14"/>
      <c r="K344" s="13" t="s">
        <v>191</v>
      </c>
    </row>
    <row r="345" spans="1:11" ht="12.6" customHeight="1" x14ac:dyDescent="0.2">
      <c r="A345" s="13">
        <v>43476</v>
      </c>
      <c r="B345" s="19"/>
      <c r="C345" s="15">
        <v>1.25</v>
      </c>
      <c r="D345" s="14"/>
      <c r="E345" s="15">
        <f t="shared" si="28"/>
        <v>302.16700000000003</v>
      </c>
      <c r="F345" s="14"/>
      <c r="G345" s="15">
        <f t="shared" si="27"/>
        <v>1.25</v>
      </c>
      <c r="H345" s="14"/>
      <c r="I345" s="15">
        <f t="shared" si="29"/>
        <v>449.66700000000003</v>
      </c>
      <c r="J345" s="14"/>
      <c r="K345" s="13"/>
    </row>
    <row r="346" spans="1:11" ht="12.6" customHeight="1" x14ac:dyDescent="0.2">
      <c r="A346" s="13"/>
      <c r="B346" s="19" t="s">
        <v>76</v>
      </c>
      <c r="C346" s="15"/>
      <c r="D346" s="14">
        <v>2</v>
      </c>
      <c r="E346" s="15">
        <f t="shared" si="28"/>
        <v>300.16700000000003</v>
      </c>
      <c r="F346" s="14"/>
      <c r="G346" s="15">
        <f t="shared" si="27"/>
        <v>0</v>
      </c>
      <c r="H346" s="14"/>
      <c r="I346" s="15">
        <f t="shared" si="29"/>
        <v>449.66700000000003</v>
      </c>
      <c r="J346" s="14"/>
      <c r="K346" s="13" t="s">
        <v>192</v>
      </c>
    </row>
    <row r="347" spans="1:11" ht="12.6" customHeight="1" x14ac:dyDescent="0.2">
      <c r="A347" s="13">
        <v>43477</v>
      </c>
      <c r="B347" s="19"/>
      <c r="C347" s="15">
        <v>1.25</v>
      </c>
      <c r="D347" s="14"/>
      <c r="E347" s="15">
        <f t="shared" si="28"/>
        <v>301.41700000000003</v>
      </c>
      <c r="F347" s="14"/>
      <c r="G347" s="15">
        <f t="shared" si="27"/>
        <v>1.25</v>
      </c>
      <c r="H347" s="14"/>
      <c r="I347" s="15">
        <f t="shared" si="29"/>
        <v>450.91700000000003</v>
      </c>
      <c r="J347" s="14"/>
      <c r="K347" s="13"/>
    </row>
    <row r="348" spans="1:11" ht="12.6" customHeight="1" x14ac:dyDescent="0.2">
      <c r="A348" s="13"/>
      <c r="B348" s="19" t="s">
        <v>95</v>
      </c>
      <c r="C348" s="15"/>
      <c r="D348" s="14">
        <v>3</v>
      </c>
      <c r="E348" s="15">
        <f t="shared" si="28"/>
        <v>298.41700000000003</v>
      </c>
      <c r="F348" s="14"/>
      <c r="G348" s="15">
        <f t="shared" si="27"/>
        <v>0</v>
      </c>
      <c r="H348" s="14"/>
      <c r="I348" s="15">
        <f t="shared" si="29"/>
        <v>450.91700000000003</v>
      </c>
      <c r="J348" s="14"/>
      <c r="K348" s="16" t="s">
        <v>193</v>
      </c>
    </row>
    <row r="349" spans="1:11" ht="12.6" customHeight="1" x14ac:dyDescent="0.2">
      <c r="A349" s="13">
        <v>43842</v>
      </c>
      <c r="B349" s="19"/>
      <c r="C349" s="15">
        <v>15</v>
      </c>
      <c r="D349" s="14"/>
      <c r="E349" s="15">
        <f t="shared" si="28"/>
        <v>313.41700000000003</v>
      </c>
      <c r="F349" s="14"/>
      <c r="G349" s="15">
        <f t="shared" si="27"/>
        <v>15</v>
      </c>
      <c r="H349" s="14"/>
      <c r="I349" s="15">
        <f t="shared" si="29"/>
        <v>465.91700000000003</v>
      </c>
      <c r="J349" s="14"/>
      <c r="K349" s="13"/>
    </row>
    <row r="350" spans="1:11" ht="12.6" customHeight="1" x14ac:dyDescent="0.2">
      <c r="A350" s="13"/>
      <c r="B350" s="19" t="s">
        <v>195</v>
      </c>
      <c r="C350" s="15"/>
      <c r="D350" s="14"/>
      <c r="E350" s="15">
        <f t="shared" si="28"/>
        <v>313.41700000000003</v>
      </c>
      <c r="F350" s="14"/>
      <c r="G350" s="15">
        <f t="shared" si="27"/>
        <v>0</v>
      </c>
      <c r="H350" s="14"/>
      <c r="I350" s="15">
        <f t="shared" si="29"/>
        <v>465.91700000000003</v>
      </c>
      <c r="J350" s="14"/>
      <c r="K350" s="13" t="s">
        <v>194</v>
      </c>
    </row>
    <row r="351" spans="1:11" ht="12.6" customHeight="1" x14ac:dyDescent="0.2">
      <c r="A351" s="13">
        <v>44202</v>
      </c>
      <c r="B351" s="19"/>
      <c r="C351" s="15">
        <v>7.5</v>
      </c>
      <c r="D351" s="14"/>
      <c r="E351" s="15">
        <f t="shared" si="28"/>
        <v>320.91700000000003</v>
      </c>
      <c r="F351" s="14"/>
      <c r="G351" s="15">
        <f t="shared" si="27"/>
        <v>7.5</v>
      </c>
      <c r="H351" s="14"/>
      <c r="I351" s="15">
        <f t="shared" si="29"/>
        <v>473.41700000000003</v>
      </c>
      <c r="J351" s="14"/>
      <c r="K351" s="13"/>
    </row>
    <row r="352" spans="1:11" ht="12.6" customHeight="1" x14ac:dyDescent="0.2">
      <c r="A352" s="13"/>
      <c r="B352" s="19" t="s">
        <v>81</v>
      </c>
      <c r="C352" s="15"/>
      <c r="D352" s="14"/>
      <c r="E352" s="15">
        <f t="shared" si="28"/>
        <v>320.91700000000003</v>
      </c>
      <c r="F352" s="14"/>
      <c r="G352" s="15">
        <f t="shared" si="27"/>
        <v>0</v>
      </c>
      <c r="H352" s="14"/>
      <c r="I352" s="15">
        <f t="shared" si="29"/>
        <v>473.41700000000003</v>
      </c>
      <c r="J352" s="14"/>
      <c r="K352" s="13" t="s">
        <v>196</v>
      </c>
    </row>
    <row r="353" spans="1:11" ht="12.6" customHeight="1" x14ac:dyDescent="0.2">
      <c r="A353" s="13">
        <v>44208</v>
      </c>
      <c r="B353" s="19"/>
      <c r="C353" s="15">
        <v>7.5</v>
      </c>
      <c r="D353" s="14"/>
      <c r="E353" s="15">
        <f t="shared" si="28"/>
        <v>328.41700000000003</v>
      </c>
      <c r="F353" s="14"/>
      <c r="G353" s="15">
        <f t="shared" si="27"/>
        <v>7.5</v>
      </c>
      <c r="H353" s="14"/>
      <c r="I353" s="15">
        <f t="shared" si="29"/>
        <v>480.91700000000003</v>
      </c>
      <c r="J353" s="14"/>
      <c r="K353" s="13"/>
    </row>
    <row r="354" spans="1:11" ht="12.6" customHeight="1" x14ac:dyDescent="0.2">
      <c r="A354" s="13"/>
      <c r="B354" s="19" t="s">
        <v>195</v>
      </c>
      <c r="C354" s="15"/>
      <c r="D354" s="14"/>
      <c r="E354" s="15">
        <f t="shared" si="28"/>
        <v>328.41700000000003</v>
      </c>
      <c r="F354" s="14"/>
      <c r="G354" s="15">
        <f t="shared" si="27"/>
        <v>0</v>
      </c>
      <c r="H354" s="14"/>
      <c r="I354" s="15">
        <f t="shared" si="29"/>
        <v>480.91700000000003</v>
      </c>
      <c r="J354" s="14"/>
      <c r="K354" s="13" t="s">
        <v>197</v>
      </c>
    </row>
    <row r="355" spans="1:11" ht="12.6" customHeight="1" x14ac:dyDescent="0.2">
      <c r="A355" s="13">
        <v>44563</v>
      </c>
      <c r="B355" s="19"/>
      <c r="C355" s="15">
        <v>2.5</v>
      </c>
      <c r="D355" s="14"/>
      <c r="E355" s="15">
        <f t="shared" si="28"/>
        <v>330.91700000000003</v>
      </c>
      <c r="F355" s="14"/>
      <c r="G355" s="15">
        <f t="shared" si="27"/>
        <v>2.5</v>
      </c>
      <c r="H355" s="14"/>
      <c r="I355" s="15">
        <f t="shared" si="29"/>
        <v>483.41700000000003</v>
      </c>
      <c r="J355" s="14"/>
      <c r="K355" s="13"/>
    </row>
    <row r="356" spans="1:11" ht="12.6" customHeight="1" x14ac:dyDescent="0.2">
      <c r="A356" s="13"/>
      <c r="B356" s="19" t="s">
        <v>199</v>
      </c>
      <c r="C356" s="15"/>
      <c r="D356" s="15"/>
      <c r="E356" s="15">
        <f t="shared" si="28"/>
        <v>330.91700000000003</v>
      </c>
      <c r="F356" s="14"/>
      <c r="G356" s="15">
        <f t="shared" si="27"/>
        <v>0</v>
      </c>
      <c r="H356" s="14">
        <v>19</v>
      </c>
      <c r="I356" s="15">
        <f t="shared" si="29"/>
        <v>464.41700000000003</v>
      </c>
      <c r="J356" s="14"/>
      <c r="K356" s="13" t="s">
        <v>198</v>
      </c>
    </row>
    <row r="357" spans="1:11" ht="12.6" customHeight="1" x14ac:dyDescent="0.2">
      <c r="A357" s="13">
        <v>44573</v>
      </c>
      <c r="B357" s="19"/>
      <c r="C357" s="15">
        <v>12.5</v>
      </c>
      <c r="D357" s="14"/>
      <c r="E357" s="15">
        <f t="shared" si="28"/>
        <v>343.41700000000003</v>
      </c>
      <c r="F357" s="14"/>
      <c r="G357" s="15">
        <f t="shared" si="27"/>
        <v>12.5</v>
      </c>
      <c r="H357" s="14"/>
      <c r="I357" s="15">
        <f t="shared" si="29"/>
        <v>476.91700000000003</v>
      </c>
      <c r="J357" s="14"/>
      <c r="K357" s="16"/>
    </row>
    <row r="358" spans="1:11" ht="12.6" customHeight="1" x14ac:dyDescent="0.2">
      <c r="A358" s="13"/>
      <c r="B358" s="19" t="s">
        <v>195</v>
      </c>
      <c r="C358" s="15"/>
      <c r="D358" s="15"/>
      <c r="E358" s="15">
        <f t="shared" si="28"/>
        <v>343.41700000000003</v>
      </c>
      <c r="F358" s="14"/>
      <c r="G358" s="15">
        <f t="shared" si="27"/>
        <v>0</v>
      </c>
      <c r="H358" s="14"/>
      <c r="I358" s="15">
        <f t="shared" si="29"/>
        <v>476.91700000000003</v>
      </c>
      <c r="J358" s="14"/>
      <c r="K358" s="13" t="s">
        <v>200</v>
      </c>
    </row>
    <row r="359" spans="1:11" ht="12.6" customHeight="1" x14ac:dyDescent="0.2">
      <c r="A359" s="13">
        <v>44930</v>
      </c>
      <c r="B359" s="19"/>
      <c r="C359" s="15">
        <v>5</v>
      </c>
      <c r="D359" s="14"/>
      <c r="E359" s="15">
        <f t="shared" si="28"/>
        <v>348.41700000000003</v>
      </c>
      <c r="F359" s="14"/>
      <c r="G359" s="15">
        <f t="shared" si="27"/>
        <v>5</v>
      </c>
      <c r="H359" s="14"/>
      <c r="I359" s="15">
        <f t="shared" si="29"/>
        <v>481.91700000000003</v>
      </c>
      <c r="J359" s="14"/>
      <c r="K359" s="13"/>
    </row>
    <row r="360" spans="1:11" ht="12.6" customHeight="1" x14ac:dyDescent="0.2">
      <c r="A360" s="13"/>
      <c r="B360" s="19" t="s">
        <v>81</v>
      </c>
      <c r="C360" s="15"/>
      <c r="D360" s="14"/>
      <c r="E360" s="15">
        <f t="shared" si="28"/>
        <v>348.41700000000003</v>
      </c>
      <c r="F360" s="14"/>
      <c r="G360" s="15">
        <f t="shared" si="27"/>
        <v>0</v>
      </c>
      <c r="H360" s="14"/>
      <c r="I360" s="15">
        <f t="shared" si="29"/>
        <v>481.91700000000003</v>
      </c>
      <c r="J360" s="14"/>
      <c r="K360" s="13" t="s">
        <v>201</v>
      </c>
    </row>
    <row r="361" spans="1:11" ht="12.6" customHeight="1" x14ac:dyDescent="0.2">
      <c r="A361" s="13">
        <v>44931</v>
      </c>
      <c r="B361" s="19"/>
      <c r="C361" s="15">
        <v>1.25</v>
      </c>
      <c r="D361" s="14"/>
      <c r="E361" s="15">
        <f t="shared" si="28"/>
        <v>349.66700000000003</v>
      </c>
      <c r="F361" s="14"/>
      <c r="G361" s="15">
        <f t="shared" si="27"/>
        <v>1.25</v>
      </c>
      <c r="H361" s="14"/>
      <c r="I361" s="15">
        <f t="shared" si="29"/>
        <v>483.16700000000003</v>
      </c>
      <c r="J361" s="14"/>
      <c r="K361" s="13"/>
    </row>
    <row r="362" spans="1:11" ht="12.6" customHeight="1" x14ac:dyDescent="0.2">
      <c r="A362" s="13"/>
      <c r="B362" s="19" t="s">
        <v>100</v>
      </c>
      <c r="C362" s="15"/>
      <c r="D362" s="14"/>
      <c r="E362" s="15">
        <f t="shared" si="28"/>
        <v>349.66700000000003</v>
      </c>
      <c r="F362" s="14"/>
      <c r="G362" s="15">
        <f t="shared" si="27"/>
        <v>0</v>
      </c>
      <c r="H362" s="14"/>
      <c r="I362" s="15">
        <f t="shared" si="29"/>
        <v>483.16700000000003</v>
      </c>
      <c r="J362" s="14"/>
      <c r="K362" s="13" t="s">
        <v>202</v>
      </c>
    </row>
    <row r="363" spans="1:11" ht="12.6" customHeight="1" x14ac:dyDescent="0.2">
      <c r="A363" s="13">
        <v>44937</v>
      </c>
      <c r="B363" s="19"/>
      <c r="C363" s="15">
        <v>7.5</v>
      </c>
      <c r="D363" s="14"/>
      <c r="E363" s="15">
        <f t="shared" si="28"/>
        <v>357.16700000000003</v>
      </c>
      <c r="F363" s="14"/>
      <c r="G363" s="15">
        <f t="shared" si="27"/>
        <v>7.5</v>
      </c>
      <c r="H363" s="14"/>
      <c r="I363" s="15">
        <f t="shared" si="29"/>
        <v>490.66700000000003</v>
      </c>
      <c r="J363" s="14"/>
      <c r="K363" s="13"/>
    </row>
    <row r="364" spans="1:11" ht="12.6" customHeight="1" x14ac:dyDescent="0.2">
      <c r="A364" s="13"/>
      <c r="B364" s="19" t="s">
        <v>81</v>
      </c>
      <c r="C364" s="15"/>
      <c r="D364" s="14"/>
      <c r="E364" s="15">
        <f t="shared" si="28"/>
        <v>357.16700000000003</v>
      </c>
      <c r="F364" s="14"/>
      <c r="G364" s="15">
        <f t="shared" si="27"/>
        <v>0</v>
      </c>
      <c r="H364" s="14"/>
      <c r="I364" s="15">
        <f t="shared" si="29"/>
        <v>490.66700000000003</v>
      </c>
      <c r="J364" s="14"/>
      <c r="K364" s="16" t="s">
        <v>164</v>
      </c>
    </row>
    <row r="365" spans="1:11" ht="12.6" customHeight="1" x14ac:dyDescent="0.2">
      <c r="A365" s="19"/>
      <c r="B365" s="19"/>
      <c r="C365" s="36">
        <f>SUM(C339:C364)</f>
        <v>75</v>
      </c>
      <c r="D365" s="36">
        <f>SUM(D339:D364)</f>
        <v>6</v>
      </c>
      <c r="E365" s="36"/>
      <c r="F365" s="37"/>
      <c r="G365" s="36">
        <f>SUM(G339:G364)</f>
        <v>75</v>
      </c>
      <c r="H365" s="36">
        <f>SUM(H339:H364)</f>
        <v>20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NICASIO D. CATAPANG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APRIL 15, 1985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 t="s">
        <v>57</v>
      </c>
      <c r="C378" s="15"/>
      <c r="D378" s="14">
        <v>1</v>
      </c>
      <c r="E378" s="15">
        <f>E364+C378-D378</f>
        <v>356.16700000000003</v>
      </c>
      <c r="F378" s="14"/>
      <c r="G378" s="15">
        <f>C378</f>
        <v>0</v>
      </c>
      <c r="H378" s="14"/>
      <c r="I378" s="15">
        <f>I364+G378-H378</f>
        <v>490.66700000000003</v>
      </c>
      <c r="J378" s="14"/>
      <c r="K378" s="16" t="s">
        <v>203</v>
      </c>
    </row>
    <row r="379" spans="1:11" ht="12.6" customHeight="1" x14ac:dyDescent="0.2">
      <c r="A379" s="13">
        <v>44938</v>
      </c>
      <c r="B379" s="19"/>
      <c r="C379" s="15">
        <v>1.25</v>
      </c>
      <c r="D379" s="14"/>
      <c r="E379" s="15">
        <f>E378+C379-D379</f>
        <v>357.41700000000003</v>
      </c>
      <c r="F379" s="14"/>
      <c r="G379" s="15">
        <f t="shared" ref="G379:G389" si="30">C379</f>
        <v>1.25</v>
      </c>
      <c r="H379" s="14"/>
      <c r="I379" s="15">
        <f>I378+G379-H379</f>
        <v>491.91700000000003</v>
      </c>
      <c r="J379" s="14"/>
      <c r="K379" s="13"/>
    </row>
    <row r="380" spans="1:11" ht="12.6" customHeight="1" x14ac:dyDescent="0.2">
      <c r="A380" s="13"/>
      <c r="B380" s="19" t="s">
        <v>205</v>
      </c>
      <c r="C380" s="15"/>
      <c r="D380" s="14"/>
      <c r="E380" s="15">
        <f t="shared" ref="E380:E389" si="31">E379+C380-D380</f>
        <v>357.41700000000003</v>
      </c>
      <c r="F380" s="14"/>
      <c r="G380" s="15">
        <f t="shared" si="30"/>
        <v>0</v>
      </c>
      <c r="H380" s="14"/>
      <c r="I380" s="15">
        <f t="shared" ref="I380:I389" si="32">I379+G380-H380</f>
        <v>491.91700000000003</v>
      </c>
      <c r="J380" s="14"/>
      <c r="K380" s="13" t="s">
        <v>204</v>
      </c>
    </row>
    <row r="381" spans="1:11" ht="12.6" customHeight="1" x14ac:dyDescent="0.2">
      <c r="A381" s="13">
        <v>45301</v>
      </c>
      <c r="B381" s="19"/>
      <c r="C381" s="15">
        <v>12.5</v>
      </c>
      <c r="D381" s="14"/>
      <c r="E381" s="15">
        <f t="shared" si="31"/>
        <v>369.91700000000003</v>
      </c>
      <c r="F381" s="14"/>
      <c r="G381" s="15">
        <f t="shared" si="30"/>
        <v>12.5</v>
      </c>
      <c r="H381" s="14"/>
      <c r="I381" s="15">
        <f t="shared" si="32"/>
        <v>504.41700000000003</v>
      </c>
      <c r="J381" s="14"/>
      <c r="K381" s="16"/>
    </row>
    <row r="382" spans="1:11" ht="12.6" customHeight="1" x14ac:dyDescent="0.2">
      <c r="A382" s="13"/>
      <c r="B382" s="19" t="s">
        <v>95</v>
      </c>
      <c r="C382" s="15"/>
      <c r="D382" s="14">
        <v>3</v>
      </c>
      <c r="E382" s="15">
        <f t="shared" si="31"/>
        <v>366.91700000000003</v>
      </c>
      <c r="F382" s="14"/>
      <c r="G382" s="15">
        <f t="shared" si="30"/>
        <v>0</v>
      </c>
      <c r="H382" s="14"/>
      <c r="I382" s="15">
        <f t="shared" si="32"/>
        <v>504.41700000000003</v>
      </c>
      <c r="J382" s="14"/>
      <c r="K382" s="13" t="s">
        <v>206</v>
      </c>
    </row>
    <row r="383" spans="1:11" ht="12.6" customHeight="1" x14ac:dyDescent="0.2">
      <c r="A383" s="13">
        <v>45302</v>
      </c>
      <c r="B383" s="19"/>
      <c r="C383" s="15">
        <v>1.25</v>
      </c>
      <c r="D383" s="14"/>
      <c r="E383" s="15">
        <f t="shared" si="31"/>
        <v>368.16700000000003</v>
      </c>
      <c r="F383" s="14"/>
      <c r="G383" s="15">
        <f t="shared" si="30"/>
        <v>1.25</v>
      </c>
      <c r="H383" s="14"/>
      <c r="I383" s="15">
        <f t="shared" si="32"/>
        <v>505.66700000000003</v>
      </c>
      <c r="J383" s="14"/>
      <c r="K383" s="16"/>
    </row>
    <row r="384" spans="1:11" ht="12.6" customHeight="1" x14ac:dyDescent="0.2">
      <c r="A384" s="13"/>
      <c r="B384" s="19" t="s">
        <v>50</v>
      </c>
      <c r="C384" s="15"/>
      <c r="D384" s="14"/>
      <c r="E384" s="15">
        <f t="shared" si="31"/>
        <v>368.16700000000003</v>
      </c>
      <c r="F384" s="14"/>
      <c r="G384" s="15">
        <f t="shared" si="30"/>
        <v>0</v>
      </c>
      <c r="H384" s="14"/>
      <c r="I384" s="15">
        <f t="shared" si="32"/>
        <v>505.66700000000003</v>
      </c>
      <c r="J384" s="14"/>
      <c r="K384" s="13" t="s">
        <v>207</v>
      </c>
    </row>
    <row r="385" spans="1:11" ht="12.6" customHeight="1" x14ac:dyDescent="0.2">
      <c r="A385" s="13">
        <v>45303</v>
      </c>
      <c r="B385" s="19"/>
      <c r="C385" s="15">
        <v>1.25</v>
      </c>
      <c r="D385" s="14"/>
      <c r="E385" s="15">
        <f t="shared" si="31"/>
        <v>369.41700000000003</v>
      </c>
      <c r="F385" s="14"/>
      <c r="G385" s="15">
        <f t="shared" si="30"/>
        <v>1.25</v>
      </c>
      <c r="H385" s="14"/>
      <c r="I385" s="15">
        <f t="shared" si="32"/>
        <v>506.91700000000003</v>
      </c>
      <c r="J385" s="14"/>
      <c r="K385" s="13"/>
    </row>
    <row r="386" spans="1:11" ht="12.6" customHeight="1" x14ac:dyDescent="0.2">
      <c r="A386" s="13"/>
      <c r="B386" s="19" t="s">
        <v>170</v>
      </c>
      <c r="C386" s="15"/>
      <c r="D386" s="14"/>
      <c r="E386" s="15">
        <f t="shared" si="31"/>
        <v>369.41700000000003</v>
      </c>
      <c r="F386" s="14"/>
      <c r="G386" s="15">
        <f t="shared" si="30"/>
        <v>0</v>
      </c>
      <c r="H386" s="14"/>
      <c r="I386" s="15">
        <f t="shared" si="32"/>
        <v>506.91700000000003</v>
      </c>
      <c r="J386" s="14"/>
      <c r="K386" s="16" t="s">
        <v>208</v>
      </c>
    </row>
    <row r="387" spans="1:11" ht="12.6" customHeight="1" x14ac:dyDescent="0.2">
      <c r="A387" s="13">
        <v>45665</v>
      </c>
      <c r="B387" s="19"/>
      <c r="C387" s="15">
        <v>10</v>
      </c>
      <c r="D387" s="14"/>
      <c r="E387" s="15">
        <f t="shared" si="31"/>
        <v>379.41700000000003</v>
      </c>
      <c r="F387" s="14"/>
      <c r="G387" s="15">
        <f t="shared" si="30"/>
        <v>10</v>
      </c>
      <c r="H387" s="14"/>
      <c r="I387" s="15">
        <f t="shared" si="32"/>
        <v>516.91700000000003</v>
      </c>
      <c r="J387" s="14"/>
      <c r="K387" s="16"/>
    </row>
    <row r="388" spans="1:11" ht="12.6" customHeight="1" x14ac:dyDescent="0.2">
      <c r="A388" s="13"/>
      <c r="B388" s="19" t="s">
        <v>74</v>
      </c>
      <c r="C388" s="15"/>
      <c r="D388" s="14">
        <v>1</v>
      </c>
      <c r="E388" s="15">
        <f t="shared" si="31"/>
        <v>378.41700000000003</v>
      </c>
      <c r="F388" s="14"/>
      <c r="G388" s="15">
        <f t="shared" si="30"/>
        <v>0</v>
      </c>
      <c r="H388" s="14"/>
      <c r="I388" s="15">
        <f t="shared" si="32"/>
        <v>516.91700000000003</v>
      </c>
      <c r="J388" s="14"/>
      <c r="K388" s="16" t="s">
        <v>209</v>
      </c>
    </row>
    <row r="389" spans="1:11" ht="12.6" customHeight="1" x14ac:dyDescent="0.2">
      <c r="A389" s="13">
        <v>46023</v>
      </c>
      <c r="B389" s="19"/>
      <c r="C389" s="15">
        <v>6.25</v>
      </c>
      <c r="D389" s="14"/>
      <c r="E389" s="15">
        <f t="shared" si="31"/>
        <v>384.66700000000003</v>
      </c>
      <c r="F389" s="14"/>
      <c r="G389" s="15">
        <f t="shared" si="30"/>
        <v>6.25</v>
      </c>
      <c r="H389" s="14"/>
      <c r="I389" s="15">
        <f t="shared" si="32"/>
        <v>523.16700000000003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/>
      <c r="F390" s="14"/>
      <c r="G390" s="15"/>
      <c r="H390" s="14"/>
      <c r="I390" s="15"/>
      <c r="J390" s="14"/>
      <c r="K390" s="13"/>
    </row>
    <row r="391" spans="1:11" ht="12.6" customHeight="1" x14ac:dyDescent="0.2">
      <c r="A391" s="13"/>
      <c r="B391" s="19"/>
      <c r="C391" s="15"/>
      <c r="D391" s="14"/>
      <c r="E391" s="15"/>
      <c r="F391" s="14"/>
      <c r="G391" s="15"/>
      <c r="H391" s="14"/>
      <c r="I391" s="15"/>
      <c r="J391" s="14"/>
      <c r="K391" s="13"/>
    </row>
    <row r="392" spans="1:11" ht="12.6" customHeight="1" x14ac:dyDescent="0.2">
      <c r="A392" s="13"/>
      <c r="B392" s="19"/>
      <c r="C392" s="15"/>
      <c r="D392" s="14"/>
      <c r="E392" s="15"/>
      <c r="F392" s="14"/>
      <c r="G392" s="15"/>
      <c r="H392" s="14"/>
      <c r="I392" s="15"/>
      <c r="J392" s="14"/>
      <c r="K392" s="13"/>
    </row>
    <row r="393" spans="1:11" ht="12.6" customHeight="1" x14ac:dyDescent="0.2">
      <c r="A393" s="13"/>
      <c r="B393" s="19"/>
      <c r="C393" s="15"/>
      <c r="D393" s="14"/>
      <c r="E393" s="15"/>
      <c r="F393" s="14"/>
      <c r="G393" s="15"/>
      <c r="H393" s="14"/>
      <c r="I393" s="15"/>
      <c r="J393" s="14"/>
      <c r="K393" s="13"/>
    </row>
    <row r="394" spans="1:11" ht="12.6" customHeight="1" x14ac:dyDescent="0.2">
      <c r="A394" s="13"/>
      <c r="B394" s="19"/>
      <c r="C394" s="15"/>
      <c r="D394" s="14"/>
      <c r="E394" s="15"/>
      <c r="F394" s="14"/>
      <c r="G394" s="15"/>
      <c r="H394" s="14"/>
      <c r="I394" s="15"/>
      <c r="J394" s="14"/>
      <c r="K394" s="13"/>
    </row>
    <row r="395" spans="1:11" ht="12.6" customHeight="1" x14ac:dyDescent="0.2">
      <c r="A395" s="13"/>
      <c r="B395" s="19"/>
      <c r="C395" s="15"/>
      <c r="D395" s="15"/>
      <c r="E395" s="15"/>
      <c r="F395" s="14"/>
      <c r="G395" s="15"/>
      <c r="H395" s="14"/>
      <c r="I395" s="15"/>
      <c r="J395" s="14"/>
      <c r="K395" s="13"/>
    </row>
    <row r="396" spans="1:11" ht="12.6" customHeight="1" x14ac:dyDescent="0.2">
      <c r="A396" s="13"/>
      <c r="B396" s="19"/>
      <c r="C396" s="15"/>
      <c r="D396" s="14"/>
      <c r="E396" s="15"/>
      <c r="F396" s="14"/>
      <c r="G396" s="15"/>
      <c r="H396" s="14"/>
      <c r="I396" s="15"/>
      <c r="J396" s="14"/>
      <c r="K396" s="16"/>
    </row>
    <row r="397" spans="1:11" ht="12.6" customHeight="1" x14ac:dyDescent="0.2">
      <c r="A397" s="16"/>
      <c r="B397" s="19"/>
      <c r="C397" s="15"/>
      <c r="D397" s="15"/>
      <c r="E397" s="15"/>
      <c r="F397" s="14"/>
      <c r="G397" s="15"/>
      <c r="H397" s="14"/>
      <c r="I397" s="15"/>
      <c r="J397" s="14"/>
      <c r="K397" s="13"/>
    </row>
    <row r="398" spans="1:11" ht="12.6" customHeight="1" x14ac:dyDescent="0.2">
      <c r="A398" s="13"/>
      <c r="B398" s="19"/>
      <c r="C398" s="15"/>
      <c r="D398" s="14"/>
      <c r="E398" s="15"/>
      <c r="F398" s="14"/>
      <c r="G398" s="15"/>
      <c r="H398" s="14"/>
      <c r="I398" s="15"/>
      <c r="J398" s="14"/>
      <c r="K398" s="16"/>
    </row>
    <row r="399" spans="1:11" ht="12.6" customHeight="1" x14ac:dyDescent="0.2">
      <c r="A399" s="13"/>
      <c r="B399" s="19"/>
      <c r="C399" s="15"/>
      <c r="D399" s="14"/>
      <c r="E399" s="15"/>
      <c r="F399" s="14"/>
      <c r="G399" s="15"/>
      <c r="H399" s="14"/>
      <c r="I399" s="15"/>
      <c r="J399" s="14"/>
      <c r="K399" s="13"/>
    </row>
    <row r="400" spans="1:11" ht="12.6" customHeight="1" x14ac:dyDescent="0.2">
      <c r="A400" s="13"/>
      <c r="B400" s="19"/>
      <c r="C400" s="15"/>
      <c r="D400" s="14"/>
      <c r="E400" s="15"/>
      <c r="F400" s="14"/>
      <c r="G400" s="15"/>
      <c r="H400" s="14"/>
      <c r="I400" s="15"/>
      <c r="J400" s="14"/>
      <c r="K400" s="13"/>
    </row>
    <row r="401" spans="1:11" ht="12.6" customHeight="1" x14ac:dyDescent="0.2">
      <c r="A401" s="13"/>
      <c r="B401" s="19"/>
      <c r="C401" s="15"/>
      <c r="D401" s="14"/>
      <c r="E401" s="15"/>
      <c r="F401" s="14"/>
      <c r="G401" s="15"/>
      <c r="H401" s="14"/>
      <c r="I401" s="15"/>
      <c r="J401" s="14"/>
      <c r="K401" s="13"/>
    </row>
    <row r="402" spans="1:11" ht="12.6" customHeight="1" x14ac:dyDescent="0.2">
      <c r="A402" s="13"/>
      <c r="B402" s="19"/>
      <c r="C402" s="15"/>
      <c r="D402" s="14"/>
      <c r="E402" s="15"/>
      <c r="F402" s="14"/>
      <c r="G402" s="15"/>
      <c r="H402" s="14"/>
      <c r="I402" s="15"/>
      <c r="J402" s="14"/>
      <c r="K402" s="16"/>
    </row>
    <row r="403" spans="1:11" ht="12.6" customHeight="1" x14ac:dyDescent="0.2">
      <c r="A403" s="13"/>
      <c r="B403" s="19"/>
      <c r="C403" s="15"/>
      <c r="D403" s="14"/>
      <c r="E403" s="15"/>
      <c r="F403" s="14"/>
      <c r="G403" s="15"/>
      <c r="H403" s="14"/>
      <c r="I403" s="15"/>
      <c r="J403" s="14"/>
      <c r="K403" s="16"/>
    </row>
    <row r="404" spans="1:11" ht="12.6" customHeight="1" x14ac:dyDescent="0.2">
      <c r="A404" s="19"/>
      <c r="B404" s="19"/>
      <c r="C404" s="36">
        <f>SUM(C378:C403)</f>
        <v>32.5</v>
      </c>
      <c r="D404" s="36">
        <f>SUM(D378:D403)</f>
        <v>5</v>
      </c>
      <c r="E404" s="36"/>
      <c r="F404" s="37"/>
      <c r="G404" s="36">
        <f>SUM(G378:G403)</f>
        <v>32.5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NICASIO D. CATAPANG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APRIL 15, 1985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/>
      <c r="F413" s="14"/>
      <c r="G413" s="15"/>
      <c r="H413" s="14"/>
      <c r="I413" s="15"/>
      <c r="J413" s="14"/>
      <c r="K413" s="16"/>
    </row>
    <row r="414" spans="1:11" ht="12.6" customHeight="1" x14ac:dyDescent="0.2">
      <c r="A414" s="13"/>
      <c r="B414" s="19"/>
      <c r="C414" s="15"/>
      <c r="D414" s="14"/>
      <c r="E414" s="15"/>
      <c r="F414" s="14"/>
      <c r="G414" s="15"/>
      <c r="H414" s="14"/>
      <c r="I414" s="15"/>
      <c r="J414" s="14"/>
      <c r="K414" s="13"/>
    </row>
    <row r="415" spans="1:11" ht="12.6" customHeight="1" x14ac:dyDescent="0.2">
      <c r="A415" s="13"/>
      <c r="B415" s="19"/>
      <c r="C415" s="15"/>
      <c r="D415" s="14"/>
      <c r="E415" s="15"/>
      <c r="F415" s="14"/>
      <c r="G415" s="15"/>
      <c r="H415" s="14"/>
      <c r="I415" s="15"/>
      <c r="J415" s="14"/>
      <c r="K415" s="13"/>
    </row>
    <row r="416" spans="1:11" ht="12.6" customHeight="1" x14ac:dyDescent="0.2">
      <c r="A416" s="13"/>
      <c r="B416" s="19"/>
      <c r="C416" s="15"/>
      <c r="D416" s="14"/>
      <c r="E416" s="15"/>
      <c r="F416" s="14"/>
      <c r="G416" s="15"/>
      <c r="H416" s="14"/>
      <c r="I416" s="15"/>
      <c r="J416" s="14"/>
      <c r="K416" s="16"/>
    </row>
    <row r="417" spans="1:11" ht="12.6" customHeight="1" x14ac:dyDescent="0.2">
      <c r="A417" s="13"/>
      <c r="B417" s="19"/>
      <c r="C417" s="15"/>
      <c r="D417" s="14"/>
      <c r="E417" s="15"/>
      <c r="F417" s="14"/>
      <c r="G417" s="15"/>
      <c r="H417" s="14"/>
      <c r="I417" s="15"/>
      <c r="J417" s="14"/>
      <c r="K417" s="13"/>
    </row>
    <row r="418" spans="1:11" ht="12.6" customHeight="1" x14ac:dyDescent="0.2">
      <c r="A418" s="13"/>
      <c r="B418" s="19"/>
      <c r="C418" s="15"/>
      <c r="D418" s="14"/>
      <c r="E418" s="15"/>
      <c r="F418" s="14"/>
      <c r="G418" s="15"/>
      <c r="H418" s="14"/>
      <c r="I418" s="15"/>
      <c r="J418" s="14"/>
      <c r="K418" s="16"/>
    </row>
    <row r="419" spans="1:11" ht="12.6" customHeight="1" x14ac:dyDescent="0.2">
      <c r="A419" s="13"/>
      <c r="B419" s="19"/>
      <c r="C419" s="15"/>
      <c r="D419" s="14"/>
      <c r="E419" s="15"/>
      <c r="F419" s="14"/>
      <c r="G419" s="15"/>
      <c r="H419" s="14"/>
      <c r="I419" s="15"/>
      <c r="J419" s="14"/>
      <c r="K419" s="13"/>
    </row>
    <row r="420" spans="1:11" ht="12.6" customHeight="1" x14ac:dyDescent="0.2">
      <c r="A420" s="13"/>
      <c r="B420" s="19"/>
      <c r="C420" s="15"/>
      <c r="D420" s="14"/>
      <c r="E420" s="15"/>
      <c r="F420" s="14"/>
      <c r="G420" s="15"/>
      <c r="H420" s="14"/>
      <c r="I420" s="15"/>
      <c r="J420" s="14"/>
      <c r="K420" s="13"/>
    </row>
    <row r="421" spans="1:11" ht="12.6" customHeight="1" x14ac:dyDescent="0.2">
      <c r="A421" s="13"/>
      <c r="B421" s="19"/>
      <c r="C421" s="15"/>
      <c r="D421" s="14"/>
      <c r="E421" s="15"/>
      <c r="F421" s="14"/>
      <c r="G421" s="15"/>
      <c r="H421" s="14"/>
      <c r="I421" s="15"/>
      <c r="J421" s="14"/>
      <c r="K421" s="16"/>
    </row>
    <row r="422" spans="1:11" ht="12.6" customHeight="1" x14ac:dyDescent="0.2">
      <c r="A422" s="13"/>
      <c r="B422" s="19"/>
      <c r="C422" s="15"/>
      <c r="D422" s="14"/>
      <c r="E422" s="15"/>
      <c r="F422" s="14"/>
      <c r="G422" s="15"/>
      <c r="H422" s="14"/>
      <c r="I422" s="15"/>
      <c r="J422" s="14"/>
      <c r="K422" s="16"/>
    </row>
    <row r="423" spans="1:11" ht="12.6" customHeight="1" x14ac:dyDescent="0.2">
      <c r="A423" s="13"/>
      <c r="B423" s="19"/>
      <c r="C423" s="15"/>
      <c r="D423" s="14"/>
      <c r="E423" s="15"/>
      <c r="F423" s="14"/>
      <c r="G423" s="15"/>
      <c r="H423" s="14"/>
      <c r="I423" s="15"/>
      <c r="J423" s="14"/>
      <c r="K423" s="16"/>
    </row>
    <row r="424" spans="1:11" ht="12.6" customHeight="1" x14ac:dyDescent="0.2">
      <c r="A424" s="13"/>
      <c r="B424" s="19"/>
      <c r="C424" s="15"/>
      <c r="D424" s="14"/>
      <c r="E424" s="15"/>
      <c r="F424" s="14"/>
      <c r="G424" s="15"/>
      <c r="H424" s="14"/>
      <c r="I424" s="15"/>
      <c r="J424" s="14"/>
      <c r="K424" s="13"/>
    </row>
    <row r="425" spans="1:11" ht="12.6" customHeight="1" x14ac:dyDescent="0.2">
      <c r="A425" s="13"/>
      <c r="B425" s="19"/>
      <c r="C425" s="15"/>
      <c r="D425" s="14"/>
      <c r="E425" s="15"/>
      <c r="F425" s="14"/>
      <c r="G425" s="15"/>
      <c r="H425" s="14"/>
      <c r="I425" s="15"/>
      <c r="J425" s="14"/>
      <c r="K425" s="13"/>
    </row>
    <row r="426" spans="1:11" ht="12.6" customHeight="1" x14ac:dyDescent="0.2">
      <c r="A426" s="13"/>
      <c r="B426" s="19"/>
      <c r="C426" s="15"/>
      <c r="D426" s="14"/>
      <c r="E426" s="15"/>
      <c r="F426" s="14"/>
      <c r="G426" s="15"/>
      <c r="H426" s="14"/>
      <c r="I426" s="15"/>
      <c r="J426" s="14"/>
      <c r="K426" s="13"/>
    </row>
    <row r="427" spans="1:11" ht="12.6" customHeight="1" x14ac:dyDescent="0.2">
      <c r="A427" s="13"/>
      <c r="B427" s="19"/>
      <c r="C427" s="15"/>
      <c r="D427" s="14"/>
      <c r="E427" s="15"/>
      <c r="F427" s="14"/>
      <c r="G427" s="15"/>
      <c r="H427" s="14"/>
      <c r="I427" s="15"/>
      <c r="J427" s="14"/>
      <c r="K427" s="13"/>
    </row>
    <row r="428" spans="1:11" ht="12.6" customHeight="1" x14ac:dyDescent="0.2">
      <c r="A428" s="13"/>
      <c r="B428" s="19"/>
      <c r="C428" s="15"/>
      <c r="D428" s="14"/>
      <c r="E428" s="15"/>
      <c r="F428" s="14"/>
      <c r="G428" s="15"/>
      <c r="H428" s="14"/>
      <c r="I428" s="15"/>
      <c r="J428" s="14"/>
      <c r="K428" s="13"/>
    </row>
    <row r="429" spans="1:11" ht="12.6" customHeight="1" x14ac:dyDescent="0.2">
      <c r="A429" s="13"/>
      <c r="B429" s="19"/>
      <c r="C429" s="15"/>
      <c r="D429" s="14"/>
      <c r="E429" s="15"/>
      <c r="F429" s="14"/>
      <c r="G429" s="15"/>
      <c r="H429" s="14"/>
      <c r="I429" s="15"/>
      <c r="J429" s="14"/>
      <c r="K429" s="13"/>
    </row>
    <row r="430" spans="1:11" ht="12.6" customHeight="1" x14ac:dyDescent="0.2">
      <c r="A430" s="13"/>
      <c r="B430" s="19"/>
      <c r="C430" s="15"/>
      <c r="D430" s="15"/>
      <c r="E430" s="15"/>
      <c r="F430" s="14"/>
      <c r="G430" s="15"/>
      <c r="H430" s="14"/>
      <c r="I430" s="15"/>
      <c r="J430" s="14"/>
      <c r="K430" s="13"/>
    </row>
    <row r="431" spans="1:11" ht="12.6" customHeight="1" x14ac:dyDescent="0.2">
      <c r="A431" s="13"/>
      <c r="B431" s="19"/>
      <c r="C431" s="15"/>
      <c r="D431" s="14"/>
      <c r="E431" s="15"/>
      <c r="F431" s="14"/>
      <c r="G431" s="15"/>
      <c r="H431" s="14"/>
      <c r="I431" s="15"/>
      <c r="J431" s="14"/>
      <c r="K431" s="16"/>
    </row>
    <row r="432" spans="1:11" ht="12.6" customHeight="1" x14ac:dyDescent="0.2">
      <c r="A432" s="13"/>
      <c r="B432" s="19"/>
      <c r="C432" s="15"/>
      <c r="D432" s="15"/>
      <c r="E432" s="15"/>
      <c r="F432" s="14"/>
      <c r="G432" s="15"/>
      <c r="H432" s="14"/>
      <c r="I432" s="15"/>
      <c r="J432" s="14"/>
      <c r="K432" s="13"/>
    </row>
    <row r="433" spans="1:11" ht="12.6" customHeight="1" x14ac:dyDescent="0.2">
      <c r="A433" s="13"/>
      <c r="B433" s="19"/>
      <c r="C433" s="15"/>
      <c r="D433" s="14"/>
      <c r="E433" s="15"/>
      <c r="F433" s="14"/>
      <c r="G433" s="15"/>
      <c r="H433" s="14"/>
      <c r="I433" s="15"/>
      <c r="J433" s="14"/>
      <c r="K433" s="13"/>
    </row>
    <row r="434" spans="1:11" ht="12.6" customHeight="1" x14ac:dyDescent="0.2">
      <c r="A434" s="13"/>
      <c r="B434" s="19"/>
      <c r="C434" s="15"/>
      <c r="D434" s="14"/>
      <c r="E434" s="15"/>
      <c r="F434" s="14"/>
      <c r="G434" s="15"/>
      <c r="H434" s="14"/>
      <c r="I434" s="15"/>
      <c r="J434" s="14"/>
      <c r="K434" s="13"/>
    </row>
    <row r="435" spans="1:11" ht="12.6" customHeight="1" x14ac:dyDescent="0.2">
      <c r="A435" s="13"/>
      <c r="B435" s="19"/>
      <c r="C435" s="15"/>
      <c r="D435" s="14"/>
      <c r="E435" s="15"/>
      <c r="F435" s="14"/>
      <c r="G435" s="15"/>
      <c r="H435" s="14"/>
      <c r="I435" s="15"/>
      <c r="J435" s="14"/>
      <c r="K435" s="13"/>
    </row>
    <row r="436" spans="1:11" ht="12.6" customHeight="1" x14ac:dyDescent="0.2">
      <c r="A436" s="13"/>
      <c r="B436" s="19"/>
      <c r="C436" s="15"/>
      <c r="D436" s="14"/>
      <c r="E436" s="15"/>
      <c r="F436" s="14"/>
      <c r="G436" s="15"/>
      <c r="H436" s="14"/>
      <c r="I436" s="15"/>
      <c r="J436" s="14"/>
      <c r="K436" s="13"/>
    </row>
    <row r="437" spans="1:11" ht="12.6" customHeight="1" x14ac:dyDescent="0.2">
      <c r="A437" s="13"/>
      <c r="B437" s="19"/>
      <c r="C437" s="15"/>
      <c r="D437" s="14"/>
      <c r="E437" s="15"/>
      <c r="F437" s="14"/>
      <c r="G437" s="15"/>
      <c r="H437" s="14"/>
      <c r="I437" s="15"/>
      <c r="J437" s="14"/>
      <c r="K437" s="16"/>
    </row>
    <row r="438" spans="1:11" ht="12.6" customHeight="1" x14ac:dyDescent="0.2">
      <c r="A438" s="13"/>
      <c r="B438" s="19"/>
      <c r="C438" s="15"/>
      <c r="D438" s="14"/>
      <c r="E438" s="15"/>
      <c r="F438" s="14"/>
      <c r="G438" s="15"/>
      <c r="H438" s="14"/>
      <c r="I438" s="15"/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NICASIO D. CATAPANG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APRIL 15, 1985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0</v>
      </c>
      <c r="F452" s="14"/>
      <c r="G452" s="15">
        <f>C452</f>
        <v>0</v>
      </c>
      <c r="H452" s="14"/>
      <c r="I452" s="15">
        <f>I438+G452-H452</f>
        <v>0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0</v>
      </c>
      <c r="F453" s="14"/>
      <c r="G453" s="15">
        <f t="shared" ref="G453:G477" si="33">C453</f>
        <v>0</v>
      </c>
      <c r="H453" s="14"/>
      <c r="I453" s="15">
        <f>I452+G453-H453</f>
        <v>0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4">E453+C454-D454</f>
        <v>0</v>
      </c>
      <c r="F454" s="14"/>
      <c r="G454" s="15">
        <f t="shared" si="33"/>
        <v>0</v>
      </c>
      <c r="H454" s="14"/>
      <c r="I454" s="15">
        <f t="shared" ref="I454:I477" si="35">I453+G454-H454</f>
        <v>0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4"/>
        <v>0</v>
      </c>
      <c r="F455" s="14"/>
      <c r="G455" s="15">
        <f t="shared" si="33"/>
        <v>0</v>
      </c>
      <c r="H455" s="14"/>
      <c r="I455" s="15">
        <f t="shared" si="35"/>
        <v>0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4"/>
        <v>0</v>
      </c>
      <c r="F456" s="14"/>
      <c r="G456" s="15">
        <f t="shared" si="33"/>
        <v>0</v>
      </c>
      <c r="H456" s="14"/>
      <c r="I456" s="15">
        <f t="shared" si="35"/>
        <v>0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4"/>
        <v>0</v>
      </c>
      <c r="F457" s="14"/>
      <c r="G457" s="15">
        <f t="shared" si="33"/>
        <v>0</v>
      </c>
      <c r="H457" s="14"/>
      <c r="I457" s="15">
        <f t="shared" si="35"/>
        <v>0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4"/>
        <v>0</v>
      </c>
      <c r="F458" s="14"/>
      <c r="G458" s="15">
        <f t="shared" si="33"/>
        <v>0</v>
      </c>
      <c r="H458" s="14"/>
      <c r="I458" s="15">
        <f t="shared" si="35"/>
        <v>0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4"/>
        <v>0</v>
      </c>
      <c r="F459" s="14"/>
      <c r="G459" s="15">
        <f t="shared" si="33"/>
        <v>0</v>
      </c>
      <c r="H459" s="14"/>
      <c r="I459" s="15">
        <f t="shared" si="35"/>
        <v>0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4"/>
        <v>0</v>
      </c>
      <c r="F460" s="14"/>
      <c r="G460" s="15">
        <f t="shared" si="33"/>
        <v>0</v>
      </c>
      <c r="H460" s="14"/>
      <c r="I460" s="15">
        <f t="shared" si="35"/>
        <v>0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4"/>
        <v>0</v>
      </c>
      <c r="F461" s="14"/>
      <c r="G461" s="15">
        <f t="shared" si="33"/>
        <v>0</v>
      </c>
      <c r="H461" s="14"/>
      <c r="I461" s="15">
        <f t="shared" si="35"/>
        <v>0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4"/>
        <v>0</v>
      </c>
      <c r="F462" s="14"/>
      <c r="G462" s="15">
        <f t="shared" si="33"/>
        <v>0</v>
      </c>
      <c r="H462" s="14"/>
      <c r="I462" s="15">
        <f t="shared" si="35"/>
        <v>0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4"/>
        <v>0</v>
      </c>
      <c r="F463" s="14"/>
      <c r="G463" s="15">
        <f t="shared" si="33"/>
        <v>0</v>
      </c>
      <c r="H463" s="14"/>
      <c r="I463" s="15">
        <f t="shared" si="35"/>
        <v>0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4"/>
        <v>0</v>
      </c>
      <c r="F464" s="14"/>
      <c r="G464" s="15">
        <f t="shared" si="33"/>
        <v>0</v>
      </c>
      <c r="H464" s="14"/>
      <c r="I464" s="15">
        <f t="shared" si="35"/>
        <v>0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4"/>
        <v>0</v>
      </c>
      <c r="F465" s="14"/>
      <c r="G465" s="15">
        <f t="shared" si="33"/>
        <v>0</v>
      </c>
      <c r="H465" s="14"/>
      <c r="I465" s="15">
        <f t="shared" si="35"/>
        <v>0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4"/>
        <v>0</v>
      </c>
      <c r="F466" s="14"/>
      <c r="G466" s="15">
        <f t="shared" si="33"/>
        <v>0</v>
      </c>
      <c r="H466" s="14"/>
      <c r="I466" s="15">
        <f t="shared" si="35"/>
        <v>0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4"/>
        <v>0</v>
      </c>
      <c r="F467" s="14"/>
      <c r="G467" s="15">
        <f t="shared" si="33"/>
        <v>0</v>
      </c>
      <c r="H467" s="14"/>
      <c r="I467" s="15">
        <f t="shared" si="35"/>
        <v>0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4"/>
        <v>0</v>
      </c>
      <c r="F468" s="14"/>
      <c r="G468" s="15">
        <f t="shared" si="33"/>
        <v>0</v>
      </c>
      <c r="H468" s="14"/>
      <c r="I468" s="15">
        <f t="shared" si="35"/>
        <v>0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4"/>
        <v>0</v>
      </c>
      <c r="F469" s="14"/>
      <c r="G469" s="15">
        <f t="shared" si="33"/>
        <v>0</v>
      </c>
      <c r="H469" s="14"/>
      <c r="I469" s="15">
        <f t="shared" si="35"/>
        <v>0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4"/>
        <v>0</v>
      </c>
      <c r="F470" s="14"/>
      <c r="G470" s="15">
        <f t="shared" si="33"/>
        <v>0</v>
      </c>
      <c r="H470" s="14"/>
      <c r="I470" s="15">
        <f t="shared" si="35"/>
        <v>0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4"/>
        <v>0</v>
      </c>
      <c r="F471" s="14"/>
      <c r="G471" s="15">
        <f t="shared" si="33"/>
        <v>0</v>
      </c>
      <c r="H471" s="14"/>
      <c r="I471" s="15">
        <f t="shared" si="35"/>
        <v>0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4"/>
        <v>0</v>
      </c>
      <c r="F472" s="14"/>
      <c r="G472" s="15">
        <f t="shared" si="33"/>
        <v>0</v>
      </c>
      <c r="H472" s="14"/>
      <c r="I472" s="15">
        <f t="shared" si="35"/>
        <v>0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4"/>
        <v>0</v>
      </c>
      <c r="F473" s="14"/>
      <c r="G473" s="15">
        <f t="shared" si="33"/>
        <v>0</v>
      </c>
      <c r="H473" s="14"/>
      <c r="I473" s="15">
        <f t="shared" si="35"/>
        <v>0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4"/>
        <v>0</v>
      </c>
      <c r="F474" s="14"/>
      <c r="G474" s="15">
        <f t="shared" si="33"/>
        <v>0</v>
      </c>
      <c r="H474" s="14"/>
      <c r="I474" s="15">
        <f t="shared" si="35"/>
        <v>0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4"/>
        <v>0</v>
      </c>
      <c r="F475" s="14"/>
      <c r="G475" s="15">
        <f t="shared" si="33"/>
        <v>0</v>
      </c>
      <c r="H475" s="14"/>
      <c r="I475" s="15">
        <f t="shared" si="35"/>
        <v>0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4"/>
        <v>0</v>
      </c>
      <c r="F476" s="14"/>
      <c r="G476" s="15">
        <f t="shared" si="33"/>
        <v>0</v>
      </c>
      <c r="H476" s="14"/>
      <c r="I476" s="15">
        <f t="shared" si="35"/>
        <v>0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4"/>
        <v>0</v>
      </c>
      <c r="F477" s="14"/>
      <c r="G477" s="15">
        <f t="shared" si="33"/>
        <v>0</v>
      </c>
      <c r="H477" s="14"/>
      <c r="I477" s="15">
        <f t="shared" si="35"/>
        <v>0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NICASIO D. CATAPANG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APRIL 15, 1985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0</v>
      </c>
      <c r="F487" s="14"/>
      <c r="G487" s="15"/>
      <c r="H487" s="14"/>
      <c r="I487" s="15">
        <f>I477+G487-H487</f>
        <v>0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0</v>
      </c>
      <c r="F488" s="14"/>
      <c r="G488" s="15"/>
      <c r="H488" s="14"/>
      <c r="I488" s="15">
        <f>I487+G488-H488</f>
        <v>0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6">E488+C489-D489</f>
        <v>0</v>
      </c>
      <c r="F489" s="14"/>
      <c r="G489" s="15"/>
      <c r="H489" s="14"/>
      <c r="I489" s="15">
        <f t="shared" ref="I489:I512" si="37">I488+G489-H489</f>
        <v>0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6"/>
        <v>0</v>
      </c>
      <c r="F490" s="14"/>
      <c r="G490" s="15"/>
      <c r="H490" s="14"/>
      <c r="I490" s="15">
        <f t="shared" si="37"/>
        <v>0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6"/>
        <v>0</v>
      </c>
      <c r="F491" s="14"/>
      <c r="G491" s="15"/>
      <c r="H491" s="14"/>
      <c r="I491" s="15">
        <f t="shared" si="37"/>
        <v>0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6"/>
        <v>0</v>
      </c>
      <c r="F492" s="14"/>
      <c r="G492" s="15"/>
      <c r="H492" s="14"/>
      <c r="I492" s="15">
        <f t="shared" si="37"/>
        <v>0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6"/>
        <v>0</v>
      </c>
      <c r="F493" s="14"/>
      <c r="G493" s="15"/>
      <c r="H493" s="14"/>
      <c r="I493" s="15">
        <f t="shared" si="37"/>
        <v>0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6"/>
        <v>0</v>
      </c>
      <c r="F494" s="14"/>
      <c r="G494" s="15"/>
      <c r="H494" s="14"/>
      <c r="I494" s="15">
        <f t="shared" si="37"/>
        <v>0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6"/>
        <v>0</v>
      </c>
      <c r="F495" s="14"/>
      <c r="G495" s="15"/>
      <c r="H495" s="14"/>
      <c r="I495" s="15">
        <f t="shared" si="37"/>
        <v>0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6"/>
        <v>0</v>
      </c>
      <c r="F496" s="14"/>
      <c r="G496" s="15"/>
      <c r="H496" s="14"/>
      <c r="I496" s="15">
        <f t="shared" si="37"/>
        <v>0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6"/>
        <v>0</v>
      </c>
      <c r="F497" s="14"/>
      <c r="G497" s="15"/>
      <c r="H497" s="14"/>
      <c r="I497" s="15">
        <f t="shared" si="37"/>
        <v>0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6"/>
        <v>0</v>
      </c>
      <c r="F498" s="14"/>
      <c r="G498" s="15"/>
      <c r="H498" s="14"/>
      <c r="I498" s="15">
        <f t="shared" si="37"/>
        <v>0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6"/>
        <v>0</v>
      </c>
      <c r="F499" s="14"/>
      <c r="G499" s="15"/>
      <c r="H499" s="14"/>
      <c r="I499" s="15">
        <f t="shared" si="37"/>
        <v>0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6"/>
        <v>0</v>
      </c>
      <c r="F500" s="14"/>
      <c r="G500" s="15"/>
      <c r="H500" s="14"/>
      <c r="I500" s="15">
        <f t="shared" si="37"/>
        <v>0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6"/>
        <v>0</v>
      </c>
      <c r="F501" s="14"/>
      <c r="G501" s="15"/>
      <c r="H501" s="14"/>
      <c r="I501" s="15">
        <f t="shared" si="37"/>
        <v>0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6"/>
        <v>0</v>
      </c>
      <c r="F502" s="14"/>
      <c r="G502" s="15"/>
      <c r="H502" s="14"/>
      <c r="I502" s="15">
        <f t="shared" si="37"/>
        <v>0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6"/>
        <v>0</v>
      </c>
      <c r="F503" s="14"/>
      <c r="G503" s="15"/>
      <c r="H503" s="14"/>
      <c r="I503" s="15">
        <f t="shared" si="37"/>
        <v>0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6"/>
        <v>0</v>
      </c>
      <c r="F504" s="14"/>
      <c r="G504" s="15"/>
      <c r="H504" s="14"/>
      <c r="I504" s="15">
        <f t="shared" si="37"/>
        <v>0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6"/>
        <v>0</v>
      </c>
      <c r="F505" s="14"/>
      <c r="G505" s="15"/>
      <c r="H505" s="14"/>
      <c r="I505" s="15">
        <f t="shared" si="37"/>
        <v>0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6"/>
        <v>0</v>
      </c>
      <c r="F506" s="14"/>
      <c r="G506" s="15"/>
      <c r="H506" s="14"/>
      <c r="I506" s="15">
        <f t="shared" si="37"/>
        <v>0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6"/>
        <v>0</v>
      </c>
      <c r="F507" s="14"/>
      <c r="G507" s="15"/>
      <c r="H507" s="14"/>
      <c r="I507" s="15">
        <f t="shared" si="37"/>
        <v>0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6"/>
        <v>0</v>
      </c>
      <c r="F508" s="14"/>
      <c r="G508" s="15"/>
      <c r="H508" s="14"/>
      <c r="I508" s="15">
        <f t="shared" si="37"/>
        <v>0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6"/>
        <v>0</v>
      </c>
      <c r="F509" s="14"/>
      <c r="G509" s="15"/>
      <c r="H509" s="14"/>
      <c r="I509" s="15">
        <f t="shared" si="37"/>
        <v>0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6"/>
        <v>0</v>
      </c>
      <c r="F510" s="14"/>
      <c r="G510" s="15"/>
      <c r="H510" s="14"/>
      <c r="I510" s="15">
        <f t="shared" si="37"/>
        <v>0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6"/>
        <v>0</v>
      </c>
      <c r="F511" s="14"/>
      <c r="G511" s="15"/>
      <c r="H511" s="14"/>
      <c r="I511" s="15">
        <f t="shared" si="37"/>
        <v>0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6"/>
        <v>0</v>
      </c>
      <c r="F512" s="14"/>
      <c r="G512" s="15"/>
      <c r="H512" s="14"/>
      <c r="I512" s="15">
        <f t="shared" si="37"/>
        <v>0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NICASIO D. CATAPANG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APRIL 15, 1985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0</v>
      </c>
      <c r="F526" s="14"/>
      <c r="G526" s="15"/>
      <c r="H526" s="14"/>
      <c r="I526" s="15">
        <f>I512+G526-H526</f>
        <v>0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0</v>
      </c>
      <c r="F527" s="14"/>
      <c r="G527" s="15"/>
      <c r="H527" s="14"/>
      <c r="I527" s="15">
        <f>I526+G527-H527</f>
        <v>0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38">E527+C528-D528</f>
        <v>0</v>
      </c>
      <c r="F528" s="14"/>
      <c r="G528" s="15"/>
      <c r="H528" s="14"/>
      <c r="I528" s="15">
        <f t="shared" ref="I528:I551" si="39">I527+G528-H528</f>
        <v>0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38"/>
        <v>0</v>
      </c>
      <c r="F529" s="14"/>
      <c r="G529" s="15"/>
      <c r="H529" s="14"/>
      <c r="I529" s="15">
        <f t="shared" si="39"/>
        <v>0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38"/>
        <v>0</v>
      </c>
      <c r="F530" s="14"/>
      <c r="G530" s="15"/>
      <c r="H530" s="14"/>
      <c r="I530" s="15">
        <f t="shared" si="39"/>
        <v>0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38"/>
        <v>0</v>
      </c>
      <c r="F531" s="14"/>
      <c r="G531" s="15"/>
      <c r="H531" s="14"/>
      <c r="I531" s="15">
        <f t="shared" si="39"/>
        <v>0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38"/>
        <v>0</v>
      </c>
      <c r="F532" s="14"/>
      <c r="G532" s="15"/>
      <c r="H532" s="14"/>
      <c r="I532" s="15">
        <f t="shared" si="39"/>
        <v>0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38"/>
        <v>0</v>
      </c>
      <c r="F533" s="14"/>
      <c r="G533" s="15"/>
      <c r="H533" s="14"/>
      <c r="I533" s="15">
        <f t="shared" si="39"/>
        <v>0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38"/>
        <v>0</v>
      </c>
      <c r="F534" s="14"/>
      <c r="G534" s="15"/>
      <c r="H534" s="14"/>
      <c r="I534" s="15">
        <f t="shared" si="39"/>
        <v>0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38"/>
        <v>0</v>
      </c>
      <c r="F535" s="14"/>
      <c r="G535" s="15"/>
      <c r="H535" s="14"/>
      <c r="I535" s="15">
        <f t="shared" si="39"/>
        <v>0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38"/>
        <v>0</v>
      </c>
      <c r="F536" s="14"/>
      <c r="G536" s="15"/>
      <c r="H536" s="14"/>
      <c r="I536" s="15">
        <f t="shared" si="39"/>
        <v>0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38"/>
        <v>0</v>
      </c>
      <c r="F537" s="14"/>
      <c r="G537" s="15"/>
      <c r="H537" s="14"/>
      <c r="I537" s="15">
        <f t="shared" si="39"/>
        <v>0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38"/>
        <v>0</v>
      </c>
      <c r="F538" s="14"/>
      <c r="G538" s="15"/>
      <c r="H538" s="14"/>
      <c r="I538" s="15">
        <f t="shared" si="39"/>
        <v>0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38"/>
        <v>0</v>
      </c>
      <c r="F539" s="14"/>
      <c r="G539" s="15"/>
      <c r="H539" s="14"/>
      <c r="I539" s="15">
        <f t="shared" si="39"/>
        <v>0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38"/>
        <v>0</v>
      </c>
      <c r="F540" s="14"/>
      <c r="G540" s="15"/>
      <c r="H540" s="14"/>
      <c r="I540" s="15">
        <f t="shared" si="39"/>
        <v>0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38"/>
        <v>0</v>
      </c>
      <c r="F541" s="14"/>
      <c r="G541" s="15"/>
      <c r="H541" s="14"/>
      <c r="I541" s="15">
        <f t="shared" si="39"/>
        <v>0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38"/>
        <v>0</v>
      </c>
      <c r="F542" s="14"/>
      <c r="G542" s="15"/>
      <c r="H542" s="14"/>
      <c r="I542" s="15">
        <f t="shared" si="39"/>
        <v>0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38"/>
        <v>0</v>
      </c>
      <c r="F543" s="14"/>
      <c r="G543" s="15"/>
      <c r="H543" s="14"/>
      <c r="I543" s="15">
        <f t="shared" si="39"/>
        <v>0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38"/>
        <v>0</v>
      </c>
      <c r="F544" s="14"/>
      <c r="G544" s="15"/>
      <c r="H544" s="14"/>
      <c r="I544" s="15">
        <f t="shared" si="39"/>
        <v>0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38"/>
        <v>0</v>
      </c>
      <c r="F545" s="14"/>
      <c r="G545" s="15"/>
      <c r="H545" s="14"/>
      <c r="I545" s="15">
        <f t="shared" si="39"/>
        <v>0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38"/>
        <v>0</v>
      </c>
      <c r="F546" s="14"/>
      <c r="G546" s="15"/>
      <c r="H546" s="14"/>
      <c r="I546" s="15">
        <f t="shared" si="39"/>
        <v>0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38"/>
        <v>0</v>
      </c>
      <c r="F547" s="14"/>
      <c r="G547" s="15"/>
      <c r="H547" s="14"/>
      <c r="I547" s="15">
        <f t="shared" si="39"/>
        <v>0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38"/>
        <v>0</v>
      </c>
      <c r="F548" s="14"/>
      <c r="G548" s="15"/>
      <c r="H548" s="14"/>
      <c r="I548" s="15">
        <f t="shared" si="39"/>
        <v>0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38"/>
        <v>0</v>
      </c>
      <c r="F549" s="14"/>
      <c r="G549" s="15"/>
      <c r="H549" s="14"/>
      <c r="I549" s="15">
        <f t="shared" si="39"/>
        <v>0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38"/>
        <v>0</v>
      </c>
      <c r="F550" s="14"/>
      <c r="G550" s="15"/>
      <c r="H550" s="14"/>
      <c r="I550" s="15">
        <f t="shared" si="39"/>
        <v>0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38"/>
        <v>0</v>
      </c>
      <c r="F551" s="14"/>
      <c r="G551" s="15"/>
      <c r="H551" s="14"/>
      <c r="I551" s="15">
        <f t="shared" si="39"/>
        <v>0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610.66700000000003</v>
      </c>
      <c r="D556" s="46">
        <f>SUM(D552+D513+D478+D439+D404+D365+D330+D291+D256+D217+D182+D143+D108+D69+D34)</f>
        <v>226</v>
      </c>
      <c r="E556" s="46"/>
      <c r="G556" s="26">
        <f>SUM(G552+G513+G478+G439+G404+G365+G330+G291+G256+G217+G182+G143+G108+G69+G34)</f>
        <v>610.66700000000003</v>
      </c>
      <c r="H556" s="46">
        <f>SUM(H552+H513+H478+H439+H404+H365+H330+H291+H256+H217+H182+H143+H108+H69+H34)</f>
        <v>87.5</v>
      </c>
      <c r="I556" s="46"/>
      <c r="K556" s="28">
        <v>319.875</v>
      </c>
    </row>
    <row r="557" spans="1:11" ht="12.6" customHeight="1" x14ac:dyDescent="0.2">
      <c r="K557" s="47">
        <f>G556-K556</f>
        <v>290.79200000000003</v>
      </c>
    </row>
    <row r="566" spans="2:11" ht="12.6" customHeight="1" x14ac:dyDescent="0.2">
      <c r="B566" s="3" t="s">
        <v>33</v>
      </c>
      <c r="E566" s="46"/>
      <c r="F566" s="48">
        <f>C556</f>
        <v>610.66700000000003</v>
      </c>
      <c r="H566" s="48">
        <f>F566</f>
        <v>610.66700000000003</v>
      </c>
    </row>
    <row r="567" spans="2:11" ht="12.6" customHeight="1" x14ac:dyDescent="0.2">
      <c r="B567" s="3" t="s">
        <v>34</v>
      </c>
      <c r="E567" s="46"/>
      <c r="F567" s="48">
        <f>D556</f>
        <v>226</v>
      </c>
      <c r="H567" s="48">
        <f>H556</f>
        <v>87.5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384.66700000000003</v>
      </c>
      <c r="G570" s="50"/>
      <c r="H570" s="53">
        <f>SUM(H566-H567)</f>
        <v>523.16700000000003</v>
      </c>
      <c r="I570" s="54">
        <f>SUM(H570+F570)</f>
        <v>907.83400000000006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907.83400000000006</v>
      </c>
      <c r="D573" s="97"/>
      <c r="E573" s="100">
        <v>4.8192699999999998E-2</v>
      </c>
      <c r="F573" s="100"/>
      <c r="H573" s="101">
        <f>B573*C573*E573</f>
        <v>698746.76761205785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25" right="0.25" top="0.75" bottom="0.75" header="0.3" footer="0.3"/>
  <pageSetup paperSize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4E91-28E9-4650-A9F9-CD020A04A1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A1EB-E911-4C75-B94F-1B23E12445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74"/>
  <sheetViews>
    <sheetView topLeftCell="J376" zoomScale="200" zoomScaleNormal="200" workbookViewId="0">
      <selection activeCell="P383" sqref="P383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53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54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31052</v>
      </c>
      <c r="B7" s="14"/>
      <c r="C7" s="15">
        <v>0.66700000000000004</v>
      </c>
      <c r="D7" s="14"/>
      <c r="E7" s="15">
        <f>C7+D7</f>
        <v>0.66700000000000004</v>
      </c>
      <c r="F7" s="14"/>
      <c r="G7" s="15">
        <f>C7</f>
        <v>0.66700000000000004</v>
      </c>
      <c r="H7" s="14"/>
      <c r="I7" s="15">
        <f>G7+H7</f>
        <v>0.66700000000000004</v>
      </c>
      <c r="J7" s="14"/>
      <c r="K7" s="16"/>
    </row>
    <row r="8" spans="1:11" ht="12.6" customHeight="1" x14ac:dyDescent="0.2">
      <c r="A8" s="13">
        <v>31057</v>
      </c>
      <c r="B8" s="17"/>
      <c r="C8" s="15">
        <v>6.25</v>
      </c>
      <c r="D8" s="18"/>
      <c r="E8" s="15">
        <f>E7+C8-D8</f>
        <v>6.9169999999999998</v>
      </c>
      <c r="F8" s="14"/>
      <c r="G8" s="15">
        <f t="shared" ref="G8:G33" si="0">C8</f>
        <v>6.25</v>
      </c>
      <c r="H8" s="14"/>
      <c r="I8" s="15">
        <f>I7+G8-H8</f>
        <v>6.9169999999999998</v>
      </c>
      <c r="J8" s="14"/>
      <c r="K8" s="16"/>
    </row>
    <row r="9" spans="1:11" ht="12.6" customHeight="1" x14ac:dyDescent="0.2">
      <c r="A9" s="13"/>
      <c r="B9" s="17" t="s">
        <v>56</v>
      </c>
      <c r="C9" s="15"/>
      <c r="D9" s="14">
        <v>4</v>
      </c>
      <c r="E9" s="15">
        <f t="shared" ref="E9:E33" si="1">E8+C9-D9</f>
        <v>2.9169999999999998</v>
      </c>
      <c r="F9" s="14"/>
      <c r="G9" s="15">
        <f t="shared" si="0"/>
        <v>0</v>
      </c>
      <c r="H9" s="14"/>
      <c r="I9" s="15">
        <f t="shared" ref="I9:I34" si="2">I8+G9-H9</f>
        <v>6.9169999999999998</v>
      </c>
      <c r="J9" s="14"/>
      <c r="K9" s="16" t="s">
        <v>55</v>
      </c>
    </row>
    <row r="10" spans="1:11" ht="12.6" customHeight="1" x14ac:dyDescent="0.2">
      <c r="A10" s="13">
        <v>31413</v>
      </c>
      <c r="B10" s="19"/>
      <c r="C10" s="15">
        <v>3.75</v>
      </c>
      <c r="D10" s="14"/>
      <c r="E10" s="15">
        <f t="shared" si="1"/>
        <v>6.6669999999999998</v>
      </c>
      <c r="F10" s="14"/>
      <c r="G10" s="15">
        <f t="shared" si="0"/>
        <v>3.75</v>
      </c>
      <c r="H10" s="14"/>
      <c r="I10" s="15">
        <f t="shared" si="2"/>
        <v>10.667</v>
      </c>
      <c r="J10" s="14"/>
      <c r="K10" s="13"/>
    </row>
    <row r="11" spans="1:11" s="63" customFormat="1" ht="12.6" customHeight="1" x14ac:dyDescent="0.2">
      <c r="A11" s="58"/>
      <c r="B11" s="59" t="s">
        <v>57</v>
      </c>
      <c r="C11" s="60"/>
      <c r="D11" s="61">
        <v>1</v>
      </c>
      <c r="E11" s="60">
        <f t="shared" si="1"/>
        <v>5.6669999999999998</v>
      </c>
      <c r="F11" s="61"/>
      <c r="G11" s="60">
        <f t="shared" si="0"/>
        <v>0</v>
      </c>
      <c r="H11" s="61"/>
      <c r="I11" s="60">
        <f t="shared" si="2"/>
        <v>10.667</v>
      </c>
      <c r="J11" s="61"/>
      <c r="K11" s="62" t="s">
        <v>58</v>
      </c>
    </row>
    <row r="12" spans="1:11" ht="12.6" customHeight="1" x14ac:dyDescent="0.2">
      <c r="A12" s="13">
        <v>31415</v>
      </c>
      <c r="B12" s="19"/>
      <c r="C12" s="15">
        <v>2.5</v>
      </c>
      <c r="D12" s="14"/>
      <c r="E12" s="15">
        <f t="shared" si="1"/>
        <v>8.1669999999999998</v>
      </c>
      <c r="F12" s="14"/>
      <c r="G12" s="15">
        <f t="shared" si="0"/>
        <v>2.5</v>
      </c>
      <c r="H12" s="14"/>
      <c r="I12" s="15">
        <f t="shared" si="2"/>
        <v>13.167</v>
      </c>
      <c r="J12" s="14"/>
      <c r="K12" s="13"/>
    </row>
    <row r="13" spans="1:11" ht="12.6" customHeight="1" x14ac:dyDescent="0.2">
      <c r="A13" s="13"/>
      <c r="B13" s="17" t="s">
        <v>60</v>
      </c>
      <c r="C13" s="15"/>
      <c r="D13" s="14">
        <v>5</v>
      </c>
      <c r="E13" s="15">
        <f t="shared" si="1"/>
        <v>3.1669999999999998</v>
      </c>
      <c r="F13" s="14"/>
      <c r="G13" s="15">
        <f t="shared" si="0"/>
        <v>0</v>
      </c>
      <c r="H13" s="14"/>
      <c r="I13" s="15">
        <f t="shared" si="2"/>
        <v>13.167</v>
      </c>
      <c r="J13" s="14"/>
      <c r="K13" s="13" t="s">
        <v>59</v>
      </c>
    </row>
    <row r="14" spans="1:11" ht="12.6" customHeight="1" x14ac:dyDescent="0.2">
      <c r="A14" s="13">
        <v>31779</v>
      </c>
      <c r="B14" s="17"/>
      <c r="C14" s="15">
        <v>13.75</v>
      </c>
      <c r="D14" s="14"/>
      <c r="E14" s="15">
        <f t="shared" si="1"/>
        <v>16.917000000000002</v>
      </c>
      <c r="F14" s="14"/>
      <c r="G14" s="15">
        <f t="shared" si="0"/>
        <v>13.75</v>
      </c>
      <c r="H14" s="14"/>
      <c r="I14" s="15">
        <f t="shared" si="2"/>
        <v>26.917000000000002</v>
      </c>
      <c r="J14" s="14"/>
      <c r="K14" s="13"/>
    </row>
    <row r="15" spans="1:11" ht="12.6" customHeight="1" x14ac:dyDescent="0.2">
      <c r="A15" s="13"/>
      <c r="B15" s="17" t="s">
        <v>60</v>
      </c>
      <c r="C15" s="15"/>
      <c r="D15" s="14">
        <v>5</v>
      </c>
      <c r="E15" s="15">
        <f t="shared" si="1"/>
        <v>11.917000000000002</v>
      </c>
      <c r="F15" s="14"/>
      <c r="G15" s="15">
        <f t="shared" si="0"/>
        <v>0</v>
      </c>
      <c r="H15" s="14"/>
      <c r="I15" s="15">
        <f t="shared" si="2"/>
        <v>26.917000000000002</v>
      </c>
      <c r="J15" s="14"/>
      <c r="K15" s="13" t="s">
        <v>61</v>
      </c>
    </row>
    <row r="16" spans="1:11" ht="12.6" customHeight="1" x14ac:dyDescent="0.2">
      <c r="A16" s="13">
        <v>32152</v>
      </c>
      <c r="B16" s="19"/>
      <c r="C16" s="15">
        <v>25</v>
      </c>
      <c r="D16" s="14"/>
      <c r="E16" s="15">
        <f t="shared" si="1"/>
        <v>36.917000000000002</v>
      </c>
      <c r="F16" s="14"/>
      <c r="G16" s="15">
        <f t="shared" si="0"/>
        <v>25</v>
      </c>
      <c r="H16" s="14"/>
      <c r="I16" s="15">
        <f t="shared" si="2"/>
        <v>51.917000000000002</v>
      </c>
      <c r="J16" s="14"/>
      <c r="K16" s="13"/>
    </row>
    <row r="17" spans="1:11" ht="12.6" customHeight="1" x14ac:dyDescent="0.2">
      <c r="A17" s="13"/>
      <c r="B17" s="17" t="s">
        <v>56</v>
      </c>
      <c r="C17" s="15"/>
      <c r="D17" s="14">
        <v>4</v>
      </c>
      <c r="E17" s="15">
        <f t="shared" si="1"/>
        <v>32.917000000000002</v>
      </c>
      <c r="F17" s="14"/>
      <c r="G17" s="15">
        <f t="shared" si="0"/>
        <v>0</v>
      </c>
      <c r="H17" s="14"/>
      <c r="I17" s="15">
        <f t="shared" si="2"/>
        <v>51.917000000000002</v>
      </c>
      <c r="J17" s="14"/>
      <c r="K17" s="13" t="s">
        <v>63</v>
      </c>
    </row>
    <row r="18" spans="1:11" ht="12.6" customHeight="1" x14ac:dyDescent="0.2">
      <c r="A18" s="13">
        <v>32509</v>
      </c>
      <c r="B18" s="17"/>
      <c r="C18" s="15">
        <v>3.75</v>
      </c>
      <c r="D18" s="14"/>
      <c r="E18" s="15">
        <f t="shared" si="1"/>
        <v>36.667000000000002</v>
      </c>
      <c r="F18" s="14"/>
      <c r="G18" s="15">
        <f t="shared" si="0"/>
        <v>3.75</v>
      </c>
      <c r="H18" s="14"/>
      <c r="I18" s="15">
        <f t="shared" si="2"/>
        <v>55.667000000000002</v>
      </c>
      <c r="J18" s="14"/>
      <c r="K18" s="13"/>
    </row>
    <row r="19" spans="1:11" s="63" customFormat="1" ht="12.6" customHeight="1" x14ac:dyDescent="0.2">
      <c r="A19" s="58"/>
      <c r="B19" s="59" t="s">
        <v>57</v>
      </c>
      <c r="C19" s="60"/>
      <c r="D19" s="61">
        <v>1</v>
      </c>
      <c r="E19" s="60">
        <f t="shared" si="1"/>
        <v>35.667000000000002</v>
      </c>
      <c r="F19" s="61"/>
      <c r="G19" s="60">
        <f t="shared" si="0"/>
        <v>0</v>
      </c>
      <c r="H19" s="61"/>
      <c r="I19" s="60">
        <f t="shared" si="2"/>
        <v>55.667000000000002</v>
      </c>
      <c r="J19" s="61"/>
      <c r="K19" s="58" t="s">
        <v>62</v>
      </c>
    </row>
    <row r="20" spans="1:11" ht="12.6" customHeight="1" x14ac:dyDescent="0.2">
      <c r="A20" s="13">
        <v>32874</v>
      </c>
      <c r="B20" s="17"/>
      <c r="C20" s="15">
        <v>15</v>
      </c>
      <c r="D20" s="21"/>
      <c r="E20" s="15">
        <f t="shared" si="1"/>
        <v>50.667000000000002</v>
      </c>
      <c r="F20" s="14"/>
      <c r="G20" s="15">
        <f t="shared" si="0"/>
        <v>15</v>
      </c>
      <c r="H20" s="14"/>
      <c r="I20" s="15">
        <f t="shared" si="2"/>
        <v>70.667000000000002</v>
      </c>
      <c r="J20" s="14"/>
      <c r="K20" s="13"/>
    </row>
    <row r="21" spans="1:11" s="63" customFormat="1" ht="12.6" customHeight="1" x14ac:dyDescent="0.2">
      <c r="A21" s="58"/>
      <c r="B21" s="59" t="s">
        <v>65</v>
      </c>
      <c r="C21" s="60"/>
      <c r="D21" s="61">
        <v>5</v>
      </c>
      <c r="E21" s="60">
        <f t="shared" si="1"/>
        <v>45.667000000000002</v>
      </c>
      <c r="F21" s="61"/>
      <c r="G21" s="60">
        <f t="shared" si="0"/>
        <v>0</v>
      </c>
      <c r="H21" s="61"/>
      <c r="I21" s="60">
        <f t="shared" si="2"/>
        <v>70.667000000000002</v>
      </c>
      <c r="J21" s="61"/>
      <c r="K21" s="58" t="s">
        <v>64</v>
      </c>
    </row>
    <row r="22" spans="1:11" ht="12.6" customHeight="1" x14ac:dyDescent="0.2">
      <c r="A22" s="13">
        <v>32876</v>
      </c>
      <c r="B22" s="17"/>
      <c r="C22" s="15">
        <v>2.5</v>
      </c>
      <c r="D22" s="14"/>
      <c r="E22" s="15">
        <f t="shared" si="1"/>
        <v>48.167000000000002</v>
      </c>
      <c r="F22" s="14"/>
      <c r="G22" s="15">
        <f t="shared" si="0"/>
        <v>2.5</v>
      </c>
      <c r="H22" s="14"/>
      <c r="I22" s="15">
        <f t="shared" si="2"/>
        <v>73.167000000000002</v>
      </c>
      <c r="J22" s="14"/>
      <c r="K22" s="13"/>
    </row>
    <row r="23" spans="1:11" ht="12.6" customHeight="1" x14ac:dyDescent="0.2">
      <c r="A23" s="13"/>
      <c r="B23" s="17" t="s">
        <v>47</v>
      </c>
      <c r="C23" s="15"/>
      <c r="D23" s="14"/>
      <c r="E23" s="15">
        <f t="shared" si="1"/>
        <v>48.167000000000002</v>
      </c>
      <c r="F23" s="14"/>
      <c r="G23" s="15">
        <f t="shared" si="0"/>
        <v>0</v>
      </c>
      <c r="H23" s="14">
        <v>1</v>
      </c>
      <c r="I23" s="15">
        <f t="shared" si="2"/>
        <v>72.167000000000002</v>
      </c>
      <c r="J23" s="14"/>
      <c r="K23" s="13">
        <v>33057</v>
      </c>
    </row>
    <row r="24" spans="1:11" ht="12.6" customHeight="1" x14ac:dyDescent="0.2">
      <c r="A24" s="13">
        <v>32877</v>
      </c>
      <c r="B24" s="19"/>
      <c r="C24" s="15">
        <v>1.25</v>
      </c>
      <c r="D24" s="14"/>
      <c r="E24" s="15">
        <f t="shared" si="1"/>
        <v>49.417000000000002</v>
      </c>
      <c r="F24" s="14"/>
      <c r="G24" s="15">
        <f t="shared" si="0"/>
        <v>1.25</v>
      </c>
      <c r="H24" s="14"/>
      <c r="I24" s="15">
        <f t="shared" si="2"/>
        <v>73.417000000000002</v>
      </c>
      <c r="J24" s="14"/>
      <c r="K24" s="13"/>
    </row>
    <row r="25" spans="1:11" ht="12.6" customHeight="1" x14ac:dyDescent="0.2">
      <c r="A25" s="13"/>
      <c r="B25" s="17" t="s">
        <v>67</v>
      </c>
      <c r="C25" s="15"/>
      <c r="D25" s="14"/>
      <c r="E25" s="15">
        <f t="shared" si="1"/>
        <v>49.417000000000002</v>
      </c>
      <c r="F25" s="14"/>
      <c r="G25" s="15">
        <f t="shared" si="0"/>
        <v>0</v>
      </c>
      <c r="H25" s="14">
        <v>3</v>
      </c>
      <c r="I25" s="15">
        <f t="shared" si="2"/>
        <v>70.417000000000002</v>
      </c>
      <c r="J25" s="14"/>
      <c r="K25" s="13" t="s">
        <v>66</v>
      </c>
    </row>
    <row r="26" spans="1:11" ht="12.6" customHeight="1" x14ac:dyDescent="0.2">
      <c r="A26" s="13">
        <v>33242</v>
      </c>
      <c r="B26" s="19"/>
      <c r="C26" s="15">
        <v>15</v>
      </c>
      <c r="D26" s="14"/>
      <c r="E26" s="15">
        <f t="shared" si="1"/>
        <v>64.417000000000002</v>
      </c>
      <c r="F26" s="14"/>
      <c r="G26" s="15">
        <f t="shared" si="0"/>
        <v>15</v>
      </c>
      <c r="H26" s="14"/>
      <c r="I26" s="15">
        <f t="shared" si="2"/>
        <v>85.417000000000002</v>
      </c>
      <c r="J26" s="14"/>
      <c r="K26" s="13"/>
    </row>
    <row r="27" spans="1:11" ht="12.6" customHeight="1" x14ac:dyDescent="0.2">
      <c r="A27" s="13">
        <v>33604</v>
      </c>
      <c r="B27" s="17"/>
      <c r="C27" s="15">
        <v>11.25</v>
      </c>
      <c r="D27" s="14"/>
      <c r="E27" s="15">
        <f t="shared" si="1"/>
        <v>75.667000000000002</v>
      </c>
      <c r="F27" s="14"/>
      <c r="G27" s="15">
        <f t="shared" si="0"/>
        <v>11.25</v>
      </c>
      <c r="H27" s="14"/>
      <c r="I27" s="15">
        <f t="shared" si="2"/>
        <v>96.667000000000002</v>
      </c>
      <c r="J27" s="14"/>
      <c r="K27" s="13"/>
    </row>
    <row r="28" spans="1:11" s="63" customFormat="1" ht="12.6" customHeight="1" x14ac:dyDescent="0.2">
      <c r="A28" s="58"/>
      <c r="B28" s="59" t="s">
        <v>65</v>
      </c>
      <c r="C28" s="60"/>
      <c r="D28" s="61">
        <v>5</v>
      </c>
      <c r="E28" s="60">
        <f t="shared" si="1"/>
        <v>70.667000000000002</v>
      </c>
      <c r="F28" s="61"/>
      <c r="G28" s="60">
        <f t="shared" si="0"/>
        <v>0</v>
      </c>
      <c r="H28" s="61"/>
      <c r="I28" s="60">
        <f t="shared" si="2"/>
        <v>96.667000000000002</v>
      </c>
      <c r="J28" s="61"/>
      <c r="K28" s="58" t="s">
        <v>68</v>
      </c>
    </row>
    <row r="29" spans="1:11" ht="12.6" customHeight="1" x14ac:dyDescent="0.2">
      <c r="A29" s="13">
        <v>33970</v>
      </c>
      <c r="B29" s="19"/>
      <c r="C29" s="15">
        <v>15</v>
      </c>
      <c r="D29" s="14"/>
      <c r="E29" s="15">
        <f t="shared" si="1"/>
        <v>85.667000000000002</v>
      </c>
      <c r="F29" s="14"/>
      <c r="G29" s="15">
        <f t="shared" si="0"/>
        <v>15</v>
      </c>
      <c r="H29" s="14"/>
      <c r="I29" s="15">
        <f t="shared" si="2"/>
        <v>111.667</v>
      </c>
      <c r="J29" s="14"/>
      <c r="K29" s="13"/>
    </row>
    <row r="30" spans="1:11" s="63" customFormat="1" ht="12.6" customHeight="1" x14ac:dyDescent="0.2">
      <c r="A30" s="58"/>
      <c r="B30" s="59" t="s">
        <v>65</v>
      </c>
      <c r="C30" s="60"/>
      <c r="D30" s="61">
        <v>5</v>
      </c>
      <c r="E30" s="60">
        <f t="shared" si="1"/>
        <v>80.667000000000002</v>
      </c>
      <c r="F30" s="61"/>
      <c r="G30" s="60">
        <f t="shared" si="0"/>
        <v>0</v>
      </c>
      <c r="H30" s="61"/>
      <c r="I30" s="60">
        <f t="shared" si="2"/>
        <v>111.667</v>
      </c>
      <c r="J30" s="61"/>
      <c r="K30" s="64" t="s">
        <v>69</v>
      </c>
    </row>
    <row r="31" spans="1:11" ht="12.6" customHeight="1" x14ac:dyDescent="0.2">
      <c r="A31" s="13">
        <v>34335</v>
      </c>
      <c r="B31" s="19"/>
      <c r="C31" s="15">
        <v>15</v>
      </c>
      <c r="D31" s="14"/>
      <c r="E31" s="15">
        <f t="shared" si="1"/>
        <v>95.667000000000002</v>
      </c>
      <c r="F31" s="22"/>
      <c r="G31" s="15">
        <f t="shared" si="0"/>
        <v>15</v>
      </c>
      <c r="H31" s="22"/>
      <c r="I31" s="15">
        <f t="shared" si="2"/>
        <v>126.667</v>
      </c>
      <c r="J31" s="22"/>
      <c r="K31" s="23"/>
    </row>
    <row r="32" spans="1:11" s="63" customFormat="1" ht="12.6" customHeight="1" x14ac:dyDescent="0.2">
      <c r="A32" s="58"/>
      <c r="B32" s="59" t="s">
        <v>65</v>
      </c>
      <c r="C32" s="60"/>
      <c r="D32" s="61">
        <v>5</v>
      </c>
      <c r="E32" s="60">
        <f t="shared" si="1"/>
        <v>90.667000000000002</v>
      </c>
      <c r="F32" s="65"/>
      <c r="G32" s="60">
        <f t="shared" si="0"/>
        <v>0</v>
      </c>
      <c r="H32" s="65"/>
      <c r="I32" s="60">
        <f t="shared" si="2"/>
        <v>126.667</v>
      </c>
      <c r="J32" s="65"/>
      <c r="K32" s="66" t="s">
        <v>70</v>
      </c>
    </row>
    <row r="33" spans="1:11" ht="12.6" customHeight="1" x14ac:dyDescent="0.2">
      <c r="A33" s="13">
        <v>34700</v>
      </c>
      <c r="B33" s="17"/>
      <c r="C33" s="15">
        <v>15</v>
      </c>
      <c r="D33" s="14"/>
      <c r="E33" s="15">
        <f t="shared" si="1"/>
        <v>105.667</v>
      </c>
      <c r="F33" s="22"/>
      <c r="G33" s="15">
        <f t="shared" si="0"/>
        <v>15</v>
      </c>
      <c r="H33" s="22"/>
      <c r="I33" s="15">
        <f t="shared" si="2"/>
        <v>141.667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145.667</v>
      </c>
      <c r="D34" s="25">
        <f>SUM(D9:D33)</f>
        <v>40</v>
      </c>
      <c r="E34" s="25"/>
      <c r="F34" s="22"/>
      <c r="G34" s="25">
        <f>SUM(G7:G33)</f>
        <v>145.667</v>
      </c>
      <c r="H34" s="25">
        <f>SUM(H7:H33)</f>
        <v>4</v>
      </c>
      <c r="I34" s="15">
        <f t="shared" si="2"/>
        <v>283.334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NICASIO D. CATAPANG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APRIL 15, 1985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s="63" customFormat="1" ht="12.6" customHeight="1" x14ac:dyDescent="0.2">
      <c r="A43" s="58"/>
      <c r="B43" s="59" t="s">
        <v>65</v>
      </c>
      <c r="C43" s="60"/>
      <c r="D43" s="61">
        <v>5</v>
      </c>
      <c r="E43" s="60">
        <f>E33+C43-D43</f>
        <v>100.667</v>
      </c>
      <c r="F43" s="61"/>
      <c r="G43" s="60">
        <f>C43</f>
        <v>0</v>
      </c>
      <c r="H43" s="61"/>
      <c r="I43" s="60">
        <f>I33+G43-H43</f>
        <v>141.667</v>
      </c>
      <c r="J43" s="61"/>
      <c r="K43" s="58" t="s">
        <v>71</v>
      </c>
    </row>
    <row r="44" spans="1:11" ht="12.6" customHeight="1" x14ac:dyDescent="0.2">
      <c r="A44" s="13">
        <v>34709</v>
      </c>
      <c r="B44" s="17"/>
      <c r="C44" s="15">
        <v>11.25</v>
      </c>
      <c r="D44" s="14"/>
      <c r="E44" s="15">
        <f>E43+C44-D44</f>
        <v>111.917</v>
      </c>
      <c r="F44" s="14"/>
      <c r="G44" s="15">
        <f t="shared" ref="G44:G68" si="3">C44</f>
        <v>11.25</v>
      </c>
      <c r="H44" s="14"/>
      <c r="I44" s="15">
        <f>I43+G44-H44</f>
        <v>152.917</v>
      </c>
      <c r="J44" s="14"/>
      <c r="K44" s="13"/>
    </row>
    <row r="45" spans="1:11" ht="12.6" customHeight="1" x14ac:dyDescent="0.2">
      <c r="A45" s="13"/>
      <c r="B45" s="17" t="s">
        <v>60</v>
      </c>
      <c r="C45" s="15"/>
      <c r="D45" s="14">
        <v>5</v>
      </c>
      <c r="E45" s="15">
        <f t="shared" ref="E45:E68" si="4">E44+C45-D45</f>
        <v>106.917</v>
      </c>
      <c r="F45" s="14"/>
      <c r="G45" s="15">
        <f t="shared" si="3"/>
        <v>0</v>
      </c>
      <c r="H45" s="14"/>
      <c r="I45" s="15">
        <f t="shared" ref="I45:I68" si="5">I44+G45-H45</f>
        <v>152.917</v>
      </c>
      <c r="J45" s="14"/>
      <c r="K45" s="13" t="s">
        <v>72</v>
      </c>
    </row>
    <row r="46" spans="1:11" ht="12.6" customHeight="1" x14ac:dyDescent="0.2">
      <c r="A46" s="13">
        <v>35067</v>
      </c>
      <c r="B46" s="17"/>
      <c r="C46" s="15">
        <v>6.25</v>
      </c>
      <c r="D46" s="14"/>
      <c r="E46" s="15">
        <f t="shared" si="4"/>
        <v>113.167</v>
      </c>
      <c r="F46" s="14"/>
      <c r="G46" s="15">
        <f t="shared" si="3"/>
        <v>6.25</v>
      </c>
      <c r="H46" s="14"/>
      <c r="I46" s="15">
        <f t="shared" si="5"/>
        <v>159.167</v>
      </c>
      <c r="J46" s="14"/>
      <c r="K46" s="13"/>
    </row>
    <row r="47" spans="1:11" ht="12.6" customHeight="1" x14ac:dyDescent="0.2">
      <c r="A47" s="13"/>
      <c r="B47" s="19" t="s">
        <v>74</v>
      </c>
      <c r="C47" s="15"/>
      <c r="D47" s="14">
        <v>1</v>
      </c>
      <c r="E47" s="15">
        <f t="shared" si="4"/>
        <v>112.167</v>
      </c>
      <c r="F47" s="14"/>
      <c r="G47" s="15">
        <f t="shared" si="3"/>
        <v>0</v>
      </c>
      <c r="H47" s="14"/>
      <c r="I47" s="15">
        <f t="shared" si="5"/>
        <v>159.167</v>
      </c>
      <c r="J47" s="14"/>
      <c r="K47" s="13" t="s">
        <v>73</v>
      </c>
    </row>
    <row r="48" spans="1:11" ht="12.6" customHeight="1" x14ac:dyDescent="0.2">
      <c r="A48" s="13">
        <v>35068</v>
      </c>
      <c r="B48" s="17"/>
      <c r="C48" s="15">
        <v>1.25</v>
      </c>
      <c r="D48" s="14"/>
      <c r="E48" s="15">
        <f t="shared" si="4"/>
        <v>113.417</v>
      </c>
      <c r="F48" s="14"/>
      <c r="G48" s="15">
        <f t="shared" si="3"/>
        <v>1.25</v>
      </c>
      <c r="H48" s="14"/>
      <c r="I48" s="15">
        <f t="shared" si="5"/>
        <v>160.417</v>
      </c>
      <c r="J48" s="14"/>
      <c r="K48" s="13"/>
    </row>
    <row r="49" spans="1:11" ht="12.6" customHeight="1" x14ac:dyDescent="0.2">
      <c r="A49" s="13"/>
      <c r="B49" s="19" t="s">
        <v>76</v>
      </c>
      <c r="C49" s="15"/>
      <c r="D49" s="14">
        <v>2</v>
      </c>
      <c r="E49" s="15">
        <f t="shared" si="4"/>
        <v>111.417</v>
      </c>
      <c r="F49" s="14"/>
      <c r="G49" s="15">
        <f t="shared" si="3"/>
        <v>0</v>
      </c>
      <c r="H49" s="14"/>
      <c r="I49" s="15">
        <f t="shared" si="5"/>
        <v>160.417</v>
      </c>
      <c r="J49" s="14"/>
      <c r="K49" s="13" t="s">
        <v>75</v>
      </c>
    </row>
    <row r="50" spans="1:11" ht="12.6" customHeight="1" x14ac:dyDescent="0.2">
      <c r="A50" s="13">
        <v>35076</v>
      </c>
      <c r="B50" s="19"/>
      <c r="C50" s="15">
        <v>10</v>
      </c>
      <c r="D50" s="14"/>
      <c r="E50" s="15">
        <f t="shared" si="4"/>
        <v>121.417</v>
      </c>
      <c r="F50" s="14"/>
      <c r="G50" s="15">
        <f t="shared" si="3"/>
        <v>10</v>
      </c>
      <c r="H50" s="14"/>
      <c r="I50" s="15">
        <f t="shared" si="5"/>
        <v>170.417</v>
      </c>
      <c r="J50" s="14"/>
      <c r="K50" s="13"/>
    </row>
    <row r="51" spans="1:11" ht="12.6" customHeight="1" x14ac:dyDescent="0.2">
      <c r="A51" s="13"/>
      <c r="B51" s="19" t="s">
        <v>77</v>
      </c>
      <c r="C51" s="15"/>
      <c r="D51" s="14">
        <v>2</v>
      </c>
      <c r="E51" s="15">
        <f t="shared" si="4"/>
        <v>119.417</v>
      </c>
      <c r="F51" s="14"/>
      <c r="G51" s="15">
        <f t="shared" si="3"/>
        <v>0</v>
      </c>
      <c r="H51" s="14"/>
      <c r="I51" s="15">
        <f t="shared" si="5"/>
        <v>170.417</v>
      </c>
      <c r="J51" s="14"/>
      <c r="K51" s="16" t="s">
        <v>78</v>
      </c>
    </row>
    <row r="52" spans="1:11" ht="12.6" customHeight="1" x14ac:dyDescent="0.2">
      <c r="A52" s="13">
        <v>35434</v>
      </c>
      <c r="B52" s="19"/>
      <c r="C52" s="15">
        <v>5</v>
      </c>
      <c r="D52" s="14"/>
      <c r="E52" s="15">
        <f t="shared" si="4"/>
        <v>124.417</v>
      </c>
      <c r="F52" s="14"/>
      <c r="G52" s="15">
        <f t="shared" si="3"/>
        <v>5</v>
      </c>
      <c r="H52" s="14"/>
      <c r="I52" s="15">
        <f t="shared" si="5"/>
        <v>175.417</v>
      </c>
      <c r="J52" s="14"/>
      <c r="K52" s="13"/>
    </row>
    <row r="53" spans="1:11" ht="12.6" customHeight="1" x14ac:dyDescent="0.2">
      <c r="A53" s="13"/>
      <c r="B53" s="19" t="s">
        <v>74</v>
      </c>
      <c r="C53" s="15"/>
      <c r="D53" s="14">
        <v>1</v>
      </c>
      <c r="E53" s="15">
        <f t="shared" si="4"/>
        <v>123.417</v>
      </c>
      <c r="F53" s="14"/>
      <c r="G53" s="15">
        <f t="shared" si="3"/>
        <v>0</v>
      </c>
      <c r="H53" s="14"/>
      <c r="I53" s="15">
        <f t="shared" si="5"/>
        <v>175.417</v>
      </c>
      <c r="J53" s="14"/>
      <c r="K53" s="13">
        <v>35646</v>
      </c>
    </row>
    <row r="54" spans="1:11" ht="12.6" customHeight="1" x14ac:dyDescent="0.2">
      <c r="A54" s="13">
        <v>35439</v>
      </c>
      <c r="B54" s="19"/>
      <c r="C54" s="15">
        <v>6.25</v>
      </c>
      <c r="D54" s="14"/>
      <c r="E54" s="15">
        <f t="shared" si="4"/>
        <v>129.667</v>
      </c>
      <c r="F54" s="14"/>
      <c r="G54" s="15">
        <f t="shared" si="3"/>
        <v>6.25</v>
      </c>
      <c r="H54" s="14"/>
      <c r="I54" s="15">
        <f t="shared" si="5"/>
        <v>181.667</v>
      </c>
      <c r="J54" s="14"/>
      <c r="K54" s="13"/>
    </row>
    <row r="55" spans="1:11" ht="12.6" customHeight="1" x14ac:dyDescent="0.2">
      <c r="A55" s="13"/>
      <c r="B55" s="19" t="s">
        <v>74</v>
      </c>
      <c r="C55" s="15"/>
      <c r="D55" s="14">
        <v>1</v>
      </c>
      <c r="E55" s="15">
        <f t="shared" si="4"/>
        <v>128.667</v>
      </c>
      <c r="F55" s="14"/>
      <c r="G55" s="15">
        <f t="shared" si="3"/>
        <v>0</v>
      </c>
      <c r="H55" s="14"/>
      <c r="I55" s="15">
        <f t="shared" si="5"/>
        <v>181.667</v>
      </c>
      <c r="J55" s="14"/>
      <c r="K55" s="13" t="s">
        <v>79</v>
      </c>
    </row>
    <row r="56" spans="1:11" ht="12.6" customHeight="1" x14ac:dyDescent="0.2">
      <c r="A56" s="13"/>
      <c r="B56" s="19" t="s">
        <v>74</v>
      </c>
      <c r="C56" s="15"/>
      <c r="D56" s="14">
        <v>1</v>
      </c>
      <c r="E56" s="15">
        <f t="shared" si="4"/>
        <v>127.667</v>
      </c>
      <c r="F56" s="14"/>
      <c r="G56" s="15">
        <f t="shared" si="3"/>
        <v>0</v>
      </c>
      <c r="H56" s="14"/>
      <c r="I56" s="15">
        <f t="shared" si="5"/>
        <v>181.667</v>
      </c>
      <c r="J56" s="14"/>
      <c r="K56" s="13">
        <v>35652</v>
      </c>
    </row>
    <row r="57" spans="1:11" ht="12.6" customHeight="1" x14ac:dyDescent="0.2">
      <c r="A57" s="13">
        <v>35441</v>
      </c>
      <c r="B57" s="19"/>
      <c r="C57" s="15">
        <v>2.5</v>
      </c>
      <c r="D57" s="14"/>
      <c r="E57" s="15">
        <f t="shared" si="4"/>
        <v>130.167</v>
      </c>
      <c r="F57" s="14"/>
      <c r="G57" s="15">
        <f t="shared" si="3"/>
        <v>2.5</v>
      </c>
      <c r="H57" s="14"/>
      <c r="I57" s="15">
        <f t="shared" si="5"/>
        <v>184.167</v>
      </c>
      <c r="J57" s="14"/>
      <c r="K57" s="13"/>
    </row>
    <row r="58" spans="1:11" ht="12.6" customHeight="1" x14ac:dyDescent="0.2">
      <c r="A58" s="13"/>
      <c r="B58" s="19" t="s">
        <v>81</v>
      </c>
      <c r="C58" s="15"/>
      <c r="D58" s="14"/>
      <c r="E58" s="15">
        <f t="shared" si="4"/>
        <v>130.167</v>
      </c>
      <c r="F58" s="14"/>
      <c r="G58" s="15">
        <f t="shared" si="3"/>
        <v>0</v>
      </c>
      <c r="H58" s="14"/>
      <c r="I58" s="15">
        <f t="shared" si="5"/>
        <v>184.167</v>
      </c>
      <c r="J58" s="14"/>
      <c r="K58" s="13" t="s">
        <v>80</v>
      </c>
    </row>
    <row r="59" spans="1:11" ht="12.6" customHeight="1" x14ac:dyDescent="0.2">
      <c r="A59" s="13"/>
      <c r="B59" s="19" t="s">
        <v>67</v>
      </c>
      <c r="C59" s="15"/>
      <c r="D59" s="14"/>
      <c r="E59" s="15">
        <f t="shared" si="4"/>
        <v>130.167</v>
      </c>
      <c r="F59" s="14"/>
      <c r="G59" s="15">
        <f t="shared" si="3"/>
        <v>0</v>
      </c>
      <c r="H59" s="14">
        <v>3</v>
      </c>
      <c r="I59" s="15">
        <f t="shared" si="5"/>
        <v>181.167</v>
      </c>
      <c r="J59" s="14"/>
      <c r="K59" s="13" t="s">
        <v>82</v>
      </c>
    </row>
    <row r="60" spans="1:11" ht="12.6" customHeight="1" x14ac:dyDescent="0.2">
      <c r="A60" s="13">
        <v>35796</v>
      </c>
      <c r="B60" s="19"/>
      <c r="C60" s="15">
        <v>2.5</v>
      </c>
      <c r="D60" s="14"/>
      <c r="E60" s="15">
        <f t="shared" si="4"/>
        <v>132.667</v>
      </c>
      <c r="F60" s="14"/>
      <c r="G60" s="15">
        <f t="shared" si="3"/>
        <v>2.5</v>
      </c>
      <c r="H60" s="14"/>
      <c r="I60" s="15">
        <f t="shared" si="5"/>
        <v>183.667</v>
      </c>
      <c r="J60" s="14"/>
      <c r="K60" s="13"/>
    </row>
    <row r="61" spans="1:11" s="63" customFormat="1" ht="12.6" customHeight="1" x14ac:dyDescent="0.2">
      <c r="A61" s="58"/>
      <c r="B61" s="67" t="s">
        <v>77</v>
      </c>
      <c r="C61" s="60"/>
      <c r="D61" s="61">
        <v>2</v>
      </c>
      <c r="E61" s="60">
        <f t="shared" si="4"/>
        <v>130.667</v>
      </c>
      <c r="F61" s="61"/>
      <c r="G61" s="60">
        <f t="shared" si="3"/>
        <v>0</v>
      </c>
      <c r="H61" s="61"/>
      <c r="I61" s="60">
        <f t="shared" si="5"/>
        <v>183.667</v>
      </c>
      <c r="J61" s="61"/>
      <c r="K61" s="58" t="s">
        <v>83</v>
      </c>
    </row>
    <row r="62" spans="1:11" ht="12.6" customHeight="1" x14ac:dyDescent="0.2">
      <c r="A62" s="13">
        <v>35802</v>
      </c>
      <c r="B62" s="17"/>
      <c r="C62" s="15">
        <v>7.5</v>
      </c>
      <c r="D62" s="14"/>
      <c r="E62" s="15">
        <f t="shared" si="4"/>
        <v>138.167</v>
      </c>
      <c r="F62" s="14"/>
      <c r="G62" s="15">
        <f t="shared" si="3"/>
        <v>7.5</v>
      </c>
      <c r="H62" s="14"/>
      <c r="I62" s="15">
        <f t="shared" si="5"/>
        <v>191.167</v>
      </c>
      <c r="J62" s="14"/>
      <c r="K62" s="16"/>
    </row>
    <row r="63" spans="1:11" ht="12.6" customHeight="1" x14ac:dyDescent="0.2">
      <c r="A63" s="13"/>
      <c r="B63" s="19" t="s">
        <v>67</v>
      </c>
      <c r="C63" s="15"/>
      <c r="D63" s="14"/>
      <c r="E63" s="15">
        <f t="shared" si="4"/>
        <v>138.167</v>
      </c>
      <c r="F63" s="14"/>
      <c r="G63" s="15">
        <f t="shared" si="3"/>
        <v>0</v>
      </c>
      <c r="H63" s="14">
        <v>3</v>
      </c>
      <c r="I63" s="15">
        <f t="shared" si="5"/>
        <v>188.167</v>
      </c>
      <c r="J63" s="14"/>
      <c r="K63" s="13" t="s">
        <v>84</v>
      </c>
    </row>
    <row r="64" spans="1:11" ht="12.6" customHeight="1" x14ac:dyDescent="0.2">
      <c r="A64" s="29">
        <v>35804</v>
      </c>
      <c r="B64" s="17"/>
      <c r="C64" s="15">
        <v>2.5</v>
      </c>
      <c r="D64" s="14"/>
      <c r="E64" s="15">
        <f t="shared" si="4"/>
        <v>140.667</v>
      </c>
      <c r="F64" s="14"/>
      <c r="G64" s="15">
        <f>C64</f>
        <v>2.5</v>
      </c>
      <c r="H64" s="14"/>
      <c r="I64" s="15">
        <f t="shared" si="5"/>
        <v>190.667</v>
      </c>
      <c r="J64" s="14"/>
      <c r="K64" s="29"/>
    </row>
    <row r="65" spans="1:11" ht="12.6" customHeight="1" x14ac:dyDescent="0.2">
      <c r="A65" s="13"/>
      <c r="B65" s="19" t="s">
        <v>76</v>
      </c>
      <c r="C65" s="15"/>
      <c r="D65" s="21">
        <v>2</v>
      </c>
      <c r="E65" s="15">
        <f t="shared" si="4"/>
        <v>138.667</v>
      </c>
      <c r="F65" s="14"/>
      <c r="G65" s="15">
        <f t="shared" si="3"/>
        <v>0</v>
      </c>
      <c r="H65" s="14"/>
      <c r="I65" s="15">
        <f t="shared" si="5"/>
        <v>190.667</v>
      </c>
      <c r="J65" s="14"/>
      <c r="K65" s="13" t="s">
        <v>85</v>
      </c>
    </row>
    <row r="66" spans="1:11" ht="12.6" customHeight="1" x14ac:dyDescent="0.2">
      <c r="A66" s="13">
        <v>36161</v>
      </c>
      <c r="B66" s="19"/>
      <c r="C66" s="15">
        <v>5</v>
      </c>
      <c r="D66" s="14"/>
      <c r="E66" s="15">
        <f t="shared" si="4"/>
        <v>143.667</v>
      </c>
      <c r="F66" s="14"/>
      <c r="G66" s="15">
        <f t="shared" si="3"/>
        <v>5</v>
      </c>
      <c r="H66" s="14"/>
      <c r="I66" s="15">
        <f t="shared" si="5"/>
        <v>195.667</v>
      </c>
      <c r="J66" s="14"/>
      <c r="K66" s="13"/>
    </row>
    <row r="67" spans="1:11" s="63" customFormat="1" ht="12.6" customHeight="1" x14ac:dyDescent="0.2">
      <c r="A67" s="68"/>
      <c r="B67" s="67" t="s">
        <v>87</v>
      </c>
      <c r="C67" s="60"/>
      <c r="D67" s="61">
        <v>3</v>
      </c>
      <c r="E67" s="60">
        <f t="shared" si="4"/>
        <v>140.667</v>
      </c>
      <c r="F67" s="61"/>
      <c r="G67" s="60">
        <f t="shared" si="3"/>
        <v>0</v>
      </c>
      <c r="H67" s="69"/>
      <c r="I67" s="60">
        <f t="shared" si="5"/>
        <v>195.667</v>
      </c>
      <c r="J67" s="69"/>
      <c r="K67" s="68" t="s">
        <v>86</v>
      </c>
    </row>
    <row r="68" spans="1:11" ht="12.6" customHeight="1" x14ac:dyDescent="0.2">
      <c r="A68" s="13">
        <v>36165</v>
      </c>
      <c r="B68" s="19"/>
      <c r="C68" s="15">
        <v>5</v>
      </c>
      <c r="D68" s="14"/>
      <c r="E68" s="15">
        <f t="shared" si="4"/>
        <v>145.667</v>
      </c>
      <c r="F68" s="14"/>
      <c r="G68" s="15">
        <f t="shared" si="3"/>
        <v>5</v>
      </c>
      <c r="H68" s="14"/>
      <c r="I68" s="15">
        <f t="shared" si="5"/>
        <v>200.667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65</v>
      </c>
      <c r="D69" s="15">
        <f>SUM(D43:D68)</f>
        <v>25</v>
      </c>
      <c r="E69" s="15" t="s">
        <v>17</v>
      </c>
      <c r="F69" s="32"/>
      <c r="G69" s="15">
        <f>SUM(G43:G68)</f>
        <v>65</v>
      </c>
      <c r="H69" s="15">
        <f>SUM(H43:H68)</f>
        <v>6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NICASIO D. CATAPANG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APRIL 15, 1985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 t="s">
        <v>90</v>
      </c>
      <c r="C82" s="15"/>
      <c r="D82" s="14"/>
      <c r="E82" s="15">
        <f>E68+C82-D82</f>
        <v>145.667</v>
      </c>
      <c r="F82" s="14"/>
      <c r="G82" s="15">
        <f>C82</f>
        <v>0</v>
      </c>
      <c r="H82" s="14"/>
      <c r="I82" s="15">
        <f>I68+G82-H82</f>
        <v>200.667</v>
      </c>
      <c r="J82" s="14"/>
      <c r="K82" s="13" t="s">
        <v>88</v>
      </c>
    </row>
    <row r="83" spans="1:11" ht="12.6" customHeight="1" x14ac:dyDescent="0.2">
      <c r="A83" s="13"/>
      <c r="B83" s="17" t="s">
        <v>76</v>
      </c>
      <c r="C83" s="15"/>
      <c r="D83" s="14">
        <v>2</v>
      </c>
      <c r="E83" s="15">
        <f>E82+C83-D83</f>
        <v>143.667</v>
      </c>
      <c r="F83" s="14"/>
      <c r="G83" s="15">
        <f t="shared" ref="G83:G107" si="6">C83</f>
        <v>0</v>
      </c>
      <c r="H83" s="14"/>
      <c r="I83" s="15">
        <f>I82+G83-H83</f>
        <v>200.667</v>
      </c>
      <c r="J83" s="22"/>
      <c r="K83" s="23" t="s">
        <v>89</v>
      </c>
    </row>
    <row r="84" spans="1:11" ht="12.6" customHeight="1" x14ac:dyDescent="0.2">
      <c r="A84" s="13">
        <v>36171</v>
      </c>
      <c r="B84" s="19"/>
      <c r="C84" s="15">
        <v>7.5</v>
      </c>
      <c r="D84" s="14"/>
      <c r="E84" s="15">
        <f t="shared" ref="E84:E107" si="7">E83+C84-D84</f>
        <v>151.167</v>
      </c>
      <c r="F84" s="14"/>
      <c r="G84" s="15">
        <f t="shared" si="6"/>
        <v>7.5</v>
      </c>
      <c r="H84" s="14"/>
      <c r="I84" s="15">
        <f t="shared" ref="I84:I107" si="8">I83+G84-H84</f>
        <v>208.167</v>
      </c>
      <c r="J84" s="14"/>
      <c r="K84" s="16"/>
    </row>
    <row r="85" spans="1:11" ht="12.6" customHeight="1" x14ac:dyDescent="0.2">
      <c r="A85" s="13"/>
      <c r="B85" s="19" t="s">
        <v>74</v>
      </c>
      <c r="C85" s="15"/>
      <c r="D85" s="14">
        <v>1</v>
      </c>
      <c r="E85" s="15">
        <f t="shared" si="7"/>
        <v>150.167</v>
      </c>
      <c r="F85" s="14"/>
      <c r="G85" s="15">
        <f t="shared" si="6"/>
        <v>0</v>
      </c>
      <c r="H85" s="14"/>
      <c r="I85" s="15">
        <f t="shared" si="8"/>
        <v>208.167</v>
      </c>
      <c r="J85" s="14"/>
      <c r="K85" s="13">
        <v>36505</v>
      </c>
    </row>
    <row r="86" spans="1:11" ht="12.6" customHeight="1" x14ac:dyDescent="0.2">
      <c r="A86" s="29">
        <v>36172</v>
      </c>
      <c r="B86" s="19"/>
      <c r="C86" s="15">
        <v>1.25</v>
      </c>
      <c r="D86" s="14"/>
      <c r="E86" s="15">
        <f t="shared" si="7"/>
        <v>151.417</v>
      </c>
      <c r="F86" s="14"/>
      <c r="G86" s="15">
        <f t="shared" si="6"/>
        <v>1.25</v>
      </c>
      <c r="H86" s="14"/>
      <c r="I86" s="15">
        <f t="shared" si="8"/>
        <v>209.417</v>
      </c>
      <c r="J86" s="14"/>
      <c r="K86" s="13"/>
    </row>
    <row r="87" spans="1:11" ht="12.6" customHeight="1" x14ac:dyDescent="0.2">
      <c r="A87" s="13"/>
      <c r="B87" s="19" t="s">
        <v>91</v>
      </c>
      <c r="C87" s="15"/>
      <c r="D87" s="14">
        <v>30</v>
      </c>
      <c r="E87" s="15">
        <f t="shared" si="7"/>
        <v>121.417</v>
      </c>
      <c r="F87" s="14"/>
      <c r="G87" s="15">
        <f t="shared" si="6"/>
        <v>0</v>
      </c>
      <c r="H87" s="14"/>
      <c r="I87" s="15">
        <f t="shared" si="8"/>
        <v>209.417</v>
      </c>
      <c r="J87" s="14"/>
      <c r="K87" s="13">
        <v>36495</v>
      </c>
    </row>
    <row r="88" spans="1:11" ht="12.6" customHeight="1" x14ac:dyDescent="0.2">
      <c r="A88" s="13">
        <v>36526</v>
      </c>
      <c r="B88" s="17"/>
      <c r="C88" s="15">
        <v>1.25</v>
      </c>
      <c r="D88" s="14"/>
      <c r="E88" s="15">
        <f t="shared" si="7"/>
        <v>122.667</v>
      </c>
      <c r="F88" s="14"/>
      <c r="G88" s="15">
        <f t="shared" si="6"/>
        <v>1.25</v>
      </c>
      <c r="H88" s="14"/>
      <c r="I88" s="15">
        <f t="shared" si="8"/>
        <v>210.667</v>
      </c>
      <c r="J88" s="14"/>
      <c r="K88" s="13"/>
    </row>
    <row r="89" spans="1:11" s="63" customFormat="1" ht="12.6" customHeight="1" x14ac:dyDescent="0.2">
      <c r="A89" s="58"/>
      <c r="B89" s="59" t="s">
        <v>77</v>
      </c>
      <c r="C89" s="60"/>
      <c r="D89" s="61">
        <v>2</v>
      </c>
      <c r="E89" s="60">
        <f t="shared" si="7"/>
        <v>120.667</v>
      </c>
      <c r="F89" s="61"/>
      <c r="G89" s="60">
        <f t="shared" si="6"/>
        <v>0</v>
      </c>
      <c r="H89" s="61"/>
      <c r="I89" s="60">
        <f t="shared" si="8"/>
        <v>210.667</v>
      </c>
      <c r="J89" s="61"/>
      <c r="K89" s="64" t="s">
        <v>92</v>
      </c>
    </row>
    <row r="90" spans="1:11" ht="12.6" customHeight="1" x14ac:dyDescent="0.2">
      <c r="A90" s="13">
        <v>36892</v>
      </c>
      <c r="B90" s="17"/>
      <c r="C90" s="15">
        <v>15</v>
      </c>
      <c r="D90" s="14"/>
      <c r="E90" s="15">
        <f t="shared" si="7"/>
        <v>135.667</v>
      </c>
      <c r="F90" s="14"/>
      <c r="G90" s="15">
        <f t="shared" si="6"/>
        <v>15</v>
      </c>
      <c r="H90" s="14"/>
      <c r="I90" s="15">
        <f t="shared" si="8"/>
        <v>225.667</v>
      </c>
      <c r="J90" s="14"/>
      <c r="K90" s="16"/>
    </row>
    <row r="91" spans="1:11" s="63" customFormat="1" ht="12.6" customHeight="1" x14ac:dyDescent="0.2">
      <c r="A91" s="58"/>
      <c r="B91" s="59" t="s">
        <v>65</v>
      </c>
      <c r="C91" s="60"/>
      <c r="D91" s="61">
        <v>5</v>
      </c>
      <c r="E91" s="60">
        <f t="shared" si="7"/>
        <v>130.667</v>
      </c>
      <c r="F91" s="61"/>
      <c r="G91" s="60">
        <f t="shared" si="6"/>
        <v>0</v>
      </c>
      <c r="H91" s="61"/>
      <c r="I91" s="60">
        <f t="shared" si="8"/>
        <v>225.667</v>
      </c>
      <c r="J91" s="61"/>
      <c r="K91" s="64" t="s">
        <v>93</v>
      </c>
    </row>
    <row r="92" spans="1:11" ht="12.6" customHeight="1" x14ac:dyDescent="0.2">
      <c r="A92" s="13">
        <v>36898</v>
      </c>
      <c r="B92" s="19"/>
      <c r="C92" s="15">
        <v>7.5</v>
      </c>
      <c r="D92" s="14"/>
      <c r="E92" s="15">
        <f t="shared" si="7"/>
        <v>138.167</v>
      </c>
      <c r="F92" s="14"/>
      <c r="G92" s="15">
        <f t="shared" si="6"/>
        <v>7.5</v>
      </c>
      <c r="H92" s="14"/>
      <c r="I92" s="15">
        <f t="shared" si="8"/>
        <v>233.167</v>
      </c>
      <c r="J92" s="14"/>
      <c r="K92" s="13"/>
    </row>
    <row r="93" spans="1:11" ht="12.6" customHeight="1" x14ac:dyDescent="0.2">
      <c r="A93" s="13"/>
      <c r="B93" s="17" t="s">
        <v>47</v>
      </c>
      <c r="C93" s="15"/>
      <c r="D93" s="14"/>
      <c r="E93" s="15">
        <f t="shared" si="7"/>
        <v>138.167</v>
      </c>
      <c r="F93" s="14"/>
      <c r="G93" s="15">
        <f t="shared" si="6"/>
        <v>0</v>
      </c>
      <c r="H93" s="14">
        <v>1</v>
      </c>
      <c r="I93" s="15">
        <f t="shared" si="8"/>
        <v>232.167</v>
      </c>
      <c r="J93" s="14"/>
      <c r="K93" s="13">
        <v>36957</v>
      </c>
    </row>
    <row r="94" spans="1:11" ht="12.6" customHeight="1" x14ac:dyDescent="0.2">
      <c r="A94" s="13">
        <v>36901</v>
      </c>
      <c r="B94" s="19"/>
      <c r="C94" s="15">
        <v>3.75</v>
      </c>
      <c r="D94" s="14"/>
      <c r="E94" s="15">
        <f t="shared" si="7"/>
        <v>141.917</v>
      </c>
      <c r="F94" s="14"/>
      <c r="G94" s="15">
        <f t="shared" si="6"/>
        <v>3.75</v>
      </c>
      <c r="H94" s="14"/>
      <c r="I94" s="15">
        <f t="shared" si="8"/>
        <v>235.917</v>
      </c>
      <c r="J94" s="14"/>
      <c r="K94" s="13"/>
    </row>
    <row r="95" spans="1:11" ht="12.6" customHeight="1" x14ac:dyDescent="0.2">
      <c r="A95" s="13"/>
      <c r="B95" s="19" t="s">
        <v>95</v>
      </c>
      <c r="C95" s="15"/>
      <c r="D95" s="14">
        <v>3</v>
      </c>
      <c r="E95" s="15">
        <f t="shared" si="7"/>
        <v>138.917</v>
      </c>
      <c r="F95" s="14"/>
      <c r="G95" s="15">
        <f t="shared" si="6"/>
        <v>0</v>
      </c>
      <c r="H95" s="14"/>
      <c r="I95" s="15">
        <f t="shared" si="8"/>
        <v>235.917</v>
      </c>
      <c r="J95" s="14"/>
      <c r="K95" s="13" t="s">
        <v>94</v>
      </c>
    </row>
    <row r="96" spans="1:11" ht="12.6" customHeight="1" x14ac:dyDescent="0.2">
      <c r="A96" s="13">
        <v>37257</v>
      </c>
      <c r="B96" s="19"/>
      <c r="C96" s="15">
        <v>3.75</v>
      </c>
      <c r="D96" s="14"/>
      <c r="E96" s="15">
        <f t="shared" si="7"/>
        <v>142.667</v>
      </c>
      <c r="F96" s="14"/>
      <c r="G96" s="15">
        <f t="shared" si="6"/>
        <v>3.75</v>
      </c>
      <c r="H96" s="14"/>
      <c r="I96" s="15">
        <f t="shared" si="8"/>
        <v>239.667</v>
      </c>
      <c r="J96" s="14"/>
      <c r="K96" s="33"/>
    </row>
    <row r="97" spans="1:11" s="63" customFormat="1" ht="12.6" customHeight="1" x14ac:dyDescent="0.2">
      <c r="A97" s="58"/>
      <c r="B97" s="59" t="s">
        <v>77</v>
      </c>
      <c r="C97" s="60"/>
      <c r="D97" s="61">
        <v>2</v>
      </c>
      <c r="E97" s="60">
        <f t="shared" si="7"/>
        <v>140.667</v>
      </c>
      <c r="F97" s="61"/>
      <c r="G97" s="60">
        <f t="shared" si="6"/>
        <v>0</v>
      </c>
      <c r="H97" s="61"/>
      <c r="I97" s="60">
        <f t="shared" si="8"/>
        <v>239.667</v>
      </c>
      <c r="J97" s="61"/>
      <c r="K97" s="58" t="s">
        <v>96</v>
      </c>
    </row>
    <row r="98" spans="1:11" ht="12.6" customHeight="1" x14ac:dyDescent="0.2">
      <c r="A98" s="13">
        <v>37261</v>
      </c>
      <c r="B98" s="19"/>
      <c r="C98" s="15">
        <v>5</v>
      </c>
      <c r="D98" s="14"/>
      <c r="E98" s="15">
        <f t="shared" si="7"/>
        <v>145.667</v>
      </c>
      <c r="F98" s="14"/>
      <c r="G98" s="15">
        <f t="shared" si="6"/>
        <v>5</v>
      </c>
      <c r="H98" s="14"/>
      <c r="I98" s="15">
        <f t="shared" si="8"/>
        <v>244.667</v>
      </c>
      <c r="J98" s="14"/>
      <c r="K98" s="16"/>
    </row>
    <row r="99" spans="1:11" ht="12.6" customHeight="1" x14ac:dyDescent="0.2">
      <c r="A99" s="13"/>
      <c r="B99" s="17" t="s">
        <v>76</v>
      </c>
      <c r="C99" s="15"/>
      <c r="D99" s="14">
        <v>2</v>
      </c>
      <c r="E99" s="15">
        <f t="shared" si="7"/>
        <v>143.667</v>
      </c>
      <c r="F99" s="14"/>
      <c r="G99" s="15">
        <f t="shared" si="6"/>
        <v>0</v>
      </c>
      <c r="H99" s="14"/>
      <c r="I99" s="15">
        <f t="shared" si="8"/>
        <v>244.667</v>
      </c>
      <c r="J99" s="14"/>
      <c r="K99" s="13" t="s">
        <v>97</v>
      </c>
    </row>
    <row r="100" spans="1:11" ht="12.6" customHeight="1" x14ac:dyDescent="0.2">
      <c r="A100" s="13">
        <v>37622</v>
      </c>
      <c r="B100" s="19"/>
      <c r="C100" s="15">
        <v>10</v>
      </c>
      <c r="D100" s="14"/>
      <c r="E100" s="15">
        <f t="shared" si="7"/>
        <v>153.667</v>
      </c>
      <c r="F100" s="14"/>
      <c r="G100" s="15">
        <f t="shared" si="6"/>
        <v>10</v>
      </c>
      <c r="H100" s="14"/>
      <c r="I100" s="15">
        <f t="shared" si="8"/>
        <v>254.667</v>
      </c>
      <c r="J100" s="14"/>
      <c r="K100" s="13"/>
    </row>
    <row r="101" spans="1:11" s="63" customFormat="1" ht="12.6" customHeight="1" x14ac:dyDescent="0.2">
      <c r="A101" s="58"/>
      <c r="B101" s="67" t="s">
        <v>87</v>
      </c>
      <c r="C101" s="60"/>
      <c r="D101" s="61">
        <v>3</v>
      </c>
      <c r="E101" s="60">
        <f t="shared" si="7"/>
        <v>150.667</v>
      </c>
      <c r="F101" s="61"/>
      <c r="G101" s="60">
        <f t="shared" si="6"/>
        <v>0</v>
      </c>
      <c r="H101" s="61"/>
      <c r="I101" s="60">
        <f t="shared" si="8"/>
        <v>254.667</v>
      </c>
      <c r="J101" s="61"/>
      <c r="K101" s="58" t="s">
        <v>98</v>
      </c>
    </row>
    <row r="102" spans="1:11" ht="12.6" customHeight="1" x14ac:dyDescent="0.2">
      <c r="A102" s="13">
        <v>37631</v>
      </c>
      <c r="B102" s="19"/>
      <c r="C102" s="15">
        <v>11.25</v>
      </c>
      <c r="D102" s="14"/>
      <c r="E102" s="15">
        <f t="shared" si="7"/>
        <v>161.917</v>
      </c>
      <c r="F102" s="14"/>
      <c r="G102" s="15">
        <f t="shared" si="6"/>
        <v>11.25</v>
      </c>
      <c r="H102" s="14"/>
      <c r="I102" s="15">
        <f t="shared" si="8"/>
        <v>265.91700000000003</v>
      </c>
      <c r="J102" s="14"/>
      <c r="K102" s="13"/>
    </row>
    <row r="103" spans="1:11" ht="12.6" customHeight="1" x14ac:dyDescent="0.2">
      <c r="A103" s="13"/>
      <c r="B103" s="17" t="s">
        <v>52</v>
      </c>
      <c r="C103" s="15"/>
      <c r="D103" s="14"/>
      <c r="E103" s="15">
        <f t="shared" si="7"/>
        <v>161.917</v>
      </c>
      <c r="F103" s="14"/>
      <c r="G103" s="15">
        <f t="shared" si="6"/>
        <v>0</v>
      </c>
      <c r="H103" s="14">
        <v>2</v>
      </c>
      <c r="I103" s="15">
        <f t="shared" si="8"/>
        <v>263.91700000000003</v>
      </c>
      <c r="J103" s="14"/>
      <c r="K103" s="19" t="s">
        <v>99</v>
      </c>
    </row>
    <row r="104" spans="1:11" ht="12.6" customHeight="1" x14ac:dyDescent="0.2">
      <c r="A104" s="13">
        <v>37633</v>
      </c>
      <c r="B104" s="19"/>
      <c r="C104" s="15">
        <v>2.5</v>
      </c>
      <c r="D104" s="14"/>
      <c r="E104" s="15">
        <f t="shared" si="7"/>
        <v>164.417</v>
      </c>
      <c r="F104" s="14"/>
      <c r="G104" s="15">
        <f t="shared" si="6"/>
        <v>2.5</v>
      </c>
      <c r="H104" s="14"/>
      <c r="I104" s="15">
        <f t="shared" si="8"/>
        <v>266.41700000000003</v>
      </c>
      <c r="J104" s="14"/>
      <c r="K104" s="13"/>
    </row>
    <row r="105" spans="1:11" ht="12.6" customHeight="1" x14ac:dyDescent="0.2">
      <c r="A105" s="13"/>
      <c r="B105" s="19" t="s">
        <v>100</v>
      </c>
      <c r="C105" s="15"/>
      <c r="D105" s="14"/>
      <c r="E105" s="15">
        <f t="shared" si="7"/>
        <v>164.417</v>
      </c>
      <c r="F105" s="14"/>
      <c r="G105" s="15">
        <f t="shared" si="6"/>
        <v>0</v>
      </c>
      <c r="H105" s="14"/>
      <c r="I105" s="15">
        <f t="shared" si="8"/>
        <v>266.41700000000003</v>
      </c>
      <c r="J105" s="14"/>
      <c r="K105" s="13">
        <v>37723</v>
      </c>
    </row>
    <row r="106" spans="1:11" ht="12.6" customHeight="1" x14ac:dyDescent="0.2">
      <c r="A106" s="13">
        <v>37987</v>
      </c>
      <c r="B106" s="19"/>
      <c r="C106" s="15">
        <v>1.25</v>
      </c>
      <c r="D106" s="14"/>
      <c r="E106" s="15">
        <f t="shared" si="7"/>
        <v>165.667</v>
      </c>
      <c r="F106" s="14"/>
      <c r="G106" s="15">
        <f t="shared" si="6"/>
        <v>1.25</v>
      </c>
      <c r="H106" s="14"/>
      <c r="I106" s="15">
        <f t="shared" si="8"/>
        <v>267.66700000000003</v>
      </c>
      <c r="J106" s="14"/>
      <c r="K106" s="13"/>
    </row>
    <row r="107" spans="1:11" s="63" customFormat="1" ht="12.6" customHeight="1" x14ac:dyDescent="0.2">
      <c r="A107" s="58"/>
      <c r="B107" s="59" t="s">
        <v>65</v>
      </c>
      <c r="C107" s="60"/>
      <c r="D107" s="61">
        <v>5</v>
      </c>
      <c r="E107" s="60">
        <f t="shared" si="7"/>
        <v>160.667</v>
      </c>
      <c r="F107" s="61"/>
      <c r="G107" s="60">
        <f t="shared" si="6"/>
        <v>0</v>
      </c>
      <c r="H107" s="61"/>
      <c r="I107" s="60">
        <f t="shared" si="8"/>
        <v>267.66700000000003</v>
      </c>
      <c r="J107" s="61"/>
      <c r="K107" s="64" t="s">
        <v>101</v>
      </c>
    </row>
    <row r="108" spans="1:11" ht="12.6" customHeight="1" x14ac:dyDescent="0.2">
      <c r="A108" s="19"/>
      <c r="B108" s="19"/>
      <c r="C108" s="15">
        <f>SUM(C82:C107)</f>
        <v>70</v>
      </c>
      <c r="D108" s="15">
        <f>SUM(D82:D107)</f>
        <v>55</v>
      </c>
      <c r="E108" s="15"/>
      <c r="F108" s="14"/>
      <c r="G108" s="15">
        <f>SUM(G82:G107)</f>
        <v>70</v>
      </c>
      <c r="H108" s="15">
        <f>SUM(H82:H107)</f>
        <v>3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NICASIO D. CATAPANG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APRIL 15, 1985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>
        <v>37992</v>
      </c>
      <c r="B117" s="19"/>
      <c r="C117" s="15">
        <v>6.25</v>
      </c>
      <c r="D117" s="14"/>
      <c r="E117" s="15">
        <f>E107+C117-D117</f>
        <v>166.917</v>
      </c>
      <c r="F117" s="14"/>
      <c r="G117" s="15">
        <f>C117</f>
        <v>6.25</v>
      </c>
      <c r="H117" s="14"/>
      <c r="I117" s="15">
        <f>I107+G117-H117</f>
        <v>273.91700000000003</v>
      </c>
      <c r="J117" s="14"/>
      <c r="K117" s="13"/>
    </row>
    <row r="118" spans="1:11" ht="12.6" customHeight="1" x14ac:dyDescent="0.2">
      <c r="A118" s="13"/>
      <c r="B118" s="17" t="s">
        <v>67</v>
      </c>
      <c r="C118" s="15"/>
      <c r="D118" s="14"/>
      <c r="E118" s="15">
        <f>E117+C118-D118</f>
        <v>166.917</v>
      </c>
      <c r="F118" s="14"/>
      <c r="G118" s="15">
        <f t="shared" ref="G118:G142" si="9">C118</f>
        <v>0</v>
      </c>
      <c r="H118" s="14">
        <v>2</v>
      </c>
      <c r="I118" s="15">
        <f>I117+G118-H118</f>
        <v>271.91700000000003</v>
      </c>
      <c r="J118" s="22"/>
      <c r="K118" s="23" t="s">
        <v>102</v>
      </c>
    </row>
    <row r="119" spans="1:11" ht="12.6" customHeight="1" x14ac:dyDescent="0.2">
      <c r="A119" s="13">
        <v>37993</v>
      </c>
      <c r="B119" s="19"/>
      <c r="C119" s="15">
        <v>1.25</v>
      </c>
      <c r="D119" s="14"/>
      <c r="E119" s="15">
        <f t="shared" ref="E119:E142" si="10">E118+C119-D119</f>
        <v>168.167</v>
      </c>
      <c r="F119" s="14"/>
      <c r="G119" s="15">
        <f t="shared" si="9"/>
        <v>1.25</v>
      </c>
      <c r="H119" s="14"/>
      <c r="I119" s="15">
        <f t="shared" ref="I119:I142" si="11">I118+G119-H119</f>
        <v>273.16700000000003</v>
      </c>
      <c r="J119" s="14"/>
      <c r="K119" s="16"/>
    </row>
    <row r="120" spans="1:11" ht="12.6" customHeight="1" x14ac:dyDescent="0.2">
      <c r="A120" s="13"/>
      <c r="B120" s="19" t="s">
        <v>74</v>
      </c>
      <c r="C120" s="15"/>
      <c r="D120" s="14">
        <v>1</v>
      </c>
      <c r="E120" s="15">
        <f t="shared" si="10"/>
        <v>167.167</v>
      </c>
      <c r="F120" s="14"/>
      <c r="G120" s="15">
        <f t="shared" si="9"/>
        <v>0</v>
      </c>
      <c r="H120" s="14"/>
      <c r="I120" s="15">
        <f t="shared" si="11"/>
        <v>273.16700000000003</v>
      </c>
      <c r="J120" s="14"/>
      <c r="K120" s="13" t="s">
        <v>103</v>
      </c>
    </row>
    <row r="121" spans="1:11" ht="12.6" customHeight="1" x14ac:dyDescent="0.2">
      <c r="A121" s="29">
        <v>37997</v>
      </c>
      <c r="B121" s="19"/>
      <c r="C121" s="15">
        <v>5</v>
      </c>
      <c r="D121" s="14"/>
      <c r="E121" s="15">
        <f t="shared" si="10"/>
        <v>172.167</v>
      </c>
      <c r="F121" s="14"/>
      <c r="G121" s="15">
        <f t="shared" si="9"/>
        <v>5</v>
      </c>
      <c r="H121" s="14"/>
      <c r="I121" s="15">
        <f t="shared" si="11"/>
        <v>278.16700000000003</v>
      </c>
      <c r="J121" s="14"/>
      <c r="K121" s="13"/>
    </row>
    <row r="122" spans="1:11" ht="12.6" customHeight="1" x14ac:dyDescent="0.2">
      <c r="A122" s="13"/>
      <c r="B122" s="19" t="s">
        <v>81</v>
      </c>
      <c r="C122" s="15"/>
      <c r="D122" s="14"/>
      <c r="E122" s="15">
        <f t="shared" si="10"/>
        <v>172.167</v>
      </c>
      <c r="F122" s="14"/>
      <c r="G122" s="15">
        <f t="shared" si="9"/>
        <v>0</v>
      </c>
      <c r="H122" s="14"/>
      <c r="I122" s="15">
        <f t="shared" si="11"/>
        <v>278.16700000000003</v>
      </c>
      <c r="J122" s="14"/>
      <c r="K122" s="13">
        <v>38332</v>
      </c>
    </row>
    <row r="123" spans="1:11" ht="12.6" customHeight="1" x14ac:dyDescent="0.2">
      <c r="A123" s="13">
        <v>38353</v>
      </c>
      <c r="B123" s="17"/>
      <c r="C123" s="15">
        <v>2.5</v>
      </c>
      <c r="D123" s="14"/>
      <c r="E123" s="15">
        <f t="shared" si="10"/>
        <v>174.667</v>
      </c>
      <c r="F123" s="14"/>
      <c r="G123" s="15">
        <f t="shared" si="9"/>
        <v>2.5</v>
      </c>
      <c r="H123" s="14"/>
      <c r="I123" s="15">
        <f t="shared" si="11"/>
        <v>280.66700000000003</v>
      </c>
      <c r="J123" s="14"/>
      <c r="K123" s="13"/>
    </row>
    <row r="124" spans="1:11" s="63" customFormat="1" ht="12.6" customHeight="1" x14ac:dyDescent="0.2">
      <c r="A124" s="58"/>
      <c r="B124" s="67" t="s">
        <v>105</v>
      </c>
      <c r="C124" s="60"/>
      <c r="D124" s="61">
        <v>4</v>
      </c>
      <c r="E124" s="60">
        <f t="shared" si="10"/>
        <v>170.667</v>
      </c>
      <c r="F124" s="61"/>
      <c r="G124" s="60">
        <f t="shared" si="9"/>
        <v>0</v>
      </c>
      <c r="H124" s="61"/>
      <c r="I124" s="60">
        <f t="shared" si="11"/>
        <v>280.66700000000003</v>
      </c>
      <c r="J124" s="61"/>
      <c r="K124" s="64" t="s">
        <v>104</v>
      </c>
    </row>
    <row r="125" spans="1:11" ht="12.6" customHeight="1" x14ac:dyDescent="0.2">
      <c r="A125" s="13">
        <v>38354</v>
      </c>
      <c r="B125" s="17"/>
      <c r="C125" s="15">
        <v>1.25</v>
      </c>
      <c r="D125" s="14"/>
      <c r="E125" s="15">
        <f t="shared" si="10"/>
        <v>171.917</v>
      </c>
      <c r="F125" s="14"/>
      <c r="G125" s="15">
        <f t="shared" si="9"/>
        <v>1.25</v>
      </c>
      <c r="H125" s="14"/>
      <c r="I125" s="15">
        <f t="shared" si="11"/>
        <v>281.91700000000003</v>
      </c>
      <c r="J125" s="14"/>
      <c r="K125" s="16"/>
    </row>
    <row r="126" spans="1:11" ht="12.6" customHeight="1" x14ac:dyDescent="0.2">
      <c r="A126" s="13"/>
      <c r="B126" s="19" t="s">
        <v>47</v>
      </c>
      <c r="C126" s="15"/>
      <c r="D126" s="14"/>
      <c r="E126" s="15">
        <f t="shared" si="10"/>
        <v>171.917</v>
      </c>
      <c r="F126" s="14"/>
      <c r="G126" s="15">
        <f t="shared" si="9"/>
        <v>0</v>
      </c>
      <c r="H126" s="14">
        <v>1</v>
      </c>
      <c r="I126" s="15">
        <f t="shared" si="11"/>
        <v>280.91700000000003</v>
      </c>
      <c r="J126" s="14"/>
      <c r="K126" s="16" t="s">
        <v>106</v>
      </c>
    </row>
    <row r="127" spans="1:11" ht="12.6" customHeight="1" x14ac:dyDescent="0.2">
      <c r="A127" s="13">
        <v>38357</v>
      </c>
      <c r="B127" s="19"/>
      <c r="C127" s="15">
        <v>3.75</v>
      </c>
      <c r="D127" s="14"/>
      <c r="E127" s="15">
        <f t="shared" si="10"/>
        <v>175.667</v>
      </c>
      <c r="F127" s="14"/>
      <c r="G127" s="15">
        <f t="shared" si="9"/>
        <v>3.75</v>
      </c>
      <c r="H127" s="14"/>
      <c r="I127" s="15">
        <f t="shared" si="11"/>
        <v>284.66700000000003</v>
      </c>
      <c r="J127" s="14"/>
      <c r="K127" s="13"/>
    </row>
    <row r="128" spans="1:11" ht="12.6" customHeight="1" x14ac:dyDescent="0.2">
      <c r="A128" s="13"/>
      <c r="B128" s="17" t="s">
        <v>60</v>
      </c>
      <c r="C128" s="15"/>
      <c r="D128" s="14">
        <v>5</v>
      </c>
      <c r="E128" s="15">
        <f t="shared" si="10"/>
        <v>170.667</v>
      </c>
      <c r="F128" s="14"/>
      <c r="G128" s="15">
        <f t="shared" si="9"/>
        <v>0</v>
      </c>
      <c r="H128" s="14"/>
      <c r="I128" s="15">
        <f t="shared" si="11"/>
        <v>284.66700000000003</v>
      </c>
      <c r="J128" s="14"/>
      <c r="K128" s="13" t="s">
        <v>107</v>
      </c>
    </row>
    <row r="129" spans="1:11" ht="12.6" customHeight="1" x14ac:dyDescent="0.2">
      <c r="A129" s="13">
        <v>38360</v>
      </c>
      <c r="B129" s="19"/>
      <c r="C129" s="15">
        <v>3.75</v>
      </c>
      <c r="D129" s="14"/>
      <c r="E129" s="15">
        <f t="shared" si="10"/>
        <v>174.417</v>
      </c>
      <c r="F129" s="14"/>
      <c r="G129" s="15">
        <f t="shared" si="9"/>
        <v>3.75</v>
      </c>
      <c r="H129" s="14"/>
      <c r="I129" s="15">
        <f t="shared" si="11"/>
        <v>288.41700000000003</v>
      </c>
      <c r="J129" s="14"/>
      <c r="K129" s="13"/>
    </row>
    <row r="130" spans="1:11" ht="12.6" customHeight="1" x14ac:dyDescent="0.2">
      <c r="A130" s="13"/>
      <c r="B130" s="17" t="s">
        <v>67</v>
      </c>
      <c r="C130" s="15"/>
      <c r="D130" s="14"/>
      <c r="E130" s="15">
        <f t="shared" si="10"/>
        <v>174.417</v>
      </c>
      <c r="F130" s="14"/>
      <c r="G130" s="15">
        <f t="shared" si="9"/>
        <v>0</v>
      </c>
      <c r="H130" s="14">
        <v>3</v>
      </c>
      <c r="I130" s="15">
        <f t="shared" si="11"/>
        <v>285.41700000000003</v>
      </c>
      <c r="J130" s="14"/>
      <c r="K130" s="13" t="s">
        <v>108</v>
      </c>
    </row>
    <row r="131" spans="1:11" ht="12.6" customHeight="1" x14ac:dyDescent="0.2">
      <c r="A131" s="13">
        <v>38362</v>
      </c>
      <c r="B131" s="19"/>
      <c r="C131" s="15">
        <v>2.5</v>
      </c>
      <c r="D131" s="14"/>
      <c r="E131" s="15">
        <f t="shared" si="10"/>
        <v>176.917</v>
      </c>
      <c r="F131" s="14"/>
      <c r="G131" s="15">
        <f t="shared" si="9"/>
        <v>2.5</v>
      </c>
      <c r="H131" s="14"/>
      <c r="I131" s="15">
        <f t="shared" si="11"/>
        <v>287.91700000000003</v>
      </c>
      <c r="J131" s="14"/>
      <c r="K131" s="33"/>
    </row>
    <row r="132" spans="1:11" ht="12.6" customHeight="1" x14ac:dyDescent="0.2">
      <c r="A132" s="13"/>
      <c r="B132" s="19" t="s">
        <v>76</v>
      </c>
      <c r="C132" s="15"/>
      <c r="D132" s="14">
        <v>2</v>
      </c>
      <c r="E132" s="15">
        <f t="shared" si="10"/>
        <v>174.917</v>
      </c>
      <c r="F132" s="14"/>
      <c r="G132" s="15">
        <f t="shared" si="9"/>
        <v>0</v>
      </c>
      <c r="H132" s="14"/>
      <c r="I132" s="15">
        <f t="shared" si="11"/>
        <v>287.91700000000003</v>
      </c>
      <c r="J132" s="14"/>
      <c r="K132" s="13" t="s">
        <v>109</v>
      </c>
    </row>
    <row r="133" spans="1:11" ht="12.6" customHeight="1" x14ac:dyDescent="0.2">
      <c r="A133" s="13"/>
      <c r="B133" s="19" t="s">
        <v>47</v>
      </c>
      <c r="C133" s="15"/>
      <c r="D133" s="14"/>
      <c r="E133" s="15">
        <f t="shared" si="10"/>
        <v>174.917</v>
      </c>
      <c r="F133" s="14"/>
      <c r="G133" s="15">
        <f t="shared" si="9"/>
        <v>0</v>
      </c>
      <c r="H133" s="14">
        <v>1</v>
      </c>
      <c r="I133" s="15">
        <f t="shared" si="11"/>
        <v>286.91700000000003</v>
      </c>
      <c r="J133" s="14"/>
      <c r="K133" s="16" t="s">
        <v>110</v>
      </c>
    </row>
    <row r="134" spans="1:11" ht="12.6" customHeight="1" x14ac:dyDescent="0.2">
      <c r="A134" s="13">
        <v>38363</v>
      </c>
      <c r="B134" s="19"/>
      <c r="C134" s="15">
        <v>1.25</v>
      </c>
      <c r="D134" s="14"/>
      <c r="E134" s="15">
        <f t="shared" si="10"/>
        <v>176.167</v>
      </c>
      <c r="F134" s="14"/>
      <c r="G134" s="15">
        <f t="shared" si="9"/>
        <v>1.25</v>
      </c>
      <c r="H134" s="14"/>
      <c r="I134" s="15">
        <f t="shared" si="11"/>
        <v>288.16700000000003</v>
      </c>
      <c r="J134" s="14"/>
      <c r="K134" s="13"/>
    </row>
    <row r="135" spans="1:11" ht="12.6" customHeight="1" x14ac:dyDescent="0.2">
      <c r="A135" s="13"/>
      <c r="B135" s="19" t="s">
        <v>81</v>
      </c>
      <c r="C135" s="15"/>
      <c r="D135" s="14"/>
      <c r="E135" s="15">
        <f t="shared" si="10"/>
        <v>176.167</v>
      </c>
      <c r="F135" s="14"/>
      <c r="G135" s="15">
        <f t="shared" si="9"/>
        <v>0</v>
      </c>
      <c r="H135" s="14"/>
      <c r="I135" s="15">
        <f t="shared" si="11"/>
        <v>288.16700000000003</v>
      </c>
      <c r="J135" s="14"/>
      <c r="K135" s="13">
        <v>38667</v>
      </c>
    </row>
    <row r="136" spans="1:11" ht="12.6" customHeight="1" x14ac:dyDescent="0.2">
      <c r="A136" s="13">
        <v>38718</v>
      </c>
      <c r="B136" s="19"/>
      <c r="C136" s="15">
        <v>2.5</v>
      </c>
      <c r="D136" s="14"/>
      <c r="E136" s="15">
        <f t="shared" si="10"/>
        <v>178.667</v>
      </c>
      <c r="F136" s="14"/>
      <c r="G136" s="15">
        <f t="shared" si="9"/>
        <v>2.5</v>
      </c>
      <c r="H136" s="14"/>
      <c r="I136" s="15">
        <f t="shared" si="11"/>
        <v>290.66700000000003</v>
      </c>
      <c r="J136" s="14"/>
      <c r="K136" s="13"/>
    </row>
    <row r="137" spans="1:11" ht="12.6" customHeight="1" x14ac:dyDescent="0.2">
      <c r="A137" s="13"/>
      <c r="B137" s="19" t="s">
        <v>81</v>
      </c>
      <c r="C137" s="15"/>
      <c r="D137" s="14"/>
      <c r="E137" s="15">
        <f t="shared" si="10"/>
        <v>178.667</v>
      </c>
      <c r="F137" s="14"/>
      <c r="G137" s="15">
        <f t="shared" si="9"/>
        <v>0</v>
      </c>
      <c r="H137" s="14"/>
      <c r="I137" s="15">
        <f t="shared" si="11"/>
        <v>290.66700000000003</v>
      </c>
      <c r="J137" s="14"/>
      <c r="K137" s="13">
        <v>38869</v>
      </c>
    </row>
    <row r="138" spans="1:11" ht="12.6" customHeight="1" x14ac:dyDescent="0.2">
      <c r="A138" s="13">
        <v>38721</v>
      </c>
      <c r="B138" s="19"/>
      <c r="C138" s="15">
        <v>3.75</v>
      </c>
      <c r="D138" s="14"/>
      <c r="E138" s="15">
        <f t="shared" si="10"/>
        <v>182.417</v>
      </c>
      <c r="F138" s="14"/>
      <c r="G138" s="15">
        <f t="shared" si="9"/>
        <v>3.75</v>
      </c>
      <c r="H138" s="14"/>
      <c r="I138" s="15">
        <f t="shared" si="11"/>
        <v>294.41700000000003</v>
      </c>
      <c r="J138" s="14"/>
      <c r="K138" s="19"/>
    </row>
    <row r="139" spans="1:11" ht="12.6" customHeight="1" x14ac:dyDescent="0.2">
      <c r="A139" s="13"/>
      <c r="B139" s="19" t="s">
        <v>52</v>
      </c>
      <c r="C139" s="15"/>
      <c r="D139" s="14"/>
      <c r="E139" s="15">
        <f t="shared" si="10"/>
        <v>182.417</v>
      </c>
      <c r="F139" s="14"/>
      <c r="G139" s="15">
        <f t="shared" si="9"/>
        <v>0</v>
      </c>
      <c r="H139" s="14">
        <v>2</v>
      </c>
      <c r="I139" s="15">
        <f t="shared" si="11"/>
        <v>292.41700000000003</v>
      </c>
      <c r="J139" s="14"/>
      <c r="K139" s="13" t="s">
        <v>111</v>
      </c>
    </row>
    <row r="140" spans="1:11" ht="12.6" customHeight="1" x14ac:dyDescent="0.2">
      <c r="A140" s="13">
        <v>38722</v>
      </c>
      <c r="B140" s="19"/>
      <c r="C140" s="15">
        <v>1.25</v>
      </c>
      <c r="D140" s="14"/>
      <c r="E140" s="15">
        <f t="shared" si="10"/>
        <v>183.667</v>
      </c>
      <c r="F140" s="14"/>
      <c r="G140" s="15">
        <f t="shared" si="9"/>
        <v>1.25</v>
      </c>
      <c r="H140" s="14"/>
      <c r="I140" s="15">
        <f t="shared" si="11"/>
        <v>293.66700000000003</v>
      </c>
      <c r="J140" s="14"/>
      <c r="K140" s="13"/>
    </row>
    <row r="141" spans="1:11" ht="12.6" customHeight="1" x14ac:dyDescent="0.2">
      <c r="A141" s="13"/>
      <c r="B141" s="19" t="s">
        <v>47</v>
      </c>
      <c r="C141" s="15"/>
      <c r="D141" s="14"/>
      <c r="E141" s="15">
        <f t="shared" si="10"/>
        <v>183.667</v>
      </c>
      <c r="F141" s="14"/>
      <c r="G141" s="15">
        <f t="shared" si="9"/>
        <v>0</v>
      </c>
      <c r="H141" s="14">
        <v>1</v>
      </c>
      <c r="I141" s="15">
        <f t="shared" si="11"/>
        <v>292.66700000000003</v>
      </c>
      <c r="J141" s="14"/>
      <c r="K141" s="13">
        <v>38934</v>
      </c>
    </row>
    <row r="142" spans="1:11" ht="12.6" customHeight="1" x14ac:dyDescent="0.2">
      <c r="A142" s="13">
        <v>38723</v>
      </c>
      <c r="B142" s="19"/>
      <c r="C142" s="15">
        <v>1.25</v>
      </c>
      <c r="D142" s="14"/>
      <c r="E142" s="15">
        <f t="shared" si="10"/>
        <v>184.917</v>
      </c>
      <c r="F142" s="14"/>
      <c r="G142" s="15">
        <f t="shared" si="9"/>
        <v>1.25</v>
      </c>
      <c r="H142" s="14"/>
      <c r="I142" s="15">
        <f t="shared" si="11"/>
        <v>293.91700000000003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36.25</v>
      </c>
      <c r="D143" s="15">
        <f>SUM(D117:D142)</f>
        <v>12</v>
      </c>
      <c r="E143" s="15"/>
      <c r="F143" s="14"/>
      <c r="G143" s="15">
        <f>SUM(G117:G142)</f>
        <v>36.25</v>
      </c>
      <c r="H143" s="15">
        <f>SUM(H117:H142)</f>
        <v>10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NICASIO D. CATAPANG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APRIL 15, 1985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 t="s">
        <v>47</v>
      </c>
      <c r="C156" s="15"/>
      <c r="D156" s="14"/>
      <c r="E156" s="15">
        <f>E142+C156-D156</f>
        <v>184.917</v>
      </c>
      <c r="F156" s="14"/>
      <c r="G156" s="15">
        <f>C156</f>
        <v>0</v>
      </c>
      <c r="H156" s="14">
        <v>1</v>
      </c>
      <c r="I156" s="15">
        <f>I142+G156-H156</f>
        <v>292.91700000000003</v>
      </c>
      <c r="J156" s="14"/>
      <c r="K156" s="13" t="s">
        <v>112</v>
      </c>
    </row>
    <row r="157" spans="1:11" ht="12.6" customHeight="1" x14ac:dyDescent="0.2">
      <c r="A157" s="13">
        <v>38725</v>
      </c>
      <c r="B157" s="19"/>
      <c r="C157" s="15">
        <v>2.5</v>
      </c>
      <c r="D157" s="14"/>
      <c r="E157" s="15">
        <f>E156+C157-D157</f>
        <v>187.417</v>
      </c>
      <c r="F157" s="14"/>
      <c r="G157" s="15">
        <f t="shared" ref="G157:G181" si="12">C157</f>
        <v>2.5</v>
      </c>
      <c r="H157" s="14"/>
      <c r="I157" s="15">
        <f>I156+G157-H157</f>
        <v>295.41700000000003</v>
      </c>
      <c r="J157" s="14"/>
      <c r="K157" s="13"/>
    </row>
    <row r="158" spans="1:11" ht="12.6" customHeight="1" x14ac:dyDescent="0.2">
      <c r="A158" s="13"/>
      <c r="B158" s="19" t="s">
        <v>47</v>
      </c>
      <c r="C158" s="15"/>
      <c r="D158" s="14"/>
      <c r="E158" s="15">
        <f t="shared" ref="E158:E181" si="13">E157+C158-D158</f>
        <v>187.417</v>
      </c>
      <c r="F158" s="22"/>
      <c r="G158" s="15">
        <f t="shared" si="12"/>
        <v>0</v>
      </c>
      <c r="H158" s="34">
        <v>1</v>
      </c>
      <c r="I158" s="15">
        <f t="shared" ref="I158:I181" si="14">I157+G158-H158</f>
        <v>294.41700000000003</v>
      </c>
      <c r="J158" s="14"/>
      <c r="K158" s="13" t="s">
        <v>113</v>
      </c>
    </row>
    <row r="159" spans="1:11" ht="12.6" customHeight="1" x14ac:dyDescent="0.2">
      <c r="A159" s="13">
        <v>38728</v>
      </c>
      <c r="B159" s="19"/>
      <c r="C159" s="15">
        <v>3.75</v>
      </c>
      <c r="D159" s="14"/>
      <c r="E159" s="15">
        <f t="shared" si="13"/>
        <v>191.167</v>
      </c>
      <c r="F159" s="14"/>
      <c r="G159" s="15">
        <f t="shared" si="12"/>
        <v>3.75</v>
      </c>
      <c r="H159" s="34"/>
      <c r="I159" s="15">
        <f t="shared" si="14"/>
        <v>298.16700000000003</v>
      </c>
      <c r="J159" s="14"/>
      <c r="K159" s="13"/>
    </row>
    <row r="160" spans="1:11" ht="12.6" customHeight="1" x14ac:dyDescent="0.2">
      <c r="A160" s="13"/>
      <c r="B160" s="19" t="s">
        <v>81</v>
      </c>
      <c r="C160" s="15"/>
      <c r="D160" s="14"/>
      <c r="E160" s="15">
        <f t="shared" si="13"/>
        <v>191.167</v>
      </c>
      <c r="F160" s="14"/>
      <c r="G160" s="15">
        <f t="shared" si="12"/>
        <v>0</v>
      </c>
      <c r="H160" s="34"/>
      <c r="I160" s="15">
        <f t="shared" si="14"/>
        <v>298.16700000000003</v>
      </c>
      <c r="J160" s="14"/>
      <c r="K160" s="16" t="s">
        <v>114</v>
      </c>
    </row>
    <row r="161" spans="1:11" ht="12.6" customHeight="1" x14ac:dyDescent="0.2">
      <c r="A161" s="13"/>
      <c r="B161" s="19" t="s">
        <v>47</v>
      </c>
      <c r="C161" s="15"/>
      <c r="D161" s="14"/>
      <c r="E161" s="15">
        <f t="shared" si="13"/>
        <v>191.167</v>
      </c>
      <c r="F161" s="14"/>
      <c r="G161" s="15">
        <f t="shared" si="12"/>
        <v>0</v>
      </c>
      <c r="H161" s="34">
        <v>1</v>
      </c>
      <c r="I161" s="15">
        <f t="shared" si="14"/>
        <v>297.16700000000003</v>
      </c>
      <c r="J161" s="14"/>
      <c r="K161" s="13" t="s">
        <v>115</v>
      </c>
    </row>
    <row r="162" spans="1:11" ht="12.6" customHeight="1" x14ac:dyDescent="0.2">
      <c r="A162" s="13">
        <v>39083</v>
      </c>
      <c r="B162" s="19"/>
      <c r="C162" s="15">
        <v>2.5</v>
      </c>
      <c r="D162" s="14"/>
      <c r="E162" s="15">
        <f t="shared" si="13"/>
        <v>193.667</v>
      </c>
      <c r="F162" s="14"/>
      <c r="G162" s="15">
        <f t="shared" si="12"/>
        <v>2.5</v>
      </c>
      <c r="H162" s="34"/>
      <c r="I162" s="15">
        <f t="shared" si="14"/>
        <v>299.66700000000003</v>
      </c>
      <c r="J162" s="14"/>
      <c r="K162" s="16"/>
    </row>
    <row r="163" spans="1:11" ht="12.6" customHeight="1" x14ac:dyDescent="0.2">
      <c r="A163" s="13"/>
      <c r="B163" s="19" t="s">
        <v>65</v>
      </c>
      <c r="C163" s="15"/>
      <c r="D163" s="22">
        <v>5</v>
      </c>
      <c r="E163" s="15">
        <f t="shared" si="13"/>
        <v>188.667</v>
      </c>
      <c r="F163" s="22"/>
      <c r="G163" s="15">
        <f t="shared" si="12"/>
        <v>0</v>
      </c>
      <c r="H163" s="14"/>
      <c r="I163" s="15">
        <f t="shared" si="14"/>
        <v>299.66700000000003</v>
      </c>
      <c r="J163" s="14"/>
      <c r="K163" s="13" t="s">
        <v>116</v>
      </c>
    </row>
    <row r="164" spans="1:11" ht="12.6" customHeight="1" x14ac:dyDescent="0.2">
      <c r="A164" s="13"/>
      <c r="B164" s="19" t="s">
        <v>81</v>
      </c>
      <c r="C164" s="15"/>
      <c r="D164" s="22"/>
      <c r="E164" s="15">
        <f t="shared" si="13"/>
        <v>188.667</v>
      </c>
      <c r="F164" s="14"/>
      <c r="G164" s="15">
        <f t="shared" si="12"/>
        <v>0</v>
      </c>
      <c r="H164" s="34"/>
      <c r="I164" s="15">
        <f t="shared" si="14"/>
        <v>299.66700000000003</v>
      </c>
      <c r="J164" s="14"/>
      <c r="K164" s="13">
        <v>39203</v>
      </c>
    </row>
    <row r="165" spans="1:11" ht="12.6" customHeight="1" x14ac:dyDescent="0.2">
      <c r="A165" s="13"/>
      <c r="B165" s="19" t="s">
        <v>47</v>
      </c>
      <c r="C165" s="15"/>
      <c r="D165" s="14"/>
      <c r="E165" s="15">
        <f t="shared" si="13"/>
        <v>188.667</v>
      </c>
      <c r="F165" s="14"/>
      <c r="G165" s="15">
        <f t="shared" si="12"/>
        <v>0</v>
      </c>
      <c r="H165" s="34">
        <v>1</v>
      </c>
      <c r="I165" s="15">
        <f t="shared" si="14"/>
        <v>298.66700000000003</v>
      </c>
      <c r="J165" s="14"/>
      <c r="K165" s="13">
        <v>39387</v>
      </c>
    </row>
    <row r="166" spans="1:11" ht="12.6" customHeight="1" x14ac:dyDescent="0.2">
      <c r="A166" s="13">
        <v>39085</v>
      </c>
      <c r="B166" s="19"/>
      <c r="C166" s="15">
        <v>2.5</v>
      </c>
      <c r="D166" s="14"/>
      <c r="E166" s="15">
        <f t="shared" si="13"/>
        <v>191.167</v>
      </c>
      <c r="F166" s="22"/>
      <c r="G166" s="15">
        <f t="shared" si="12"/>
        <v>2.5</v>
      </c>
      <c r="H166" s="34"/>
      <c r="I166" s="15">
        <f t="shared" si="14"/>
        <v>301.16700000000003</v>
      </c>
      <c r="J166" s="14"/>
      <c r="K166" s="13"/>
    </row>
    <row r="167" spans="1:11" ht="12.6" customHeight="1" x14ac:dyDescent="0.2">
      <c r="A167" s="13"/>
      <c r="B167" s="19" t="s">
        <v>47</v>
      </c>
      <c r="C167" s="15"/>
      <c r="D167" s="14"/>
      <c r="E167" s="15">
        <f t="shared" si="13"/>
        <v>191.167</v>
      </c>
      <c r="F167" s="22"/>
      <c r="G167" s="15">
        <f t="shared" si="12"/>
        <v>0</v>
      </c>
      <c r="H167" s="35">
        <v>1</v>
      </c>
      <c r="I167" s="15">
        <f t="shared" si="14"/>
        <v>300.16700000000003</v>
      </c>
      <c r="J167" s="14"/>
      <c r="K167" s="16" t="s">
        <v>117</v>
      </c>
    </row>
    <row r="168" spans="1:11" ht="12.6" customHeight="1" x14ac:dyDescent="0.2">
      <c r="A168" s="13"/>
      <c r="B168" s="19" t="s">
        <v>95</v>
      </c>
      <c r="C168" s="15"/>
      <c r="D168" s="14">
        <v>3</v>
      </c>
      <c r="E168" s="15">
        <f t="shared" si="13"/>
        <v>188.167</v>
      </c>
      <c r="F168" s="14"/>
      <c r="G168" s="15">
        <f t="shared" si="12"/>
        <v>0</v>
      </c>
      <c r="H168" s="32"/>
      <c r="I168" s="15">
        <f t="shared" si="14"/>
        <v>300.16700000000003</v>
      </c>
      <c r="J168" s="14"/>
      <c r="K168" s="13" t="s">
        <v>118</v>
      </c>
    </row>
    <row r="169" spans="1:11" ht="12.6" customHeight="1" x14ac:dyDescent="0.2">
      <c r="A169" s="13">
        <v>39086</v>
      </c>
      <c r="B169" s="19"/>
      <c r="C169" s="15">
        <v>1.25</v>
      </c>
      <c r="D169" s="14"/>
      <c r="E169" s="15">
        <f t="shared" si="13"/>
        <v>189.417</v>
      </c>
      <c r="F169" s="22"/>
      <c r="G169" s="15">
        <f t="shared" si="12"/>
        <v>1.25</v>
      </c>
      <c r="H169" s="34"/>
      <c r="I169" s="15">
        <f t="shared" si="14"/>
        <v>301.41700000000003</v>
      </c>
      <c r="J169" s="14"/>
      <c r="K169" s="13"/>
    </row>
    <row r="170" spans="1:11" ht="12.6" customHeight="1" x14ac:dyDescent="0.2">
      <c r="A170" s="13"/>
      <c r="B170" s="19" t="s">
        <v>47</v>
      </c>
      <c r="C170" s="15"/>
      <c r="D170" s="14"/>
      <c r="E170" s="15">
        <f t="shared" si="13"/>
        <v>189.417</v>
      </c>
      <c r="F170" s="14"/>
      <c r="G170" s="15">
        <f t="shared" si="12"/>
        <v>0</v>
      </c>
      <c r="H170" s="14">
        <v>1</v>
      </c>
      <c r="I170" s="15">
        <f t="shared" si="14"/>
        <v>300.41700000000003</v>
      </c>
      <c r="J170" s="14"/>
      <c r="K170" s="13" t="s">
        <v>119</v>
      </c>
    </row>
    <row r="171" spans="1:11" ht="12.6" customHeight="1" x14ac:dyDescent="0.2">
      <c r="A171" s="13">
        <v>39087</v>
      </c>
      <c r="B171" s="19"/>
      <c r="C171" s="15">
        <v>1.25</v>
      </c>
      <c r="D171" s="14"/>
      <c r="E171" s="15">
        <f t="shared" si="13"/>
        <v>190.667</v>
      </c>
      <c r="F171" s="14"/>
      <c r="G171" s="15">
        <f t="shared" si="12"/>
        <v>1.25</v>
      </c>
      <c r="H171" s="34"/>
      <c r="I171" s="15">
        <f t="shared" si="14"/>
        <v>301.66700000000003</v>
      </c>
      <c r="J171" s="14"/>
      <c r="K171" s="16"/>
    </row>
    <row r="172" spans="1:11" ht="12.6" customHeight="1" x14ac:dyDescent="0.2">
      <c r="A172" s="13"/>
      <c r="B172" s="19" t="s">
        <v>47</v>
      </c>
      <c r="C172" s="15"/>
      <c r="D172" s="14"/>
      <c r="E172" s="15">
        <f t="shared" si="13"/>
        <v>190.667</v>
      </c>
      <c r="F172" s="14"/>
      <c r="G172" s="15">
        <f t="shared" si="12"/>
        <v>0</v>
      </c>
      <c r="H172" s="34">
        <v>1</v>
      </c>
      <c r="I172" s="15">
        <f t="shared" si="14"/>
        <v>300.66700000000003</v>
      </c>
      <c r="J172" s="14"/>
      <c r="K172" s="13">
        <v>39146</v>
      </c>
    </row>
    <row r="173" spans="1:11" ht="12.6" customHeight="1" x14ac:dyDescent="0.2">
      <c r="A173" s="13">
        <v>39088</v>
      </c>
      <c r="B173" s="19"/>
      <c r="C173" s="15">
        <v>1.25</v>
      </c>
      <c r="D173" s="14"/>
      <c r="E173" s="15">
        <f t="shared" si="13"/>
        <v>191.917</v>
      </c>
      <c r="F173" s="14"/>
      <c r="G173" s="15">
        <f t="shared" si="12"/>
        <v>1.25</v>
      </c>
      <c r="H173" s="35"/>
      <c r="I173" s="15">
        <f t="shared" si="14"/>
        <v>301.91700000000003</v>
      </c>
      <c r="J173" s="14"/>
      <c r="K173" s="13"/>
    </row>
    <row r="174" spans="1:11" ht="12.6" customHeight="1" x14ac:dyDescent="0.2">
      <c r="A174" s="13"/>
      <c r="B174" s="19" t="s">
        <v>74</v>
      </c>
      <c r="C174" s="15"/>
      <c r="D174" s="14">
        <v>1</v>
      </c>
      <c r="E174" s="15">
        <f t="shared" si="13"/>
        <v>190.917</v>
      </c>
      <c r="F174" s="22"/>
      <c r="G174" s="15">
        <f t="shared" si="12"/>
        <v>0</v>
      </c>
      <c r="H174" s="14"/>
      <c r="I174" s="15">
        <f t="shared" si="14"/>
        <v>301.91700000000003</v>
      </c>
      <c r="J174" s="14"/>
      <c r="K174" s="13">
        <v>39208</v>
      </c>
    </row>
    <row r="175" spans="1:11" ht="12.6" customHeight="1" x14ac:dyDescent="0.2">
      <c r="A175" s="13"/>
      <c r="B175" s="19" t="s">
        <v>47</v>
      </c>
      <c r="C175" s="15"/>
      <c r="D175" s="14"/>
      <c r="E175" s="15">
        <f t="shared" si="13"/>
        <v>190.917</v>
      </c>
      <c r="F175" s="22"/>
      <c r="G175" s="15">
        <f t="shared" si="12"/>
        <v>0</v>
      </c>
      <c r="H175" s="34">
        <v>1</v>
      </c>
      <c r="I175" s="15">
        <f t="shared" si="14"/>
        <v>300.91700000000003</v>
      </c>
      <c r="J175" s="14"/>
      <c r="K175" s="13" t="s">
        <v>120</v>
      </c>
    </row>
    <row r="176" spans="1:11" ht="12.6" customHeight="1" x14ac:dyDescent="0.2">
      <c r="A176" s="13">
        <v>39090</v>
      </c>
      <c r="B176" s="19"/>
      <c r="C176" s="15">
        <v>2.5</v>
      </c>
      <c r="D176" s="14"/>
      <c r="E176" s="15">
        <f t="shared" si="13"/>
        <v>193.417</v>
      </c>
      <c r="F176" s="14"/>
      <c r="G176" s="15">
        <f t="shared" si="12"/>
        <v>2.5</v>
      </c>
      <c r="H176" s="32"/>
      <c r="I176" s="15">
        <f t="shared" si="14"/>
        <v>303.41700000000003</v>
      </c>
      <c r="J176" s="14"/>
      <c r="K176" s="16"/>
    </row>
    <row r="177" spans="1:11" ht="12.6" customHeight="1" x14ac:dyDescent="0.2">
      <c r="A177" s="13"/>
      <c r="B177" s="19" t="s">
        <v>74</v>
      </c>
      <c r="C177" s="15"/>
      <c r="D177" s="14">
        <v>1</v>
      </c>
      <c r="E177" s="15">
        <f t="shared" si="13"/>
        <v>192.417</v>
      </c>
      <c r="F177" s="14"/>
      <c r="G177" s="15">
        <f t="shared" si="12"/>
        <v>0</v>
      </c>
      <c r="H177" s="34"/>
      <c r="I177" s="15">
        <f t="shared" si="14"/>
        <v>303.41700000000003</v>
      </c>
      <c r="J177" s="14"/>
      <c r="K177" s="13">
        <v>39271</v>
      </c>
    </row>
    <row r="178" spans="1:11" ht="12.6" customHeight="1" x14ac:dyDescent="0.2">
      <c r="A178" s="13">
        <v>39093</v>
      </c>
      <c r="B178" s="19"/>
      <c r="C178" s="15">
        <v>3.75</v>
      </c>
      <c r="D178" s="14"/>
      <c r="E178" s="15">
        <f t="shared" si="13"/>
        <v>196.167</v>
      </c>
      <c r="F178" s="14"/>
      <c r="G178" s="15">
        <f t="shared" si="12"/>
        <v>3.75</v>
      </c>
      <c r="H178" s="34"/>
      <c r="I178" s="15">
        <f t="shared" si="14"/>
        <v>307.16700000000003</v>
      </c>
      <c r="J178" s="14"/>
      <c r="K178" s="13"/>
    </row>
    <row r="179" spans="1:11" ht="12.6" customHeight="1" x14ac:dyDescent="0.2">
      <c r="A179" s="13"/>
      <c r="B179" s="19" t="s">
        <v>81</v>
      </c>
      <c r="C179" s="15"/>
      <c r="D179" s="14"/>
      <c r="E179" s="15">
        <f t="shared" si="13"/>
        <v>196.167</v>
      </c>
      <c r="F179" s="14"/>
      <c r="G179" s="15">
        <f t="shared" si="12"/>
        <v>0</v>
      </c>
      <c r="H179" s="34"/>
      <c r="I179" s="15">
        <f t="shared" si="14"/>
        <v>307.16700000000003</v>
      </c>
      <c r="J179" s="14"/>
      <c r="K179" s="16" t="s">
        <v>121</v>
      </c>
    </row>
    <row r="180" spans="1:11" ht="12.6" customHeight="1" x14ac:dyDescent="0.2">
      <c r="A180" s="13">
        <v>39448</v>
      </c>
      <c r="B180" s="19"/>
      <c r="C180" s="15">
        <v>2.5</v>
      </c>
      <c r="D180" s="14"/>
      <c r="E180" s="15">
        <f t="shared" si="13"/>
        <v>198.667</v>
      </c>
      <c r="F180" s="14"/>
      <c r="G180" s="15">
        <f t="shared" si="12"/>
        <v>2.5</v>
      </c>
      <c r="H180" s="34"/>
      <c r="I180" s="15">
        <f t="shared" si="14"/>
        <v>309.66700000000003</v>
      </c>
      <c r="J180" s="14"/>
      <c r="K180" s="13"/>
    </row>
    <row r="181" spans="1:11" ht="12.6" customHeight="1" x14ac:dyDescent="0.2">
      <c r="A181" s="13"/>
      <c r="B181" s="19" t="s">
        <v>125</v>
      </c>
      <c r="C181" s="15"/>
      <c r="D181" s="14"/>
      <c r="E181" s="15">
        <f t="shared" si="13"/>
        <v>198.667</v>
      </c>
      <c r="F181" s="14"/>
      <c r="G181" s="15">
        <f t="shared" si="12"/>
        <v>0</v>
      </c>
      <c r="H181" s="34">
        <v>4</v>
      </c>
      <c r="I181" s="15">
        <f t="shared" si="14"/>
        <v>305.66700000000003</v>
      </c>
      <c r="J181" s="14"/>
      <c r="K181" s="13" t="s">
        <v>124</v>
      </c>
    </row>
    <row r="182" spans="1:11" ht="12.6" customHeight="1" x14ac:dyDescent="0.2">
      <c r="A182" s="19"/>
      <c r="B182" s="19"/>
      <c r="C182" s="15">
        <f>SUM(C156:C181)</f>
        <v>23.75</v>
      </c>
      <c r="D182" s="15">
        <f>SUM(D156:D181)</f>
        <v>10</v>
      </c>
      <c r="E182" s="36"/>
      <c r="F182" s="37"/>
      <c r="G182" s="15">
        <f>SUM(G156:G181)</f>
        <v>23.75</v>
      </c>
      <c r="H182" s="15">
        <f>SUM(H156:H181)</f>
        <v>12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NICASIO D. CATAPANG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APRIL 15, 1985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3" t="s">
        <v>52</v>
      </c>
      <c r="C191" s="15"/>
      <c r="D191" s="14"/>
      <c r="E191" s="15">
        <f>E181+C191-D191</f>
        <v>198.667</v>
      </c>
      <c r="F191" s="14"/>
      <c r="G191" s="15">
        <f>C191</f>
        <v>0</v>
      </c>
      <c r="H191" s="34">
        <v>2</v>
      </c>
      <c r="I191" s="15">
        <f>I181+G191-H191</f>
        <v>303.66700000000003</v>
      </c>
      <c r="J191" s="14"/>
      <c r="K191" s="13" t="s">
        <v>122</v>
      </c>
    </row>
    <row r="192" spans="1:11" ht="12.6" customHeight="1" x14ac:dyDescent="0.2">
      <c r="A192" s="13"/>
      <c r="B192" s="13" t="s">
        <v>60</v>
      </c>
      <c r="C192" s="15"/>
      <c r="D192" s="14">
        <v>5</v>
      </c>
      <c r="E192" s="15">
        <f>E191+C192-D192</f>
        <v>193.667</v>
      </c>
      <c r="F192" s="14"/>
      <c r="G192" s="15">
        <f t="shared" ref="G192:G216" si="15">C192</f>
        <v>0</v>
      </c>
      <c r="H192" s="34"/>
      <c r="I192" s="15">
        <f>I191+G192-H192</f>
        <v>303.66700000000003</v>
      </c>
      <c r="J192" s="14"/>
      <c r="K192" s="13" t="s">
        <v>123</v>
      </c>
    </row>
    <row r="193" spans="1:11" ht="12.6" customHeight="1" x14ac:dyDescent="0.2">
      <c r="A193" s="13">
        <v>39450</v>
      </c>
      <c r="B193" s="19"/>
      <c r="C193" s="15">
        <v>2.5</v>
      </c>
      <c r="D193" s="14"/>
      <c r="E193" s="15">
        <f t="shared" ref="E193:E216" si="16">E192+C193-D193</f>
        <v>196.167</v>
      </c>
      <c r="F193" s="22"/>
      <c r="G193" s="15">
        <f t="shared" si="15"/>
        <v>2.5</v>
      </c>
      <c r="H193" s="34"/>
      <c r="I193" s="15">
        <f t="shared" ref="I193:I216" si="17">I192+G193-H193</f>
        <v>306.16700000000003</v>
      </c>
      <c r="J193" s="14"/>
      <c r="K193" s="38"/>
    </row>
    <row r="194" spans="1:11" ht="12.6" customHeight="1" x14ac:dyDescent="0.2">
      <c r="A194" s="13"/>
      <c r="B194" s="19" t="s">
        <v>74</v>
      </c>
      <c r="C194" s="15"/>
      <c r="D194" s="14">
        <v>1</v>
      </c>
      <c r="E194" s="15">
        <f t="shared" si="16"/>
        <v>195.167</v>
      </c>
      <c r="F194" s="14"/>
      <c r="G194" s="15">
        <f t="shared" si="15"/>
        <v>0</v>
      </c>
      <c r="H194" s="34"/>
      <c r="I194" s="15">
        <f t="shared" si="17"/>
        <v>306.16700000000003</v>
      </c>
      <c r="J194" s="14"/>
      <c r="K194" s="13" t="s">
        <v>126</v>
      </c>
    </row>
    <row r="195" spans="1:11" ht="12.6" customHeight="1" x14ac:dyDescent="0.2">
      <c r="A195" s="13"/>
      <c r="B195" s="19" t="s">
        <v>129</v>
      </c>
      <c r="C195" s="15"/>
      <c r="D195" s="14"/>
      <c r="E195" s="15">
        <f t="shared" si="16"/>
        <v>195.167</v>
      </c>
      <c r="F195" s="14"/>
      <c r="G195" s="15">
        <f t="shared" si="15"/>
        <v>0</v>
      </c>
      <c r="H195" s="32">
        <v>0.5</v>
      </c>
      <c r="I195" s="15">
        <f t="shared" si="17"/>
        <v>305.66700000000003</v>
      </c>
      <c r="J195" s="14"/>
      <c r="K195" s="13" t="s">
        <v>127</v>
      </c>
    </row>
    <row r="196" spans="1:11" ht="12.6" customHeight="1" x14ac:dyDescent="0.2">
      <c r="A196" s="13"/>
      <c r="B196" s="19" t="s">
        <v>47</v>
      </c>
      <c r="C196" s="15"/>
      <c r="D196" s="14"/>
      <c r="E196" s="15">
        <f t="shared" si="16"/>
        <v>195.167</v>
      </c>
      <c r="F196" s="14"/>
      <c r="G196" s="15">
        <f t="shared" si="15"/>
        <v>0</v>
      </c>
      <c r="H196" s="34">
        <v>1</v>
      </c>
      <c r="I196" s="15">
        <f t="shared" si="17"/>
        <v>304.66700000000003</v>
      </c>
      <c r="J196" s="14"/>
      <c r="K196" s="13" t="s">
        <v>128</v>
      </c>
    </row>
    <row r="197" spans="1:11" ht="12.6" customHeight="1" x14ac:dyDescent="0.2">
      <c r="A197" s="13">
        <v>39451</v>
      </c>
      <c r="B197" s="19"/>
      <c r="C197" s="15">
        <v>1.25</v>
      </c>
      <c r="D197" s="14"/>
      <c r="E197" s="15">
        <f t="shared" si="16"/>
        <v>196.417</v>
      </c>
      <c r="F197" s="14"/>
      <c r="G197" s="15">
        <f t="shared" si="15"/>
        <v>1.25</v>
      </c>
      <c r="H197" s="34"/>
      <c r="I197" s="15">
        <f t="shared" si="17"/>
        <v>305.91700000000003</v>
      </c>
      <c r="J197" s="14"/>
      <c r="K197" s="13"/>
    </row>
    <row r="198" spans="1:11" ht="12.6" customHeight="1" x14ac:dyDescent="0.2">
      <c r="A198" s="13"/>
      <c r="B198" s="19" t="s">
        <v>47</v>
      </c>
      <c r="C198" s="15"/>
      <c r="D198" s="22"/>
      <c r="E198" s="15">
        <f t="shared" si="16"/>
        <v>196.417</v>
      </c>
      <c r="F198" s="22"/>
      <c r="G198" s="15">
        <f t="shared" si="15"/>
        <v>0</v>
      </c>
      <c r="H198" s="34">
        <v>1</v>
      </c>
      <c r="I198" s="15">
        <f t="shared" si="17"/>
        <v>304.91700000000003</v>
      </c>
      <c r="J198" s="14"/>
      <c r="K198" s="16" t="s">
        <v>130</v>
      </c>
    </row>
    <row r="199" spans="1:11" ht="12.6" customHeight="1" x14ac:dyDescent="0.2">
      <c r="A199" s="13">
        <v>39453</v>
      </c>
      <c r="B199" s="19"/>
      <c r="C199" s="15">
        <v>2.5</v>
      </c>
      <c r="D199" s="22"/>
      <c r="E199" s="15">
        <f t="shared" si="16"/>
        <v>198.917</v>
      </c>
      <c r="F199" s="14"/>
      <c r="G199" s="15">
        <f t="shared" si="15"/>
        <v>2.5</v>
      </c>
      <c r="H199" s="34"/>
      <c r="I199" s="15">
        <f t="shared" si="17"/>
        <v>307.41700000000003</v>
      </c>
      <c r="J199" s="14"/>
      <c r="K199" s="16"/>
    </row>
    <row r="200" spans="1:11" ht="12.6" customHeight="1" x14ac:dyDescent="0.2">
      <c r="A200" s="13"/>
      <c r="B200" s="19" t="s">
        <v>133</v>
      </c>
      <c r="C200" s="15"/>
      <c r="D200" s="14"/>
      <c r="E200" s="15">
        <f t="shared" si="16"/>
        <v>198.917</v>
      </c>
      <c r="F200" s="14"/>
      <c r="G200" s="15">
        <f t="shared" si="15"/>
        <v>0</v>
      </c>
      <c r="H200" s="34"/>
      <c r="I200" s="15">
        <f t="shared" si="17"/>
        <v>307.41700000000003</v>
      </c>
      <c r="J200" s="14"/>
      <c r="K200" s="13" t="s">
        <v>131</v>
      </c>
    </row>
    <row r="201" spans="1:11" ht="12.6" customHeight="1" x14ac:dyDescent="0.2">
      <c r="A201" s="13"/>
      <c r="B201" s="19" t="s">
        <v>134</v>
      </c>
      <c r="C201" s="15"/>
      <c r="D201" s="22">
        <v>2</v>
      </c>
      <c r="E201" s="15">
        <f t="shared" si="16"/>
        <v>196.917</v>
      </c>
      <c r="F201" s="22"/>
      <c r="G201" s="15">
        <f t="shared" si="15"/>
        <v>0</v>
      </c>
      <c r="H201" s="34"/>
      <c r="I201" s="15">
        <f t="shared" si="17"/>
        <v>307.41700000000003</v>
      </c>
      <c r="J201" s="14"/>
      <c r="K201" s="13" t="s">
        <v>132</v>
      </c>
    </row>
    <row r="202" spans="1:11" ht="12.6" customHeight="1" x14ac:dyDescent="0.2">
      <c r="A202" s="13">
        <v>39458</v>
      </c>
      <c r="B202" s="19"/>
      <c r="C202" s="15">
        <v>6.25</v>
      </c>
      <c r="D202" s="14"/>
      <c r="E202" s="15">
        <f t="shared" si="16"/>
        <v>203.167</v>
      </c>
      <c r="F202" s="22"/>
      <c r="G202" s="15">
        <f t="shared" si="15"/>
        <v>6.25</v>
      </c>
      <c r="H202" s="34"/>
      <c r="I202" s="15">
        <f t="shared" si="17"/>
        <v>313.66700000000003</v>
      </c>
      <c r="J202" s="14"/>
      <c r="K202" s="13"/>
    </row>
    <row r="203" spans="1:11" ht="12.6" customHeight="1" x14ac:dyDescent="0.2">
      <c r="A203" s="13"/>
      <c r="B203" s="19" t="s">
        <v>136</v>
      </c>
      <c r="C203" s="15"/>
      <c r="D203" s="14">
        <v>2</v>
      </c>
      <c r="E203" s="15">
        <f t="shared" si="16"/>
        <v>201.167</v>
      </c>
      <c r="F203" s="14"/>
      <c r="G203" s="15">
        <f t="shared" si="15"/>
        <v>0</v>
      </c>
      <c r="H203" s="34"/>
      <c r="I203" s="15">
        <f t="shared" si="17"/>
        <v>313.66700000000003</v>
      </c>
      <c r="J203" s="14"/>
      <c r="K203" s="16" t="s">
        <v>135</v>
      </c>
    </row>
    <row r="204" spans="1:11" ht="12.6" customHeight="1" x14ac:dyDescent="0.2">
      <c r="A204" s="13">
        <v>39818</v>
      </c>
      <c r="B204" s="19"/>
      <c r="C204" s="15">
        <v>7.5</v>
      </c>
      <c r="D204" s="14"/>
      <c r="E204" s="15">
        <f t="shared" si="16"/>
        <v>208.667</v>
      </c>
      <c r="F204" s="22"/>
      <c r="G204" s="15">
        <f t="shared" si="15"/>
        <v>7.5</v>
      </c>
      <c r="H204" s="34"/>
      <c r="I204" s="15">
        <f t="shared" si="17"/>
        <v>321.16700000000003</v>
      </c>
      <c r="J204" s="14"/>
      <c r="K204" s="13"/>
    </row>
    <row r="205" spans="1:11" ht="12.6" customHeight="1" x14ac:dyDescent="0.2">
      <c r="A205" s="13"/>
      <c r="B205" s="19" t="s">
        <v>45</v>
      </c>
      <c r="C205" s="15"/>
      <c r="D205" s="14"/>
      <c r="E205" s="15">
        <f t="shared" si="16"/>
        <v>208.667</v>
      </c>
      <c r="F205" s="14"/>
      <c r="G205" s="15">
        <f t="shared" si="15"/>
        <v>0</v>
      </c>
      <c r="H205" s="34"/>
      <c r="I205" s="15">
        <f t="shared" si="17"/>
        <v>321.16700000000003</v>
      </c>
      <c r="J205" s="14"/>
      <c r="K205" s="16" t="s">
        <v>137</v>
      </c>
    </row>
    <row r="206" spans="1:11" ht="12.6" customHeight="1" x14ac:dyDescent="0.2">
      <c r="A206" s="13">
        <v>39819</v>
      </c>
      <c r="B206" s="19"/>
      <c r="C206" s="15">
        <v>1.25</v>
      </c>
      <c r="D206" s="22"/>
      <c r="E206" s="15">
        <f t="shared" si="16"/>
        <v>209.917</v>
      </c>
      <c r="F206" s="14"/>
      <c r="G206" s="15">
        <f t="shared" si="15"/>
        <v>1.25</v>
      </c>
      <c r="H206" s="34"/>
      <c r="I206" s="15">
        <f t="shared" si="17"/>
        <v>322.41700000000003</v>
      </c>
      <c r="J206" s="14"/>
      <c r="K206" s="16"/>
    </row>
    <row r="207" spans="1:11" ht="12.6" customHeight="1" x14ac:dyDescent="0.2">
      <c r="A207" s="13"/>
      <c r="B207" s="19" t="s">
        <v>47</v>
      </c>
      <c r="C207" s="15"/>
      <c r="D207" s="22"/>
      <c r="E207" s="15">
        <f t="shared" si="16"/>
        <v>209.917</v>
      </c>
      <c r="F207" s="14"/>
      <c r="G207" s="15">
        <f t="shared" si="15"/>
        <v>0</v>
      </c>
      <c r="H207" s="34">
        <v>1</v>
      </c>
      <c r="I207" s="15">
        <f t="shared" si="17"/>
        <v>321.41700000000003</v>
      </c>
      <c r="J207" s="14"/>
      <c r="K207" s="13" t="s">
        <v>138</v>
      </c>
    </row>
    <row r="208" spans="1:11" ht="12.6" customHeight="1" x14ac:dyDescent="0.2">
      <c r="A208" s="13">
        <v>39821</v>
      </c>
      <c r="B208" s="19"/>
      <c r="C208" s="15">
        <v>2.5</v>
      </c>
      <c r="D208" s="14"/>
      <c r="E208" s="15">
        <f t="shared" si="16"/>
        <v>212.417</v>
      </c>
      <c r="F208" s="14"/>
      <c r="G208" s="15">
        <f t="shared" si="15"/>
        <v>2.5</v>
      </c>
      <c r="H208" s="34"/>
      <c r="I208" s="15">
        <f t="shared" si="17"/>
        <v>323.91700000000003</v>
      </c>
      <c r="J208" s="14"/>
      <c r="K208" s="13"/>
    </row>
    <row r="209" spans="1:11" ht="12.6" customHeight="1" x14ac:dyDescent="0.2">
      <c r="A209" s="13"/>
      <c r="B209" s="19" t="s">
        <v>47</v>
      </c>
      <c r="C209" s="15"/>
      <c r="D209" s="14"/>
      <c r="E209" s="15">
        <f t="shared" si="16"/>
        <v>212.417</v>
      </c>
      <c r="F209" s="22"/>
      <c r="G209" s="15">
        <f t="shared" si="15"/>
        <v>0</v>
      </c>
      <c r="H209" s="34">
        <v>1</v>
      </c>
      <c r="I209" s="15">
        <f t="shared" si="17"/>
        <v>322.91700000000003</v>
      </c>
      <c r="J209" s="14"/>
      <c r="K209" s="16" t="s">
        <v>139</v>
      </c>
    </row>
    <row r="210" spans="1:11" ht="12.6" customHeight="1" x14ac:dyDescent="0.2">
      <c r="A210" s="13">
        <v>39823</v>
      </c>
      <c r="B210" s="19"/>
      <c r="C210" s="15">
        <v>2.5</v>
      </c>
      <c r="D210" s="14"/>
      <c r="E210" s="15">
        <f t="shared" si="16"/>
        <v>214.917</v>
      </c>
      <c r="F210" s="22"/>
      <c r="G210" s="15">
        <f t="shared" si="15"/>
        <v>2.5</v>
      </c>
      <c r="H210" s="34"/>
      <c r="I210" s="15">
        <f t="shared" si="17"/>
        <v>325.41700000000003</v>
      </c>
      <c r="J210" s="14"/>
      <c r="K210" s="13"/>
    </row>
    <row r="211" spans="1:11" ht="12.6" customHeight="1" x14ac:dyDescent="0.2">
      <c r="A211" s="13"/>
      <c r="B211" s="19" t="s">
        <v>74</v>
      </c>
      <c r="C211" s="15"/>
      <c r="D211" s="14">
        <v>1</v>
      </c>
      <c r="E211" s="15">
        <f t="shared" si="16"/>
        <v>213.917</v>
      </c>
      <c r="F211" s="14"/>
      <c r="G211" s="15">
        <f t="shared" si="15"/>
        <v>0</v>
      </c>
      <c r="H211" s="34"/>
      <c r="I211" s="15">
        <f t="shared" si="17"/>
        <v>325.41700000000003</v>
      </c>
      <c r="J211" s="14"/>
      <c r="K211" s="16" t="s">
        <v>140</v>
      </c>
    </row>
    <row r="212" spans="1:11" ht="12.6" customHeight="1" x14ac:dyDescent="0.2">
      <c r="A212" s="13"/>
      <c r="B212" s="19" t="s">
        <v>47</v>
      </c>
      <c r="C212" s="15"/>
      <c r="D212" s="14"/>
      <c r="E212" s="15">
        <f t="shared" si="16"/>
        <v>213.917</v>
      </c>
      <c r="F212" s="14"/>
      <c r="G212" s="15">
        <f t="shared" si="15"/>
        <v>0</v>
      </c>
      <c r="H212" s="34">
        <v>1</v>
      </c>
      <c r="I212" s="15">
        <f t="shared" si="17"/>
        <v>324.41700000000003</v>
      </c>
      <c r="J212" s="14"/>
      <c r="K212" s="13" t="s">
        <v>141</v>
      </c>
    </row>
    <row r="213" spans="1:11" ht="12.6" customHeight="1" x14ac:dyDescent="0.2">
      <c r="A213" s="13">
        <v>40179</v>
      </c>
      <c r="B213" s="19"/>
      <c r="C213" s="15">
        <v>3.75</v>
      </c>
      <c r="D213" s="14"/>
      <c r="E213" s="15">
        <f t="shared" si="16"/>
        <v>217.667</v>
      </c>
      <c r="F213" s="14"/>
      <c r="G213" s="15">
        <f t="shared" si="15"/>
        <v>3.75</v>
      </c>
      <c r="H213" s="34"/>
      <c r="I213" s="15">
        <f t="shared" si="17"/>
        <v>328.16700000000003</v>
      </c>
      <c r="J213" s="14"/>
      <c r="K213" s="13"/>
    </row>
    <row r="214" spans="1:11" s="63" customFormat="1" ht="12.6" customHeight="1" x14ac:dyDescent="0.2">
      <c r="A214" s="58"/>
      <c r="B214" s="67" t="s">
        <v>105</v>
      </c>
      <c r="C214" s="60"/>
      <c r="D214" s="61">
        <v>4</v>
      </c>
      <c r="E214" s="60">
        <f t="shared" si="16"/>
        <v>213.667</v>
      </c>
      <c r="F214" s="61"/>
      <c r="G214" s="60">
        <f t="shared" si="15"/>
        <v>0</v>
      </c>
      <c r="H214" s="61"/>
      <c r="I214" s="60">
        <f t="shared" si="17"/>
        <v>328.16700000000003</v>
      </c>
      <c r="J214" s="61"/>
      <c r="K214" s="64" t="s">
        <v>142</v>
      </c>
    </row>
    <row r="215" spans="1:11" ht="12.6" customHeight="1" x14ac:dyDescent="0.2">
      <c r="A215" s="13">
        <v>40180</v>
      </c>
      <c r="B215" s="19"/>
      <c r="C215" s="15">
        <v>1.25</v>
      </c>
      <c r="D215" s="14"/>
      <c r="E215" s="15">
        <f t="shared" si="16"/>
        <v>214.917</v>
      </c>
      <c r="F215" s="14"/>
      <c r="G215" s="15">
        <f t="shared" si="15"/>
        <v>1.25</v>
      </c>
      <c r="H215" s="14"/>
      <c r="I215" s="15">
        <f t="shared" si="17"/>
        <v>329.41700000000003</v>
      </c>
      <c r="J215" s="14"/>
      <c r="K215" s="13"/>
    </row>
    <row r="216" spans="1:11" ht="12.6" customHeight="1" x14ac:dyDescent="0.2">
      <c r="A216" s="13"/>
      <c r="B216" s="19" t="s">
        <v>144</v>
      </c>
      <c r="C216" s="15"/>
      <c r="D216" s="14"/>
      <c r="E216" s="15">
        <f t="shared" si="16"/>
        <v>214.917</v>
      </c>
      <c r="F216" s="14"/>
      <c r="G216" s="15">
        <f t="shared" si="15"/>
        <v>0</v>
      </c>
      <c r="H216" s="14">
        <v>1.5</v>
      </c>
      <c r="I216" s="15">
        <f t="shared" si="17"/>
        <v>327.91700000000003</v>
      </c>
      <c r="J216" s="14"/>
      <c r="K216" s="16" t="s">
        <v>143</v>
      </c>
    </row>
    <row r="217" spans="1:11" ht="12.6" customHeight="1" x14ac:dyDescent="0.2">
      <c r="A217" s="57"/>
      <c r="B217" s="19"/>
      <c r="C217" s="15">
        <f>SUM(C191:C216)</f>
        <v>31.25</v>
      </c>
      <c r="D217" s="15">
        <f>SUM(D191:D216)</f>
        <v>15</v>
      </c>
      <c r="E217" s="36"/>
      <c r="F217" s="39"/>
      <c r="G217" s="15">
        <f>SUM(G191:G216)</f>
        <v>31.25</v>
      </c>
      <c r="H217" s="15">
        <f>SUM(H191:H216)</f>
        <v>9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NICASIO D. CATAPANG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APRIL 15, 1985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>
        <v>40182</v>
      </c>
      <c r="B230" s="19"/>
      <c r="C230" s="15">
        <v>2.5</v>
      </c>
      <c r="D230" s="14"/>
      <c r="E230" s="15">
        <f>E216+C230-D230</f>
        <v>217.417</v>
      </c>
      <c r="F230" s="14"/>
      <c r="G230" s="15">
        <f>C230</f>
        <v>2.5</v>
      </c>
      <c r="H230" s="14"/>
      <c r="I230" s="15">
        <f>I216+G230-H230</f>
        <v>330.41700000000003</v>
      </c>
      <c r="J230" s="14"/>
      <c r="K230" s="16"/>
    </row>
    <row r="231" spans="1:11" ht="12.6" customHeight="1" x14ac:dyDescent="0.2">
      <c r="A231" s="13"/>
      <c r="B231" s="19" t="s">
        <v>56</v>
      </c>
      <c r="C231" s="15"/>
      <c r="D231" s="14">
        <v>4</v>
      </c>
      <c r="E231" s="15">
        <f>E230+C231-D231</f>
        <v>213.417</v>
      </c>
      <c r="F231" s="14"/>
      <c r="G231" s="15">
        <f t="shared" ref="G231:G255" si="18">C231</f>
        <v>0</v>
      </c>
      <c r="H231" s="14"/>
      <c r="I231" s="15">
        <f>I230+G231-H231</f>
        <v>330.41700000000003</v>
      </c>
      <c r="J231" s="14"/>
      <c r="K231" s="13" t="s">
        <v>145</v>
      </c>
    </row>
    <row r="232" spans="1:11" ht="12.6" customHeight="1" x14ac:dyDescent="0.2">
      <c r="A232" s="13"/>
      <c r="B232" s="19" t="s">
        <v>45</v>
      </c>
      <c r="C232" s="15"/>
      <c r="D232" s="14"/>
      <c r="E232" s="15">
        <f t="shared" ref="E232:E255" si="19">E231+C232-D232</f>
        <v>213.417</v>
      </c>
      <c r="F232" s="14"/>
      <c r="G232" s="15">
        <f t="shared" si="18"/>
        <v>0</v>
      </c>
      <c r="H232" s="14"/>
      <c r="I232" s="15">
        <f t="shared" ref="I232:I255" si="20">I231+G232-H232</f>
        <v>330.41700000000003</v>
      </c>
      <c r="J232" s="14"/>
      <c r="K232" s="13" t="s">
        <v>146</v>
      </c>
    </row>
    <row r="233" spans="1:11" ht="12.6" customHeight="1" x14ac:dyDescent="0.2">
      <c r="A233" s="13">
        <v>40185</v>
      </c>
      <c r="B233" s="19"/>
      <c r="C233" s="15">
        <v>3.75</v>
      </c>
      <c r="D233" s="14"/>
      <c r="E233" s="15">
        <f t="shared" si="19"/>
        <v>217.167</v>
      </c>
      <c r="F233" s="14"/>
      <c r="G233" s="15">
        <f t="shared" si="18"/>
        <v>3.75</v>
      </c>
      <c r="H233" s="14"/>
      <c r="I233" s="15">
        <f t="shared" si="20"/>
        <v>334.16700000000003</v>
      </c>
      <c r="J233" s="14"/>
      <c r="K233" s="16"/>
    </row>
    <row r="234" spans="1:11" ht="12.6" customHeight="1" x14ac:dyDescent="0.2">
      <c r="A234" s="13"/>
      <c r="B234" s="19" t="s">
        <v>45</v>
      </c>
      <c r="C234" s="15"/>
      <c r="D234" s="14"/>
      <c r="E234" s="15">
        <f t="shared" si="19"/>
        <v>217.167</v>
      </c>
      <c r="F234" s="14"/>
      <c r="G234" s="15">
        <f t="shared" si="18"/>
        <v>0</v>
      </c>
      <c r="H234" s="14"/>
      <c r="I234" s="15">
        <f t="shared" si="20"/>
        <v>334.16700000000003</v>
      </c>
      <c r="J234" s="14"/>
      <c r="K234" s="13" t="s">
        <v>147</v>
      </c>
    </row>
    <row r="235" spans="1:11" ht="12.6" customHeight="1" x14ac:dyDescent="0.2">
      <c r="A235" s="13"/>
      <c r="B235" s="19" t="s">
        <v>144</v>
      </c>
      <c r="C235" s="15"/>
      <c r="D235" s="14"/>
      <c r="E235" s="15">
        <f t="shared" si="19"/>
        <v>217.167</v>
      </c>
      <c r="F235" s="14"/>
      <c r="G235" s="15">
        <f t="shared" si="18"/>
        <v>0</v>
      </c>
      <c r="H235" s="14">
        <v>1.5</v>
      </c>
      <c r="I235" s="15">
        <f t="shared" si="20"/>
        <v>332.66700000000003</v>
      </c>
      <c r="J235" s="14"/>
      <c r="K235" s="16" t="s">
        <v>148</v>
      </c>
    </row>
    <row r="236" spans="1:11" ht="12.6" customHeight="1" x14ac:dyDescent="0.2">
      <c r="A236" s="13">
        <v>40189</v>
      </c>
      <c r="B236" s="19"/>
      <c r="C236" s="15">
        <v>5</v>
      </c>
      <c r="D236" s="14"/>
      <c r="E236" s="15">
        <f t="shared" si="19"/>
        <v>222.167</v>
      </c>
      <c r="F236" s="14"/>
      <c r="G236" s="15">
        <f t="shared" si="18"/>
        <v>5</v>
      </c>
      <c r="H236" s="14"/>
      <c r="I236" s="15">
        <f t="shared" si="20"/>
        <v>337.66700000000003</v>
      </c>
      <c r="J236" s="14"/>
      <c r="K236" s="13"/>
    </row>
    <row r="237" spans="1:11" ht="12.6" customHeight="1" x14ac:dyDescent="0.2">
      <c r="A237" s="13"/>
      <c r="B237" s="19" t="s">
        <v>81</v>
      </c>
      <c r="C237" s="15"/>
      <c r="D237" s="14"/>
      <c r="E237" s="15">
        <f t="shared" si="19"/>
        <v>222.167</v>
      </c>
      <c r="F237" s="14"/>
      <c r="G237" s="15">
        <f t="shared" si="18"/>
        <v>0</v>
      </c>
      <c r="H237" s="14"/>
      <c r="I237" s="15">
        <f t="shared" si="20"/>
        <v>337.66700000000003</v>
      </c>
      <c r="J237" s="14"/>
      <c r="K237" s="13">
        <v>40523</v>
      </c>
    </row>
    <row r="238" spans="1:11" ht="12.6" customHeight="1" x14ac:dyDescent="0.2">
      <c r="A238" s="13">
        <v>40544</v>
      </c>
      <c r="B238" s="19"/>
      <c r="C238" s="15">
        <v>2.5</v>
      </c>
      <c r="D238" s="14"/>
      <c r="E238" s="15">
        <f t="shared" si="19"/>
        <v>224.667</v>
      </c>
      <c r="F238" s="14"/>
      <c r="G238" s="15">
        <f t="shared" si="18"/>
        <v>2.5</v>
      </c>
      <c r="H238" s="14"/>
      <c r="I238" s="15">
        <f t="shared" si="20"/>
        <v>340.16700000000003</v>
      </c>
      <c r="J238" s="14"/>
      <c r="K238" s="16"/>
    </row>
    <row r="239" spans="1:11" s="63" customFormat="1" ht="12.6" customHeight="1" x14ac:dyDescent="0.2">
      <c r="A239" s="58"/>
      <c r="B239" s="67" t="s">
        <v>57</v>
      </c>
      <c r="C239" s="60"/>
      <c r="D239" s="61">
        <v>1</v>
      </c>
      <c r="E239" s="60">
        <f t="shared" si="19"/>
        <v>223.667</v>
      </c>
      <c r="F239" s="61"/>
      <c r="G239" s="60">
        <f t="shared" si="18"/>
        <v>0</v>
      </c>
      <c r="H239" s="61"/>
      <c r="I239" s="60">
        <f t="shared" si="20"/>
        <v>340.16700000000003</v>
      </c>
      <c r="J239" s="61"/>
      <c r="K239" s="58" t="s">
        <v>149</v>
      </c>
    </row>
    <row r="240" spans="1:11" ht="12.6" customHeight="1" x14ac:dyDescent="0.2">
      <c r="A240" s="13"/>
      <c r="B240" s="19" t="s">
        <v>47</v>
      </c>
      <c r="C240" s="15"/>
      <c r="D240" s="14"/>
      <c r="E240" s="15">
        <f t="shared" si="19"/>
        <v>223.667</v>
      </c>
      <c r="F240" s="14"/>
      <c r="G240" s="15">
        <f t="shared" si="18"/>
        <v>0</v>
      </c>
      <c r="H240" s="14">
        <v>1</v>
      </c>
      <c r="I240" s="15">
        <f t="shared" si="20"/>
        <v>339.16700000000003</v>
      </c>
      <c r="J240" s="14"/>
      <c r="K240" s="16" t="s">
        <v>150</v>
      </c>
    </row>
    <row r="241" spans="1:11" ht="12.6" customHeight="1" x14ac:dyDescent="0.2">
      <c r="A241" s="13">
        <v>40545</v>
      </c>
      <c r="B241" s="19"/>
      <c r="C241" s="15">
        <v>1.25</v>
      </c>
      <c r="D241" s="14"/>
      <c r="E241" s="15">
        <f t="shared" si="19"/>
        <v>224.917</v>
      </c>
      <c r="F241" s="14"/>
      <c r="G241" s="15">
        <f t="shared" si="18"/>
        <v>1.25</v>
      </c>
      <c r="H241" s="14"/>
      <c r="I241" s="15">
        <f t="shared" si="20"/>
        <v>340.41700000000003</v>
      </c>
      <c r="J241" s="14"/>
      <c r="K241" s="13"/>
    </row>
    <row r="242" spans="1:11" ht="12.6" customHeight="1" x14ac:dyDescent="0.2">
      <c r="A242" s="13"/>
      <c r="B242" s="19" t="s">
        <v>47</v>
      </c>
      <c r="C242" s="15"/>
      <c r="D242" s="14"/>
      <c r="E242" s="15">
        <f t="shared" si="19"/>
        <v>224.917</v>
      </c>
      <c r="F242" s="14"/>
      <c r="G242" s="15">
        <f t="shared" si="18"/>
        <v>0</v>
      </c>
      <c r="H242" s="14">
        <v>1</v>
      </c>
      <c r="I242" s="15">
        <f t="shared" si="20"/>
        <v>339.41700000000003</v>
      </c>
      <c r="J242" s="14"/>
      <c r="K242" s="13" t="s">
        <v>151</v>
      </c>
    </row>
    <row r="243" spans="1:11" ht="12.6" customHeight="1" x14ac:dyDescent="0.2">
      <c r="A243" s="13">
        <v>40550</v>
      </c>
      <c r="B243" s="19"/>
      <c r="C243" s="15">
        <v>6.25</v>
      </c>
      <c r="D243" s="14"/>
      <c r="E243" s="15">
        <f t="shared" si="19"/>
        <v>231.167</v>
      </c>
      <c r="F243" s="14"/>
      <c r="G243" s="15">
        <f t="shared" si="18"/>
        <v>6.25</v>
      </c>
      <c r="H243" s="14"/>
      <c r="I243" s="15">
        <f t="shared" si="20"/>
        <v>345.66700000000003</v>
      </c>
      <c r="J243" s="14"/>
      <c r="K243" s="13"/>
    </row>
    <row r="244" spans="1:11" ht="12.6" customHeight="1" x14ac:dyDescent="0.2">
      <c r="A244" s="13"/>
      <c r="B244" s="19" t="s">
        <v>47</v>
      </c>
      <c r="C244" s="15"/>
      <c r="D244" s="14"/>
      <c r="E244" s="15">
        <f t="shared" si="19"/>
        <v>231.167</v>
      </c>
      <c r="F244" s="14"/>
      <c r="G244" s="15">
        <f t="shared" si="18"/>
        <v>0</v>
      </c>
      <c r="H244" s="14">
        <v>1</v>
      </c>
      <c r="I244" s="15">
        <f t="shared" si="20"/>
        <v>344.66700000000003</v>
      </c>
      <c r="J244" s="14"/>
      <c r="K244" s="13">
        <v>40640</v>
      </c>
    </row>
    <row r="245" spans="1:11" ht="12.6" customHeight="1" x14ac:dyDescent="0.2">
      <c r="A245" s="13"/>
      <c r="B245" s="19" t="s">
        <v>67</v>
      </c>
      <c r="C245" s="15"/>
      <c r="D245" s="14"/>
      <c r="E245" s="15">
        <f t="shared" si="19"/>
        <v>231.167</v>
      </c>
      <c r="F245" s="14"/>
      <c r="G245" s="15">
        <f t="shared" si="18"/>
        <v>0</v>
      </c>
      <c r="H245" s="14"/>
      <c r="I245" s="15">
        <f t="shared" si="20"/>
        <v>344.66700000000003</v>
      </c>
      <c r="J245" s="14"/>
      <c r="K245" s="13" t="s">
        <v>152</v>
      </c>
    </row>
    <row r="246" spans="1:11" ht="12.6" customHeight="1" x14ac:dyDescent="0.2">
      <c r="A246" s="13">
        <v>40551</v>
      </c>
      <c r="B246" s="19"/>
      <c r="C246" s="15">
        <v>1.25</v>
      </c>
      <c r="D246" s="14"/>
      <c r="E246" s="15">
        <f t="shared" si="19"/>
        <v>232.417</v>
      </c>
      <c r="F246" s="14"/>
      <c r="G246" s="15">
        <f t="shared" si="18"/>
        <v>1.25</v>
      </c>
      <c r="H246" s="14"/>
      <c r="I246" s="15">
        <f t="shared" si="20"/>
        <v>345.91700000000003</v>
      </c>
      <c r="J246" s="14"/>
      <c r="K246" s="13"/>
    </row>
    <row r="247" spans="1:11" ht="12.6" customHeight="1" x14ac:dyDescent="0.2">
      <c r="A247" s="13"/>
      <c r="B247" s="19" t="s">
        <v>47</v>
      </c>
      <c r="C247" s="15"/>
      <c r="D247" s="15"/>
      <c r="E247" s="15">
        <f t="shared" si="19"/>
        <v>232.417</v>
      </c>
      <c r="F247" s="14"/>
      <c r="G247" s="15">
        <f t="shared" si="18"/>
        <v>0</v>
      </c>
      <c r="H247" s="14">
        <v>1</v>
      </c>
      <c r="I247" s="15">
        <f t="shared" si="20"/>
        <v>344.91700000000003</v>
      </c>
      <c r="J247" s="14"/>
      <c r="K247" s="13" t="s">
        <v>153</v>
      </c>
    </row>
    <row r="248" spans="1:11" ht="12.6" customHeight="1" x14ac:dyDescent="0.2">
      <c r="A248" s="13">
        <v>40553</v>
      </c>
      <c r="B248" s="19"/>
      <c r="C248" s="15">
        <v>2.5</v>
      </c>
      <c r="D248" s="14"/>
      <c r="E248" s="15">
        <f t="shared" si="19"/>
        <v>234.917</v>
      </c>
      <c r="F248" s="14"/>
      <c r="G248" s="15">
        <f t="shared" si="18"/>
        <v>2.5</v>
      </c>
      <c r="H248" s="14"/>
      <c r="I248" s="15">
        <f t="shared" si="20"/>
        <v>347.41700000000003</v>
      </c>
      <c r="J248" s="14"/>
      <c r="K248" s="13"/>
    </row>
    <row r="249" spans="1:11" ht="12.6" customHeight="1" x14ac:dyDescent="0.2">
      <c r="A249" s="16"/>
      <c r="B249" s="19" t="s">
        <v>74</v>
      </c>
      <c r="C249" s="15"/>
      <c r="D249" s="15">
        <v>1</v>
      </c>
      <c r="E249" s="15">
        <f t="shared" si="19"/>
        <v>233.917</v>
      </c>
      <c r="F249" s="14"/>
      <c r="G249" s="15">
        <f t="shared" si="18"/>
        <v>0</v>
      </c>
      <c r="H249" s="14"/>
      <c r="I249" s="15">
        <f t="shared" si="20"/>
        <v>347.41700000000003</v>
      </c>
      <c r="J249" s="14"/>
      <c r="K249" s="13" t="s">
        <v>154</v>
      </c>
    </row>
    <row r="250" spans="1:11" ht="12.6" customHeight="1" x14ac:dyDescent="0.2">
      <c r="A250" s="13">
        <v>40554</v>
      </c>
      <c r="B250" s="19"/>
      <c r="C250" s="15">
        <v>1.25</v>
      </c>
      <c r="D250" s="14"/>
      <c r="E250" s="15">
        <f t="shared" si="19"/>
        <v>235.167</v>
      </c>
      <c r="F250" s="14"/>
      <c r="G250" s="15">
        <f t="shared" si="18"/>
        <v>1.25</v>
      </c>
      <c r="H250" s="14"/>
      <c r="I250" s="15">
        <f t="shared" si="20"/>
        <v>348.66700000000003</v>
      </c>
      <c r="J250" s="14"/>
      <c r="K250" s="16"/>
    </row>
    <row r="251" spans="1:11" ht="12.6" customHeight="1" x14ac:dyDescent="0.2">
      <c r="A251" s="13"/>
      <c r="B251" s="19" t="s">
        <v>67</v>
      </c>
      <c r="C251" s="15"/>
      <c r="D251" s="14"/>
      <c r="E251" s="15">
        <f t="shared" si="19"/>
        <v>235.167</v>
      </c>
      <c r="F251" s="14"/>
      <c r="G251" s="15">
        <f t="shared" si="18"/>
        <v>0</v>
      </c>
      <c r="H251" s="14">
        <v>3</v>
      </c>
      <c r="I251" s="15">
        <f t="shared" si="20"/>
        <v>345.66700000000003</v>
      </c>
      <c r="J251" s="14"/>
      <c r="K251" s="13" t="s">
        <v>155</v>
      </c>
    </row>
    <row r="252" spans="1:11" ht="12.6" customHeight="1" x14ac:dyDescent="0.2">
      <c r="A252" s="13"/>
      <c r="B252" s="19" t="s">
        <v>74</v>
      </c>
      <c r="C252" s="15"/>
      <c r="D252" s="14">
        <v>1</v>
      </c>
      <c r="E252" s="15">
        <f t="shared" si="19"/>
        <v>234.167</v>
      </c>
      <c r="F252" s="14"/>
      <c r="G252" s="15">
        <f t="shared" si="18"/>
        <v>0</v>
      </c>
      <c r="H252" s="14"/>
      <c r="I252" s="15">
        <f t="shared" si="20"/>
        <v>345.66700000000003</v>
      </c>
      <c r="J252" s="14"/>
      <c r="K252" s="13" t="s">
        <v>156</v>
      </c>
    </row>
    <row r="253" spans="1:11" ht="12.6" customHeight="1" x14ac:dyDescent="0.2">
      <c r="A253" s="13">
        <v>40909</v>
      </c>
      <c r="B253" s="19"/>
      <c r="C253" s="15">
        <v>2.5</v>
      </c>
      <c r="D253" s="14"/>
      <c r="E253" s="15">
        <f t="shared" si="19"/>
        <v>236.667</v>
      </c>
      <c r="F253" s="14"/>
      <c r="G253" s="15">
        <f t="shared" si="18"/>
        <v>2.5</v>
      </c>
      <c r="H253" s="14"/>
      <c r="I253" s="15">
        <f t="shared" si="20"/>
        <v>348.16700000000003</v>
      </c>
      <c r="J253" s="14"/>
      <c r="K253" s="13"/>
    </row>
    <row r="254" spans="1:11" s="63" customFormat="1" ht="12.6" customHeight="1" x14ac:dyDescent="0.2">
      <c r="A254" s="58"/>
      <c r="B254" s="67" t="s">
        <v>87</v>
      </c>
      <c r="C254" s="60"/>
      <c r="D254" s="61">
        <v>3</v>
      </c>
      <c r="E254" s="60">
        <f t="shared" si="19"/>
        <v>233.667</v>
      </c>
      <c r="F254" s="61"/>
      <c r="G254" s="60">
        <f t="shared" si="18"/>
        <v>0</v>
      </c>
      <c r="H254" s="61"/>
      <c r="I254" s="60">
        <f t="shared" si="20"/>
        <v>348.16700000000003</v>
      </c>
      <c r="J254" s="61"/>
      <c r="K254" s="64" t="s">
        <v>157</v>
      </c>
    </row>
    <row r="255" spans="1:11" ht="12.6" customHeight="1" x14ac:dyDescent="0.2">
      <c r="A255" s="13">
        <v>40913</v>
      </c>
      <c r="B255" s="19"/>
      <c r="C255" s="15">
        <v>5</v>
      </c>
      <c r="D255" s="14"/>
      <c r="E255" s="15">
        <f t="shared" si="19"/>
        <v>238.667</v>
      </c>
      <c r="F255" s="14"/>
      <c r="G255" s="15">
        <f t="shared" si="18"/>
        <v>5</v>
      </c>
      <c r="H255" s="14"/>
      <c r="I255" s="15">
        <f t="shared" si="20"/>
        <v>353.16700000000003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33.75</v>
      </c>
      <c r="D256" s="36">
        <f>SUM(D230:D255)</f>
        <v>10</v>
      </c>
      <c r="E256" s="36"/>
      <c r="F256" s="37"/>
      <c r="G256" s="36">
        <f>SUM(G230:G255)</f>
        <v>33.75</v>
      </c>
      <c r="H256" s="36">
        <f>SUM(H230:H255)</f>
        <v>8.5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NICASIO D. CATAPANG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APRIL 15, 1985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 t="s">
        <v>74</v>
      </c>
      <c r="C265" s="15"/>
      <c r="D265" s="14">
        <v>1</v>
      </c>
      <c r="E265" s="15">
        <f>E255+C265-D265</f>
        <v>237.667</v>
      </c>
      <c r="F265" s="14"/>
      <c r="G265" s="15">
        <f>C265</f>
        <v>0</v>
      </c>
      <c r="H265" s="14"/>
      <c r="I265" s="15">
        <f>I255+G265-H265</f>
        <v>353.16700000000003</v>
      </c>
      <c r="J265" s="14"/>
      <c r="K265" s="13">
        <v>41218</v>
      </c>
    </row>
    <row r="266" spans="1:11" ht="12.6" customHeight="1" x14ac:dyDescent="0.2">
      <c r="A266" s="13"/>
      <c r="B266" s="19" t="s">
        <v>125</v>
      </c>
      <c r="C266" s="15"/>
      <c r="D266" s="14"/>
      <c r="E266" s="15">
        <f>E265+C266-D266</f>
        <v>237.667</v>
      </c>
      <c r="F266" s="14"/>
      <c r="G266" s="15">
        <f t="shared" ref="G266:G290" si="21">C266</f>
        <v>0</v>
      </c>
      <c r="H266" s="14">
        <v>4</v>
      </c>
      <c r="I266" s="15">
        <f>I265+G266-H266</f>
        <v>349.16700000000003</v>
      </c>
      <c r="J266" s="14"/>
      <c r="K266" s="16" t="s">
        <v>158</v>
      </c>
    </row>
    <row r="267" spans="1:11" ht="12.6" customHeight="1" x14ac:dyDescent="0.2">
      <c r="A267" s="13">
        <v>40919</v>
      </c>
      <c r="B267" s="19"/>
      <c r="C267" s="15">
        <v>7.5</v>
      </c>
      <c r="D267" s="14"/>
      <c r="E267" s="15">
        <f t="shared" ref="E267:E290" si="22">E266+C267-D267</f>
        <v>245.167</v>
      </c>
      <c r="F267" s="14"/>
      <c r="G267" s="15">
        <f t="shared" si="21"/>
        <v>7.5</v>
      </c>
      <c r="H267" s="14"/>
      <c r="I267" s="15">
        <f t="shared" ref="I267:I290" si="23">I266+G267-H267</f>
        <v>356.66700000000003</v>
      </c>
      <c r="J267" s="14"/>
      <c r="K267" s="13"/>
    </row>
    <row r="268" spans="1:11" ht="12.6" customHeight="1" x14ac:dyDescent="0.2">
      <c r="A268" s="13"/>
      <c r="B268" s="19" t="s">
        <v>81</v>
      </c>
      <c r="C268" s="15"/>
      <c r="D268" s="14"/>
      <c r="E268" s="15">
        <f t="shared" si="22"/>
        <v>245.167</v>
      </c>
      <c r="F268" s="14"/>
      <c r="G268" s="15">
        <f t="shared" si="21"/>
        <v>0</v>
      </c>
      <c r="H268" s="14"/>
      <c r="I268" s="15">
        <f t="shared" si="23"/>
        <v>356.66700000000003</v>
      </c>
      <c r="J268" s="14"/>
      <c r="K268" s="16" t="s">
        <v>159</v>
      </c>
    </row>
    <row r="269" spans="1:11" ht="12.6" customHeight="1" x14ac:dyDescent="0.2">
      <c r="A269" s="13"/>
      <c r="B269" s="19" t="s">
        <v>74</v>
      </c>
      <c r="C269" s="15"/>
      <c r="D269" s="14">
        <v>1</v>
      </c>
      <c r="E269" s="15">
        <f t="shared" si="22"/>
        <v>244.167</v>
      </c>
      <c r="F269" s="14"/>
      <c r="G269" s="15">
        <f t="shared" si="21"/>
        <v>0</v>
      </c>
      <c r="H269" s="14"/>
      <c r="I269" s="15">
        <f t="shared" si="23"/>
        <v>356.66700000000003</v>
      </c>
      <c r="J269" s="14"/>
      <c r="K269" s="13" t="s">
        <v>160</v>
      </c>
    </row>
    <row r="270" spans="1:11" ht="12.6" customHeight="1" x14ac:dyDescent="0.2">
      <c r="A270" s="13">
        <v>41275</v>
      </c>
      <c r="B270" s="19"/>
      <c r="C270" s="15">
        <v>2.5</v>
      </c>
      <c r="D270" s="14"/>
      <c r="E270" s="15">
        <f t="shared" si="22"/>
        <v>246.667</v>
      </c>
      <c r="F270" s="14"/>
      <c r="G270" s="15">
        <f t="shared" si="21"/>
        <v>2.5</v>
      </c>
      <c r="H270" s="14"/>
      <c r="I270" s="15">
        <f t="shared" si="23"/>
        <v>359.16700000000003</v>
      </c>
      <c r="J270" s="14"/>
      <c r="K270" s="16"/>
    </row>
    <row r="271" spans="1:11" s="63" customFormat="1" ht="12.6" customHeight="1" x14ac:dyDescent="0.2">
      <c r="A271" s="58"/>
      <c r="B271" s="67" t="s">
        <v>87</v>
      </c>
      <c r="C271" s="60"/>
      <c r="D271" s="61">
        <v>3</v>
      </c>
      <c r="E271" s="60">
        <f t="shared" si="22"/>
        <v>243.667</v>
      </c>
      <c r="F271" s="61"/>
      <c r="G271" s="60">
        <f t="shared" si="21"/>
        <v>0</v>
      </c>
      <c r="H271" s="61"/>
      <c r="I271" s="60">
        <f t="shared" si="23"/>
        <v>359.16700000000003</v>
      </c>
      <c r="J271" s="61"/>
      <c r="K271" s="58" t="s">
        <v>161</v>
      </c>
    </row>
    <row r="272" spans="1:11" ht="12.6" customHeight="1" x14ac:dyDescent="0.2">
      <c r="A272" s="13"/>
      <c r="B272" s="19" t="s">
        <v>52</v>
      </c>
      <c r="C272" s="15"/>
      <c r="D272" s="14"/>
      <c r="E272" s="15">
        <f t="shared" si="22"/>
        <v>243.667</v>
      </c>
      <c r="F272" s="14"/>
      <c r="G272" s="15">
        <f t="shared" si="21"/>
        <v>0</v>
      </c>
      <c r="H272" s="14">
        <v>2</v>
      </c>
      <c r="I272" s="15">
        <f t="shared" si="23"/>
        <v>357.16700000000003</v>
      </c>
      <c r="J272" s="14"/>
      <c r="K272" s="13" t="s">
        <v>162</v>
      </c>
    </row>
    <row r="273" spans="1:11" ht="12.6" customHeight="1" x14ac:dyDescent="0.2">
      <c r="A273" s="13"/>
      <c r="B273" s="19" t="s">
        <v>60</v>
      </c>
      <c r="C273" s="15"/>
      <c r="D273" s="14">
        <v>5</v>
      </c>
      <c r="E273" s="15">
        <f t="shared" si="22"/>
        <v>238.667</v>
      </c>
      <c r="F273" s="14"/>
      <c r="G273" s="15">
        <f t="shared" si="21"/>
        <v>0</v>
      </c>
      <c r="H273" s="14"/>
      <c r="I273" s="15">
        <f t="shared" si="23"/>
        <v>357.16700000000003</v>
      </c>
      <c r="J273" s="14"/>
      <c r="K273" s="16" t="s">
        <v>163</v>
      </c>
    </row>
    <row r="274" spans="1:11" ht="12.6" customHeight="1" x14ac:dyDescent="0.2">
      <c r="A274" s="13">
        <v>41285</v>
      </c>
      <c r="B274" s="19"/>
      <c r="C274" s="15">
        <v>12.5</v>
      </c>
      <c r="D274" s="14"/>
      <c r="E274" s="15">
        <f t="shared" si="22"/>
        <v>251.167</v>
      </c>
      <c r="F274" s="14"/>
      <c r="G274" s="15">
        <f t="shared" si="21"/>
        <v>12.5</v>
      </c>
      <c r="H274" s="14"/>
      <c r="I274" s="15">
        <f t="shared" si="23"/>
        <v>369.66700000000003</v>
      </c>
      <c r="J274" s="14"/>
      <c r="K274" s="16"/>
    </row>
    <row r="275" spans="1:11" ht="12.6" customHeight="1" x14ac:dyDescent="0.2">
      <c r="A275" s="13"/>
      <c r="B275" s="19" t="s">
        <v>81</v>
      </c>
      <c r="C275" s="15"/>
      <c r="D275" s="14"/>
      <c r="E275" s="15">
        <f t="shared" si="22"/>
        <v>251.167</v>
      </c>
      <c r="F275" s="14"/>
      <c r="G275" s="15">
        <f t="shared" si="21"/>
        <v>0</v>
      </c>
      <c r="H275" s="14"/>
      <c r="I275" s="15">
        <f t="shared" si="23"/>
        <v>369.66700000000003</v>
      </c>
      <c r="J275" s="14"/>
      <c r="K275" s="13" t="s">
        <v>164</v>
      </c>
    </row>
    <row r="276" spans="1:11" ht="12.6" customHeight="1" x14ac:dyDescent="0.2">
      <c r="A276" s="13">
        <v>41642</v>
      </c>
      <c r="B276" s="19"/>
      <c r="C276" s="15">
        <v>5</v>
      </c>
      <c r="D276" s="14"/>
      <c r="E276" s="15">
        <f t="shared" si="22"/>
        <v>256.16700000000003</v>
      </c>
      <c r="F276" s="14"/>
      <c r="G276" s="15">
        <f t="shared" si="21"/>
        <v>5</v>
      </c>
      <c r="H276" s="14"/>
      <c r="I276" s="15">
        <f t="shared" si="23"/>
        <v>374.66700000000003</v>
      </c>
      <c r="J276" s="14"/>
      <c r="K276" s="13"/>
    </row>
    <row r="277" spans="1:11" ht="12.6" customHeight="1" x14ac:dyDescent="0.2">
      <c r="A277" s="13"/>
      <c r="B277" s="19" t="s">
        <v>47</v>
      </c>
      <c r="C277" s="15"/>
      <c r="D277" s="14"/>
      <c r="E277" s="15">
        <f t="shared" si="22"/>
        <v>256.16700000000003</v>
      </c>
      <c r="F277" s="14"/>
      <c r="G277" s="15">
        <f t="shared" si="21"/>
        <v>0</v>
      </c>
      <c r="H277" s="14">
        <v>1</v>
      </c>
      <c r="I277" s="15">
        <f t="shared" si="23"/>
        <v>373.66700000000003</v>
      </c>
      <c r="J277" s="14"/>
      <c r="K277" s="13">
        <v>41823</v>
      </c>
    </row>
    <row r="278" spans="1:11" ht="12.6" customHeight="1" x14ac:dyDescent="0.2">
      <c r="A278" s="13"/>
      <c r="B278" s="19" t="s">
        <v>166</v>
      </c>
      <c r="C278" s="15"/>
      <c r="D278" s="14"/>
      <c r="E278" s="15">
        <f t="shared" si="22"/>
        <v>256.16700000000003</v>
      </c>
      <c r="F278" s="14"/>
      <c r="G278" s="15">
        <f t="shared" si="21"/>
        <v>0</v>
      </c>
      <c r="H278" s="14"/>
      <c r="I278" s="15">
        <f t="shared" si="23"/>
        <v>373.66700000000003</v>
      </c>
      <c r="J278" s="14"/>
      <c r="K278" s="13" t="s">
        <v>165</v>
      </c>
    </row>
    <row r="279" spans="1:11" ht="12.6" customHeight="1" x14ac:dyDescent="0.2">
      <c r="A279" s="13">
        <v>41644</v>
      </c>
      <c r="B279" s="19"/>
      <c r="C279" s="15">
        <v>2.5</v>
      </c>
      <c r="D279" s="14"/>
      <c r="E279" s="15">
        <f t="shared" si="22"/>
        <v>258.66700000000003</v>
      </c>
      <c r="F279" s="14"/>
      <c r="G279" s="15">
        <f t="shared" si="21"/>
        <v>2.5</v>
      </c>
      <c r="H279" s="14"/>
      <c r="I279" s="15">
        <f t="shared" si="23"/>
        <v>376.16700000000003</v>
      </c>
      <c r="J279" s="14"/>
      <c r="K279" s="13"/>
    </row>
    <row r="280" spans="1:11" ht="12.6" customHeight="1" x14ac:dyDescent="0.2">
      <c r="A280" s="13"/>
      <c r="B280" s="19" t="s">
        <v>47</v>
      </c>
      <c r="C280" s="15"/>
      <c r="D280" s="14"/>
      <c r="E280" s="15">
        <f t="shared" si="22"/>
        <v>258.66700000000003</v>
      </c>
      <c r="F280" s="14"/>
      <c r="G280" s="15">
        <f t="shared" si="21"/>
        <v>0</v>
      </c>
      <c r="H280" s="14">
        <v>1</v>
      </c>
      <c r="I280" s="15">
        <f t="shared" si="23"/>
        <v>375.16700000000003</v>
      </c>
      <c r="J280" s="14"/>
      <c r="K280" s="13">
        <v>41978</v>
      </c>
    </row>
    <row r="281" spans="1:11" ht="12.6" customHeight="1" x14ac:dyDescent="0.2">
      <c r="A281" s="13">
        <v>41650</v>
      </c>
      <c r="B281" s="19"/>
      <c r="C281" s="15">
        <v>7.5</v>
      </c>
      <c r="D281" s="14"/>
      <c r="E281" s="15">
        <f t="shared" si="22"/>
        <v>266.16700000000003</v>
      </c>
      <c r="F281" s="14"/>
      <c r="G281" s="15">
        <f t="shared" si="21"/>
        <v>7.5</v>
      </c>
      <c r="H281" s="14"/>
      <c r="I281" s="15">
        <f t="shared" si="23"/>
        <v>382.66700000000003</v>
      </c>
      <c r="J281" s="14"/>
      <c r="K281" s="13"/>
    </row>
    <row r="282" spans="1:11" ht="12.6" customHeight="1" x14ac:dyDescent="0.2">
      <c r="A282" s="13"/>
      <c r="B282" s="19" t="s">
        <v>81</v>
      </c>
      <c r="C282" s="15"/>
      <c r="D282" s="15"/>
      <c r="E282" s="15">
        <f t="shared" si="22"/>
        <v>266.16700000000003</v>
      </c>
      <c r="F282" s="14"/>
      <c r="G282" s="15">
        <f t="shared" si="21"/>
        <v>0</v>
      </c>
      <c r="H282" s="14"/>
      <c r="I282" s="15">
        <f t="shared" si="23"/>
        <v>382.66700000000003</v>
      </c>
      <c r="J282" s="14"/>
      <c r="K282" s="13" t="s">
        <v>167</v>
      </c>
    </row>
    <row r="283" spans="1:11" ht="12.6" customHeight="1" x14ac:dyDescent="0.2">
      <c r="A283" s="13"/>
      <c r="B283" s="19" t="s">
        <v>47</v>
      </c>
      <c r="C283" s="15"/>
      <c r="D283" s="14"/>
      <c r="E283" s="15">
        <f t="shared" si="22"/>
        <v>266.16700000000003</v>
      </c>
      <c r="F283" s="14"/>
      <c r="G283" s="15">
        <f t="shared" si="21"/>
        <v>0</v>
      </c>
      <c r="H283" s="14">
        <v>1</v>
      </c>
      <c r="I283" s="15">
        <f t="shared" si="23"/>
        <v>381.66700000000003</v>
      </c>
      <c r="J283" s="14"/>
      <c r="K283" s="16" t="s">
        <v>168</v>
      </c>
    </row>
    <row r="284" spans="1:11" ht="12.6" customHeight="1" x14ac:dyDescent="0.2">
      <c r="A284" s="13">
        <v>41651</v>
      </c>
      <c r="B284" s="19"/>
      <c r="C284" s="15">
        <v>1.25</v>
      </c>
      <c r="D284" s="15"/>
      <c r="E284" s="15">
        <f t="shared" si="22"/>
        <v>267.41700000000003</v>
      </c>
      <c r="F284" s="14"/>
      <c r="G284" s="15">
        <f t="shared" si="21"/>
        <v>1.25</v>
      </c>
      <c r="H284" s="14"/>
      <c r="I284" s="15">
        <f t="shared" si="23"/>
        <v>382.91700000000003</v>
      </c>
      <c r="J284" s="14"/>
      <c r="K284" s="13"/>
    </row>
    <row r="285" spans="1:11" ht="12.6" customHeight="1" x14ac:dyDescent="0.2">
      <c r="A285" s="13"/>
      <c r="B285" s="19" t="s">
        <v>170</v>
      </c>
      <c r="C285" s="15"/>
      <c r="D285" s="14"/>
      <c r="E285" s="15">
        <f t="shared" si="22"/>
        <v>267.41700000000003</v>
      </c>
      <c r="F285" s="14"/>
      <c r="G285" s="15">
        <f t="shared" si="21"/>
        <v>0</v>
      </c>
      <c r="H285" s="14"/>
      <c r="I285" s="15">
        <f t="shared" si="23"/>
        <v>382.91700000000003</v>
      </c>
      <c r="J285" s="14"/>
      <c r="K285" s="16" t="s">
        <v>169</v>
      </c>
    </row>
    <row r="286" spans="1:11" ht="12.6" customHeight="1" x14ac:dyDescent="0.2">
      <c r="A286" s="13">
        <v>42005</v>
      </c>
      <c r="B286" s="19"/>
      <c r="C286" s="15">
        <v>1.25</v>
      </c>
      <c r="D286" s="14"/>
      <c r="E286" s="15">
        <f t="shared" si="22"/>
        <v>268.66700000000003</v>
      </c>
      <c r="F286" s="14"/>
      <c r="G286" s="15">
        <f t="shared" si="21"/>
        <v>1.25</v>
      </c>
      <c r="H286" s="14"/>
      <c r="I286" s="15">
        <f t="shared" si="23"/>
        <v>384.16700000000003</v>
      </c>
      <c r="J286" s="14"/>
      <c r="K286" s="13"/>
    </row>
    <row r="287" spans="1:11" s="63" customFormat="1" ht="12.6" customHeight="1" x14ac:dyDescent="0.2">
      <c r="A287" s="58"/>
      <c r="B287" s="67" t="s">
        <v>65</v>
      </c>
      <c r="C287" s="60"/>
      <c r="D287" s="61">
        <v>5</v>
      </c>
      <c r="E287" s="60">
        <f t="shared" si="22"/>
        <v>263.66700000000003</v>
      </c>
      <c r="F287" s="61"/>
      <c r="G287" s="60">
        <f t="shared" si="21"/>
        <v>0</v>
      </c>
      <c r="H287" s="61"/>
      <c r="I287" s="60">
        <f t="shared" si="23"/>
        <v>384.16700000000003</v>
      </c>
      <c r="J287" s="61"/>
      <c r="K287" s="58" t="s">
        <v>171</v>
      </c>
    </row>
    <row r="288" spans="1:11" ht="12.6" customHeight="1" x14ac:dyDescent="0.2">
      <c r="A288" s="13"/>
      <c r="B288" s="19" t="s">
        <v>76</v>
      </c>
      <c r="C288" s="15"/>
      <c r="D288" s="14">
        <v>2</v>
      </c>
      <c r="E288" s="15">
        <f t="shared" si="22"/>
        <v>261.66700000000003</v>
      </c>
      <c r="F288" s="14"/>
      <c r="G288" s="15">
        <f t="shared" si="21"/>
        <v>0</v>
      </c>
      <c r="H288" s="14"/>
      <c r="I288" s="15">
        <f t="shared" si="23"/>
        <v>384.16700000000003</v>
      </c>
      <c r="J288" s="14"/>
      <c r="K288" s="13" t="s">
        <v>173</v>
      </c>
    </row>
    <row r="289" spans="1:11" ht="12.6" customHeight="1" x14ac:dyDescent="0.2">
      <c r="A289" s="13">
        <v>42014</v>
      </c>
      <c r="B289" s="19"/>
      <c r="C289" s="15">
        <v>11.25</v>
      </c>
      <c r="D289" s="14"/>
      <c r="E289" s="15">
        <f t="shared" si="22"/>
        <v>272.91700000000003</v>
      </c>
      <c r="F289" s="14"/>
      <c r="G289" s="15">
        <f t="shared" si="21"/>
        <v>11.25</v>
      </c>
      <c r="H289" s="14"/>
      <c r="I289" s="15">
        <f t="shared" si="23"/>
        <v>395.41700000000003</v>
      </c>
      <c r="J289" s="14"/>
      <c r="K289" s="13"/>
    </row>
    <row r="290" spans="1:11" ht="12.6" customHeight="1" x14ac:dyDescent="0.2">
      <c r="A290" s="13"/>
      <c r="B290" s="19" t="s">
        <v>45</v>
      </c>
      <c r="C290" s="15"/>
      <c r="D290" s="14"/>
      <c r="E290" s="15">
        <f t="shared" si="22"/>
        <v>272.91700000000003</v>
      </c>
      <c r="F290" s="14"/>
      <c r="G290" s="15">
        <f t="shared" si="21"/>
        <v>0</v>
      </c>
      <c r="H290" s="14"/>
      <c r="I290" s="15">
        <f t="shared" si="23"/>
        <v>395.41700000000003</v>
      </c>
      <c r="J290" s="14"/>
      <c r="K290" s="16" t="s">
        <v>172</v>
      </c>
    </row>
    <row r="291" spans="1:11" ht="12.6" customHeight="1" x14ac:dyDescent="0.2">
      <c r="A291" s="19"/>
      <c r="B291" s="19"/>
      <c r="C291" s="36">
        <f>SUM(C265:C290)</f>
        <v>51.25</v>
      </c>
      <c r="D291" s="36">
        <f>SUM(D265:D290)</f>
        <v>17</v>
      </c>
      <c r="E291" s="36"/>
      <c r="F291" s="37"/>
      <c r="G291" s="36">
        <f>SUM(G265:G290)</f>
        <v>51.25</v>
      </c>
      <c r="H291" s="36">
        <f>SUM(H265:H290)</f>
        <v>9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NICASIO D. CATAPANG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APRIL 15, 1985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>
        <v>42015</v>
      </c>
      <c r="B304" s="19"/>
      <c r="C304" s="15">
        <v>1.25</v>
      </c>
      <c r="D304" s="14"/>
      <c r="E304" s="15">
        <f>E290+C304-D304</f>
        <v>274.16700000000003</v>
      </c>
      <c r="F304" s="14"/>
      <c r="G304" s="15">
        <f>C304</f>
        <v>1.25</v>
      </c>
      <c r="H304" s="14"/>
      <c r="I304" s="15">
        <f>I290+G304-H304</f>
        <v>396.66700000000003</v>
      </c>
      <c r="J304" s="14"/>
      <c r="K304" s="16"/>
    </row>
    <row r="305" spans="1:11" ht="12.6" customHeight="1" x14ac:dyDescent="0.2">
      <c r="A305" s="13"/>
      <c r="B305" s="19" t="s">
        <v>81</v>
      </c>
      <c r="C305" s="15"/>
      <c r="D305" s="14"/>
      <c r="E305" s="15">
        <f>E304+C305-D305</f>
        <v>274.16700000000003</v>
      </c>
      <c r="F305" s="14"/>
      <c r="G305" s="15">
        <f t="shared" ref="G305:G329" si="24">C305</f>
        <v>0</v>
      </c>
      <c r="H305" s="14"/>
      <c r="I305" s="15">
        <f>I304+G305-H305</f>
        <v>396.66700000000003</v>
      </c>
      <c r="J305" s="14"/>
      <c r="K305" s="13">
        <v>42349</v>
      </c>
    </row>
    <row r="306" spans="1:11" ht="12.6" customHeight="1" x14ac:dyDescent="0.2">
      <c r="A306" s="13">
        <v>42370</v>
      </c>
      <c r="B306" s="19"/>
      <c r="C306" s="15">
        <v>2.5</v>
      </c>
      <c r="D306" s="14"/>
      <c r="E306" s="15">
        <f t="shared" ref="E306:E329" si="25">E305+C306-D306</f>
        <v>276.66700000000003</v>
      </c>
      <c r="F306" s="14"/>
      <c r="G306" s="15">
        <f t="shared" si="24"/>
        <v>2.5</v>
      </c>
      <c r="H306" s="14"/>
      <c r="I306" s="15">
        <f t="shared" ref="I306:I329" si="26">I305+G306-H306</f>
        <v>399.16700000000003</v>
      </c>
      <c r="J306" s="14"/>
      <c r="K306" s="13"/>
    </row>
    <row r="307" spans="1:11" s="63" customFormat="1" ht="12.6" customHeight="1" x14ac:dyDescent="0.2">
      <c r="A307" s="58"/>
      <c r="B307" s="67" t="s">
        <v>87</v>
      </c>
      <c r="C307" s="60"/>
      <c r="D307" s="61">
        <v>3</v>
      </c>
      <c r="E307" s="60">
        <f t="shared" si="25"/>
        <v>273.66700000000003</v>
      </c>
      <c r="F307" s="61"/>
      <c r="G307" s="60">
        <f t="shared" si="24"/>
        <v>0</v>
      </c>
      <c r="H307" s="61"/>
      <c r="I307" s="60">
        <f t="shared" si="26"/>
        <v>399.16700000000003</v>
      </c>
      <c r="J307" s="61"/>
      <c r="K307" s="64" t="s">
        <v>174</v>
      </c>
    </row>
    <row r="308" spans="1:11" ht="12.6" customHeight="1" x14ac:dyDescent="0.2">
      <c r="A308" s="13">
        <v>42376</v>
      </c>
      <c r="B308" s="19"/>
      <c r="C308" s="15">
        <v>7.5</v>
      </c>
      <c r="D308" s="14"/>
      <c r="E308" s="15">
        <f t="shared" si="25"/>
        <v>281.16700000000003</v>
      </c>
      <c r="F308" s="14"/>
      <c r="G308" s="15">
        <f t="shared" si="24"/>
        <v>7.5</v>
      </c>
      <c r="H308" s="14"/>
      <c r="I308" s="15">
        <f t="shared" si="26"/>
        <v>406.66700000000003</v>
      </c>
      <c r="J308" s="14"/>
      <c r="K308" s="13"/>
    </row>
    <row r="309" spans="1:11" ht="12.6" customHeight="1" x14ac:dyDescent="0.2">
      <c r="A309" s="13"/>
      <c r="B309" s="19" t="s">
        <v>76</v>
      </c>
      <c r="C309" s="15"/>
      <c r="D309" s="14">
        <v>2</v>
      </c>
      <c r="E309" s="15">
        <f t="shared" si="25"/>
        <v>279.16700000000003</v>
      </c>
      <c r="F309" s="14"/>
      <c r="G309" s="15">
        <f t="shared" si="24"/>
        <v>0</v>
      </c>
      <c r="H309" s="14"/>
      <c r="I309" s="15">
        <f t="shared" si="26"/>
        <v>406.66700000000003</v>
      </c>
      <c r="J309" s="14"/>
      <c r="K309" s="13" t="s">
        <v>175</v>
      </c>
    </row>
    <row r="310" spans="1:11" ht="12.6" customHeight="1" x14ac:dyDescent="0.2">
      <c r="A310" s="13">
        <v>42380</v>
      </c>
      <c r="B310" s="19"/>
      <c r="C310" s="15">
        <v>5</v>
      </c>
      <c r="D310" s="14"/>
      <c r="E310" s="15">
        <f t="shared" si="25"/>
        <v>284.16700000000003</v>
      </c>
      <c r="F310" s="14"/>
      <c r="G310" s="15">
        <f t="shared" si="24"/>
        <v>5</v>
      </c>
      <c r="H310" s="14"/>
      <c r="I310" s="15">
        <f t="shared" si="26"/>
        <v>411.66700000000003</v>
      </c>
      <c r="J310" s="14"/>
      <c r="K310" s="13"/>
    </row>
    <row r="311" spans="1:11" ht="12.6" customHeight="1" x14ac:dyDescent="0.2">
      <c r="A311" s="13"/>
      <c r="B311" s="19" t="s">
        <v>60</v>
      </c>
      <c r="C311" s="15"/>
      <c r="D311" s="14">
        <v>5</v>
      </c>
      <c r="E311" s="15">
        <f t="shared" si="25"/>
        <v>279.16700000000003</v>
      </c>
      <c r="F311" s="14"/>
      <c r="G311" s="15">
        <f t="shared" si="24"/>
        <v>0</v>
      </c>
      <c r="H311" s="14"/>
      <c r="I311" s="15">
        <f t="shared" si="26"/>
        <v>411.66700000000003</v>
      </c>
      <c r="J311" s="14"/>
      <c r="K311" s="13" t="s">
        <v>176</v>
      </c>
    </row>
    <row r="312" spans="1:11" ht="12.6" customHeight="1" x14ac:dyDescent="0.2">
      <c r="A312" s="13">
        <v>42737</v>
      </c>
      <c r="B312" s="19"/>
      <c r="C312" s="15">
        <v>3.75</v>
      </c>
      <c r="D312" s="14"/>
      <c r="E312" s="15">
        <f t="shared" si="25"/>
        <v>282.91700000000003</v>
      </c>
      <c r="F312" s="14"/>
      <c r="G312" s="15">
        <f t="shared" si="24"/>
        <v>3.75</v>
      </c>
      <c r="H312" s="14"/>
      <c r="I312" s="15">
        <f t="shared" si="26"/>
        <v>415.41700000000003</v>
      </c>
      <c r="J312" s="14"/>
      <c r="K312" s="16"/>
    </row>
    <row r="313" spans="1:11" ht="12.6" customHeight="1" x14ac:dyDescent="0.2">
      <c r="A313" s="13"/>
      <c r="B313" s="19" t="s">
        <v>74</v>
      </c>
      <c r="C313" s="15"/>
      <c r="D313" s="14">
        <v>1</v>
      </c>
      <c r="E313" s="15">
        <f t="shared" si="25"/>
        <v>281.91700000000003</v>
      </c>
      <c r="F313" s="14"/>
      <c r="G313" s="15">
        <f t="shared" si="24"/>
        <v>0</v>
      </c>
      <c r="H313" s="14"/>
      <c r="I313" s="15">
        <f t="shared" si="26"/>
        <v>415.41700000000003</v>
      </c>
      <c r="J313" s="14"/>
      <c r="K313" s="16" t="s">
        <v>177</v>
      </c>
    </row>
    <row r="314" spans="1:11" ht="12.6" customHeight="1" x14ac:dyDescent="0.2">
      <c r="A314" s="13">
        <v>42740</v>
      </c>
      <c r="B314" s="19"/>
      <c r="C314" s="15">
        <v>3.75</v>
      </c>
      <c r="D314" s="14"/>
      <c r="E314" s="15">
        <f t="shared" si="25"/>
        <v>285.66700000000003</v>
      </c>
      <c r="F314" s="14"/>
      <c r="G314" s="15">
        <f t="shared" si="24"/>
        <v>3.75</v>
      </c>
      <c r="H314" s="14"/>
      <c r="I314" s="15">
        <f t="shared" si="26"/>
        <v>419.16700000000003</v>
      </c>
      <c r="J314" s="14"/>
      <c r="K314" s="16"/>
    </row>
    <row r="315" spans="1:11" ht="12.6" customHeight="1" x14ac:dyDescent="0.2">
      <c r="A315" s="13"/>
      <c r="B315" s="19" t="s">
        <v>50</v>
      </c>
      <c r="C315" s="15"/>
      <c r="D315" s="14"/>
      <c r="E315" s="15">
        <f t="shared" si="25"/>
        <v>285.66700000000003</v>
      </c>
      <c r="F315" s="14"/>
      <c r="G315" s="15">
        <f t="shared" si="24"/>
        <v>0</v>
      </c>
      <c r="H315" s="14"/>
      <c r="I315" s="15">
        <f t="shared" si="26"/>
        <v>419.16700000000003</v>
      </c>
      <c r="J315" s="14"/>
      <c r="K315" s="13" t="s">
        <v>178</v>
      </c>
    </row>
    <row r="316" spans="1:11" ht="12.6" customHeight="1" x14ac:dyDescent="0.2">
      <c r="A316" s="13">
        <v>42743</v>
      </c>
      <c r="B316" s="19"/>
      <c r="C316" s="15">
        <v>3.75</v>
      </c>
      <c r="D316" s="14"/>
      <c r="E316" s="15">
        <f t="shared" si="25"/>
        <v>289.41700000000003</v>
      </c>
      <c r="F316" s="14"/>
      <c r="G316" s="15">
        <f t="shared" si="24"/>
        <v>3.75</v>
      </c>
      <c r="H316" s="14"/>
      <c r="I316" s="15">
        <f t="shared" si="26"/>
        <v>422.91700000000003</v>
      </c>
      <c r="J316" s="14"/>
      <c r="K316" s="13"/>
    </row>
    <row r="317" spans="1:11" ht="12.6" customHeight="1" x14ac:dyDescent="0.2">
      <c r="A317" s="13"/>
      <c r="B317" s="19" t="s">
        <v>47</v>
      </c>
      <c r="C317" s="15"/>
      <c r="D317" s="14"/>
      <c r="E317" s="15">
        <f t="shared" si="25"/>
        <v>289.41700000000003</v>
      </c>
      <c r="F317" s="14"/>
      <c r="G317" s="15">
        <f t="shared" si="24"/>
        <v>0</v>
      </c>
      <c r="H317" s="14">
        <v>1</v>
      </c>
      <c r="I317" s="15">
        <f t="shared" si="26"/>
        <v>421.91700000000003</v>
      </c>
      <c r="J317" s="14"/>
      <c r="K317" s="13">
        <v>42833</v>
      </c>
    </row>
    <row r="318" spans="1:11" ht="12.6" customHeight="1" x14ac:dyDescent="0.2">
      <c r="A318" s="13"/>
      <c r="B318" s="19" t="s">
        <v>74</v>
      </c>
      <c r="C318" s="15"/>
      <c r="D318" s="14">
        <v>1</v>
      </c>
      <c r="E318" s="15">
        <f t="shared" si="25"/>
        <v>288.41700000000003</v>
      </c>
      <c r="F318" s="14"/>
      <c r="G318" s="15">
        <f t="shared" si="24"/>
        <v>0</v>
      </c>
      <c r="H318" s="14"/>
      <c r="I318" s="15">
        <f t="shared" si="26"/>
        <v>421.91700000000003</v>
      </c>
      <c r="J318" s="14"/>
      <c r="K318" s="13" t="s">
        <v>179</v>
      </c>
    </row>
    <row r="319" spans="1:11" ht="12.6" customHeight="1" x14ac:dyDescent="0.2">
      <c r="A319" s="13">
        <v>42744</v>
      </c>
      <c r="B319" s="19"/>
      <c r="C319" s="15">
        <v>1.25</v>
      </c>
      <c r="D319" s="14"/>
      <c r="E319" s="15">
        <f t="shared" si="25"/>
        <v>289.66700000000003</v>
      </c>
      <c r="F319" s="14"/>
      <c r="G319" s="15">
        <f t="shared" si="24"/>
        <v>1.25</v>
      </c>
      <c r="H319" s="14"/>
      <c r="I319" s="15">
        <f t="shared" si="26"/>
        <v>423.16700000000003</v>
      </c>
      <c r="J319" s="14"/>
      <c r="K319" s="13"/>
    </row>
    <row r="320" spans="1:11" ht="12.6" customHeight="1" x14ac:dyDescent="0.2">
      <c r="A320" s="13"/>
      <c r="B320" s="19" t="s">
        <v>74</v>
      </c>
      <c r="C320" s="15"/>
      <c r="D320" s="14">
        <v>1</v>
      </c>
      <c r="E320" s="15">
        <f t="shared" si="25"/>
        <v>288.66700000000003</v>
      </c>
      <c r="F320" s="14"/>
      <c r="G320" s="15">
        <f t="shared" si="24"/>
        <v>0</v>
      </c>
      <c r="H320" s="14"/>
      <c r="I320" s="15">
        <f t="shared" si="26"/>
        <v>423.16700000000003</v>
      </c>
      <c r="J320" s="14"/>
      <c r="K320" s="13" t="s">
        <v>180</v>
      </c>
    </row>
    <row r="321" spans="1:11" ht="12.6" customHeight="1" x14ac:dyDescent="0.2">
      <c r="A321" s="13">
        <v>42746</v>
      </c>
      <c r="B321" s="19"/>
      <c r="C321" s="15">
        <v>2.5</v>
      </c>
      <c r="D321" s="15"/>
      <c r="E321" s="15">
        <f t="shared" si="25"/>
        <v>291.16700000000003</v>
      </c>
      <c r="F321" s="14"/>
      <c r="G321" s="15">
        <f t="shared" si="24"/>
        <v>2.5</v>
      </c>
      <c r="H321" s="14"/>
      <c r="I321" s="15">
        <f t="shared" si="26"/>
        <v>425.66700000000003</v>
      </c>
      <c r="J321" s="14"/>
      <c r="K321" s="13"/>
    </row>
    <row r="322" spans="1:11" ht="12.6" customHeight="1" x14ac:dyDescent="0.2">
      <c r="A322" s="13"/>
      <c r="B322" s="19" t="s">
        <v>76</v>
      </c>
      <c r="C322" s="15"/>
      <c r="D322" s="14">
        <v>2</v>
      </c>
      <c r="E322" s="15">
        <f t="shared" si="25"/>
        <v>289.16700000000003</v>
      </c>
      <c r="F322" s="14"/>
      <c r="G322" s="15">
        <f t="shared" si="24"/>
        <v>0</v>
      </c>
      <c r="H322" s="14"/>
      <c r="I322" s="15">
        <f t="shared" si="26"/>
        <v>425.66700000000003</v>
      </c>
      <c r="J322" s="14"/>
      <c r="K322" s="16" t="s">
        <v>181</v>
      </c>
    </row>
    <row r="323" spans="1:11" ht="12.6" customHeight="1" x14ac:dyDescent="0.2">
      <c r="A323" s="13">
        <v>43103</v>
      </c>
      <c r="B323" s="19"/>
      <c r="C323" s="15">
        <v>5</v>
      </c>
      <c r="D323" s="15"/>
      <c r="E323" s="15">
        <f t="shared" si="25"/>
        <v>294.16700000000003</v>
      </c>
      <c r="F323" s="14"/>
      <c r="G323" s="15">
        <f t="shared" si="24"/>
        <v>5</v>
      </c>
      <c r="H323" s="14"/>
      <c r="I323" s="15">
        <f t="shared" si="26"/>
        <v>430.66700000000003</v>
      </c>
      <c r="J323" s="14"/>
      <c r="K323" s="13"/>
    </row>
    <row r="324" spans="1:11" ht="12.6" customHeight="1" x14ac:dyDescent="0.2">
      <c r="A324" s="13"/>
      <c r="B324" s="19" t="s">
        <v>76</v>
      </c>
      <c r="C324" s="15"/>
      <c r="D324" s="14">
        <v>2</v>
      </c>
      <c r="E324" s="15">
        <f t="shared" si="25"/>
        <v>292.16700000000003</v>
      </c>
      <c r="F324" s="14"/>
      <c r="G324" s="15">
        <f t="shared" si="24"/>
        <v>0</v>
      </c>
      <c r="H324" s="14"/>
      <c r="I324" s="15">
        <f t="shared" si="26"/>
        <v>430.66700000000003</v>
      </c>
      <c r="J324" s="14"/>
      <c r="K324" s="16" t="s">
        <v>182</v>
      </c>
    </row>
    <row r="325" spans="1:11" ht="12.6" customHeight="1" x14ac:dyDescent="0.2">
      <c r="A325" s="13"/>
      <c r="B325" s="19" t="s">
        <v>76</v>
      </c>
      <c r="C325" s="15"/>
      <c r="D325" s="14">
        <v>2</v>
      </c>
      <c r="E325" s="15">
        <f t="shared" si="25"/>
        <v>290.16700000000003</v>
      </c>
      <c r="F325" s="14"/>
      <c r="G325" s="15">
        <f t="shared" si="24"/>
        <v>0</v>
      </c>
      <c r="H325" s="14"/>
      <c r="I325" s="15">
        <f t="shared" si="26"/>
        <v>430.66700000000003</v>
      </c>
      <c r="J325" s="14"/>
      <c r="K325" s="13" t="s">
        <v>183</v>
      </c>
    </row>
    <row r="326" spans="1:11" ht="12.6" customHeight="1" x14ac:dyDescent="0.2">
      <c r="A326" s="13">
        <v>43108</v>
      </c>
      <c r="B326" s="19"/>
      <c r="C326" s="15">
        <v>6.25</v>
      </c>
      <c r="D326" s="14"/>
      <c r="E326" s="15">
        <f t="shared" si="25"/>
        <v>296.41700000000003</v>
      </c>
      <c r="F326" s="14"/>
      <c r="G326" s="15">
        <f t="shared" si="24"/>
        <v>6.25</v>
      </c>
      <c r="H326" s="14"/>
      <c r="I326" s="15">
        <f t="shared" si="26"/>
        <v>436.91700000000003</v>
      </c>
      <c r="J326" s="14"/>
      <c r="K326" s="13"/>
    </row>
    <row r="327" spans="1:11" ht="12.6" customHeight="1" x14ac:dyDescent="0.2">
      <c r="A327" s="13"/>
      <c r="B327" s="19" t="s">
        <v>184</v>
      </c>
      <c r="C327" s="15"/>
      <c r="D327" s="14">
        <v>5</v>
      </c>
      <c r="E327" s="15">
        <f t="shared" si="25"/>
        <v>291.41700000000003</v>
      </c>
      <c r="F327" s="14"/>
      <c r="G327" s="15">
        <f t="shared" si="24"/>
        <v>0</v>
      </c>
      <c r="H327" s="14">
        <v>5</v>
      </c>
      <c r="I327" s="15">
        <f t="shared" si="26"/>
        <v>431.91700000000003</v>
      </c>
      <c r="J327" s="14"/>
      <c r="K327" s="13">
        <v>43313</v>
      </c>
    </row>
    <row r="328" spans="1:11" ht="12.6" customHeight="1" x14ac:dyDescent="0.2">
      <c r="A328" s="13">
        <v>43111</v>
      </c>
      <c r="B328" s="19"/>
      <c r="C328" s="15">
        <v>3.75</v>
      </c>
      <c r="D328" s="14"/>
      <c r="E328" s="15">
        <f t="shared" si="25"/>
        <v>295.16700000000003</v>
      </c>
      <c r="F328" s="14"/>
      <c r="G328" s="15">
        <f t="shared" si="24"/>
        <v>3.75</v>
      </c>
      <c r="H328" s="14"/>
      <c r="I328" s="15">
        <f t="shared" si="26"/>
        <v>435.66700000000003</v>
      </c>
      <c r="J328" s="14"/>
      <c r="K328" s="13"/>
    </row>
    <row r="329" spans="1:11" ht="12.6" customHeight="1" x14ac:dyDescent="0.2">
      <c r="A329" s="13"/>
      <c r="B329" s="19" t="s">
        <v>76</v>
      </c>
      <c r="C329" s="15"/>
      <c r="D329" s="14">
        <v>2</v>
      </c>
      <c r="E329" s="15">
        <f t="shared" si="25"/>
        <v>293.16700000000003</v>
      </c>
      <c r="F329" s="14"/>
      <c r="G329" s="15">
        <f t="shared" si="24"/>
        <v>0</v>
      </c>
      <c r="H329" s="14"/>
      <c r="I329" s="15">
        <f t="shared" si="26"/>
        <v>435.66700000000003</v>
      </c>
      <c r="J329" s="14"/>
      <c r="K329" s="16" t="s">
        <v>185</v>
      </c>
    </row>
    <row r="330" spans="1:11" ht="12.6" customHeight="1" x14ac:dyDescent="0.2">
      <c r="A330" s="19"/>
      <c r="B330" s="19"/>
      <c r="C330" s="36">
        <f>SUM(C304:C329)</f>
        <v>46.25</v>
      </c>
      <c r="D330" s="36">
        <f>SUM(D304:D329)</f>
        <v>26</v>
      </c>
      <c r="E330" s="36"/>
      <c r="F330" s="37"/>
      <c r="G330" s="36">
        <f>SUM(G304:G329)</f>
        <v>46.25</v>
      </c>
      <c r="H330" s="36">
        <f>SUM(H304:H329)</f>
        <v>6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NICASIO D. CATAPANG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APRIL 15, 1985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 t="s">
        <v>187</v>
      </c>
      <c r="C339" s="15"/>
      <c r="D339" s="14"/>
      <c r="E339" s="15">
        <f>E329+C339-D339</f>
        <v>293.16700000000003</v>
      </c>
      <c r="F339" s="14"/>
      <c r="G339" s="15">
        <f>C339</f>
        <v>0</v>
      </c>
      <c r="H339" s="14"/>
      <c r="I339" s="15">
        <f>I329+G339-H339</f>
        <v>435.66700000000003</v>
      </c>
      <c r="J339" s="14"/>
      <c r="K339" s="16" t="s">
        <v>186</v>
      </c>
    </row>
    <row r="340" spans="1:11" ht="12.6" customHeight="1" x14ac:dyDescent="0.2">
      <c r="A340" s="13">
        <v>43469</v>
      </c>
      <c r="B340" s="19"/>
      <c r="C340" s="15">
        <v>6.25</v>
      </c>
      <c r="D340" s="14"/>
      <c r="E340" s="15">
        <f>E339+C340-D340</f>
        <v>299.41700000000003</v>
      </c>
      <c r="F340" s="14"/>
      <c r="G340" s="15">
        <f t="shared" ref="G340:G364" si="27">C340</f>
        <v>6.25</v>
      </c>
      <c r="H340" s="14"/>
      <c r="I340" s="15">
        <f>I339+G340-H340</f>
        <v>441.91700000000003</v>
      </c>
      <c r="J340" s="14"/>
      <c r="K340" s="13"/>
    </row>
    <row r="341" spans="1:11" ht="12.6" customHeight="1" x14ac:dyDescent="0.2">
      <c r="A341" s="13"/>
      <c r="B341" s="19" t="s">
        <v>190</v>
      </c>
      <c r="C341" s="15"/>
      <c r="D341" s="14"/>
      <c r="E341" s="15">
        <f t="shared" ref="E341:E364" si="28">E340+C341-D341</f>
        <v>299.41700000000003</v>
      </c>
      <c r="F341" s="14"/>
      <c r="G341" s="15">
        <f t="shared" si="27"/>
        <v>0</v>
      </c>
      <c r="H341" s="14"/>
      <c r="I341" s="15">
        <f t="shared" ref="I341:I364" si="29">I340+G341-H341</f>
        <v>441.91700000000003</v>
      </c>
      <c r="J341" s="14"/>
      <c r="K341" s="13" t="s">
        <v>188</v>
      </c>
    </row>
    <row r="342" spans="1:11" ht="12.6" customHeight="1" x14ac:dyDescent="0.2">
      <c r="A342" s="13"/>
      <c r="B342" s="19" t="s">
        <v>47</v>
      </c>
      <c r="C342" s="15"/>
      <c r="D342" s="14"/>
      <c r="E342" s="15">
        <f t="shared" si="28"/>
        <v>299.41700000000003</v>
      </c>
      <c r="F342" s="14"/>
      <c r="G342" s="15">
        <f t="shared" si="27"/>
        <v>0</v>
      </c>
      <c r="H342" s="14">
        <v>1</v>
      </c>
      <c r="I342" s="15">
        <f t="shared" si="29"/>
        <v>440.91700000000003</v>
      </c>
      <c r="J342" s="14"/>
      <c r="K342" s="13" t="s">
        <v>189</v>
      </c>
    </row>
    <row r="343" spans="1:11" ht="12.6" customHeight="1" x14ac:dyDescent="0.2">
      <c r="A343" s="13">
        <v>43475</v>
      </c>
      <c r="B343" s="19"/>
      <c r="C343" s="15">
        <v>7.5</v>
      </c>
      <c r="D343" s="14"/>
      <c r="E343" s="15">
        <f t="shared" si="28"/>
        <v>306.91700000000003</v>
      </c>
      <c r="F343" s="14"/>
      <c r="G343" s="15">
        <f t="shared" si="27"/>
        <v>7.5</v>
      </c>
      <c r="H343" s="14"/>
      <c r="I343" s="15">
        <f t="shared" si="29"/>
        <v>448.41700000000003</v>
      </c>
      <c r="J343" s="14"/>
      <c r="K343" s="13"/>
    </row>
    <row r="344" spans="1:11" ht="12.6" customHeight="1" x14ac:dyDescent="0.2">
      <c r="A344" s="13"/>
      <c r="B344" s="19" t="s">
        <v>74</v>
      </c>
      <c r="C344" s="15"/>
      <c r="D344" s="14">
        <v>1</v>
      </c>
      <c r="E344" s="15">
        <f t="shared" si="28"/>
        <v>305.91700000000003</v>
      </c>
      <c r="F344" s="14"/>
      <c r="G344" s="15">
        <f t="shared" si="27"/>
        <v>0</v>
      </c>
      <c r="H344" s="14"/>
      <c r="I344" s="15">
        <f t="shared" si="29"/>
        <v>448.41700000000003</v>
      </c>
      <c r="J344" s="14"/>
      <c r="K344" s="13" t="s">
        <v>191</v>
      </c>
    </row>
    <row r="345" spans="1:11" ht="12.6" customHeight="1" x14ac:dyDescent="0.2">
      <c r="A345" s="13">
        <v>43476</v>
      </c>
      <c r="B345" s="19"/>
      <c r="C345" s="15">
        <v>1.25</v>
      </c>
      <c r="D345" s="14"/>
      <c r="E345" s="15">
        <f t="shared" si="28"/>
        <v>307.16700000000003</v>
      </c>
      <c r="F345" s="14"/>
      <c r="G345" s="15">
        <f t="shared" si="27"/>
        <v>1.25</v>
      </c>
      <c r="H345" s="14"/>
      <c r="I345" s="15">
        <f t="shared" si="29"/>
        <v>449.66700000000003</v>
      </c>
      <c r="J345" s="14"/>
      <c r="K345" s="13"/>
    </row>
    <row r="346" spans="1:11" ht="12.6" customHeight="1" x14ac:dyDescent="0.2">
      <c r="A346" s="13"/>
      <c r="B346" s="19" t="s">
        <v>76</v>
      </c>
      <c r="C346" s="15"/>
      <c r="D346" s="14">
        <v>2</v>
      </c>
      <c r="E346" s="15">
        <f t="shared" si="28"/>
        <v>305.16700000000003</v>
      </c>
      <c r="F346" s="14"/>
      <c r="G346" s="15">
        <f t="shared" si="27"/>
        <v>0</v>
      </c>
      <c r="H346" s="14"/>
      <c r="I346" s="15">
        <f t="shared" si="29"/>
        <v>449.66700000000003</v>
      </c>
      <c r="J346" s="14"/>
      <c r="K346" s="13" t="s">
        <v>192</v>
      </c>
    </row>
    <row r="347" spans="1:11" ht="12.6" customHeight="1" x14ac:dyDescent="0.2">
      <c r="A347" s="13">
        <v>43477</v>
      </c>
      <c r="B347" s="19"/>
      <c r="C347" s="15">
        <v>1.25</v>
      </c>
      <c r="D347" s="14"/>
      <c r="E347" s="15">
        <f t="shared" si="28"/>
        <v>306.41700000000003</v>
      </c>
      <c r="F347" s="14"/>
      <c r="G347" s="15">
        <f t="shared" si="27"/>
        <v>1.25</v>
      </c>
      <c r="H347" s="14"/>
      <c r="I347" s="15">
        <f t="shared" si="29"/>
        <v>450.91700000000003</v>
      </c>
      <c r="J347" s="14"/>
      <c r="K347" s="13"/>
    </row>
    <row r="348" spans="1:11" ht="12.6" customHeight="1" x14ac:dyDescent="0.2">
      <c r="A348" s="13"/>
      <c r="B348" s="19" t="s">
        <v>95</v>
      </c>
      <c r="C348" s="15"/>
      <c r="D348" s="14">
        <v>3</v>
      </c>
      <c r="E348" s="15">
        <f t="shared" si="28"/>
        <v>303.41700000000003</v>
      </c>
      <c r="F348" s="14"/>
      <c r="G348" s="15">
        <f t="shared" si="27"/>
        <v>0</v>
      </c>
      <c r="H348" s="14"/>
      <c r="I348" s="15">
        <f t="shared" si="29"/>
        <v>450.91700000000003</v>
      </c>
      <c r="J348" s="14"/>
      <c r="K348" s="16" t="s">
        <v>193</v>
      </c>
    </row>
    <row r="349" spans="1:11" ht="12.6" customHeight="1" x14ac:dyDescent="0.2">
      <c r="A349" s="13">
        <v>43842</v>
      </c>
      <c r="B349" s="19"/>
      <c r="C349" s="15">
        <v>15</v>
      </c>
      <c r="D349" s="14"/>
      <c r="E349" s="15">
        <f t="shared" si="28"/>
        <v>318.41700000000003</v>
      </c>
      <c r="F349" s="14"/>
      <c r="G349" s="15">
        <f t="shared" si="27"/>
        <v>15</v>
      </c>
      <c r="H349" s="14"/>
      <c r="I349" s="15">
        <f t="shared" si="29"/>
        <v>465.91700000000003</v>
      </c>
      <c r="J349" s="14"/>
      <c r="K349" s="13"/>
    </row>
    <row r="350" spans="1:11" ht="12.6" customHeight="1" x14ac:dyDescent="0.2">
      <c r="A350" s="13"/>
      <c r="B350" s="19" t="s">
        <v>195</v>
      </c>
      <c r="C350" s="15"/>
      <c r="D350" s="14"/>
      <c r="E350" s="15">
        <f t="shared" si="28"/>
        <v>318.41700000000003</v>
      </c>
      <c r="F350" s="14"/>
      <c r="G350" s="15">
        <f t="shared" si="27"/>
        <v>0</v>
      </c>
      <c r="H350" s="14"/>
      <c r="I350" s="15">
        <f t="shared" si="29"/>
        <v>465.91700000000003</v>
      </c>
      <c r="J350" s="14"/>
      <c r="K350" s="13" t="s">
        <v>194</v>
      </c>
    </row>
    <row r="351" spans="1:11" ht="12.6" customHeight="1" x14ac:dyDescent="0.2">
      <c r="A351" s="13">
        <v>44202</v>
      </c>
      <c r="B351" s="19"/>
      <c r="C351" s="15">
        <v>7.5</v>
      </c>
      <c r="D351" s="14"/>
      <c r="E351" s="15">
        <f t="shared" si="28"/>
        <v>325.91700000000003</v>
      </c>
      <c r="F351" s="14"/>
      <c r="G351" s="15">
        <f t="shared" si="27"/>
        <v>7.5</v>
      </c>
      <c r="H351" s="14"/>
      <c r="I351" s="15">
        <f t="shared" si="29"/>
        <v>473.41700000000003</v>
      </c>
      <c r="J351" s="14"/>
      <c r="K351" s="13"/>
    </row>
    <row r="352" spans="1:11" ht="12.6" customHeight="1" x14ac:dyDescent="0.2">
      <c r="A352" s="13"/>
      <c r="B352" s="19" t="s">
        <v>81</v>
      </c>
      <c r="C352" s="15"/>
      <c r="D352" s="14"/>
      <c r="E352" s="15">
        <f t="shared" si="28"/>
        <v>325.91700000000003</v>
      </c>
      <c r="F352" s="14"/>
      <c r="G352" s="15">
        <f t="shared" si="27"/>
        <v>0</v>
      </c>
      <c r="H352" s="14"/>
      <c r="I352" s="15">
        <f t="shared" si="29"/>
        <v>473.41700000000003</v>
      </c>
      <c r="J352" s="14"/>
      <c r="K352" s="13" t="s">
        <v>196</v>
      </c>
    </row>
    <row r="353" spans="1:11" ht="12.6" customHeight="1" x14ac:dyDescent="0.2">
      <c r="A353" s="13">
        <v>44208</v>
      </c>
      <c r="B353" s="19"/>
      <c r="C353" s="15">
        <v>7.5</v>
      </c>
      <c r="D353" s="14"/>
      <c r="E353" s="15">
        <f t="shared" si="28"/>
        <v>333.41700000000003</v>
      </c>
      <c r="F353" s="14"/>
      <c r="G353" s="15">
        <f t="shared" si="27"/>
        <v>7.5</v>
      </c>
      <c r="H353" s="14"/>
      <c r="I353" s="15">
        <f t="shared" si="29"/>
        <v>480.91700000000003</v>
      </c>
      <c r="J353" s="14"/>
      <c r="K353" s="13"/>
    </row>
    <row r="354" spans="1:11" ht="12.6" customHeight="1" x14ac:dyDescent="0.2">
      <c r="A354" s="13"/>
      <c r="B354" s="19" t="s">
        <v>195</v>
      </c>
      <c r="C354" s="15"/>
      <c r="D354" s="14"/>
      <c r="E354" s="15">
        <f t="shared" si="28"/>
        <v>333.41700000000003</v>
      </c>
      <c r="F354" s="14"/>
      <c r="G354" s="15">
        <f t="shared" si="27"/>
        <v>0</v>
      </c>
      <c r="H354" s="14"/>
      <c r="I354" s="15">
        <f t="shared" si="29"/>
        <v>480.91700000000003</v>
      </c>
      <c r="J354" s="14"/>
      <c r="K354" s="13" t="s">
        <v>197</v>
      </c>
    </row>
    <row r="355" spans="1:11" ht="12.6" customHeight="1" x14ac:dyDescent="0.2">
      <c r="A355" s="13">
        <v>44563</v>
      </c>
      <c r="B355" s="19"/>
      <c r="C355" s="15">
        <v>2.5</v>
      </c>
      <c r="D355" s="14"/>
      <c r="E355" s="15">
        <f t="shared" si="28"/>
        <v>335.91700000000003</v>
      </c>
      <c r="F355" s="14"/>
      <c r="G355" s="15">
        <f t="shared" si="27"/>
        <v>2.5</v>
      </c>
      <c r="H355" s="14"/>
      <c r="I355" s="15">
        <f t="shared" si="29"/>
        <v>483.41700000000003</v>
      </c>
      <c r="J355" s="14"/>
      <c r="K355" s="13"/>
    </row>
    <row r="356" spans="1:11" ht="12.6" customHeight="1" x14ac:dyDescent="0.2">
      <c r="A356" s="13"/>
      <c r="B356" s="19" t="s">
        <v>199</v>
      </c>
      <c r="C356" s="15"/>
      <c r="D356" s="15"/>
      <c r="E356" s="15">
        <f t="shared" si="28"/>
        <v>335.91700000000003</v>
      </c>
      <c r="F356" s="14"/>
      <c r="G356" s="15">
        <f t="shared" si="27"/>
        <v>0</v>
      </c>
      <c r="H356" s="14">
        <v>19</v>
      </c>
      <c r="I356" s="15">
        <f t="shared" si="29"/>
        <v>464.41700000000003</v>
      </c>
      <c r="J356" s="14"/>
      <c r="K356" s="13" t="s">
        <v>198</v>
      </c>
    </row>
    <row r="357" spans="1:11" ht="12.6" customHeight="1" x14ac:dyDescent="0.2">
      <c r="A357" s="13">
        <v>44573</v>
      </c>
      <c r="B357" s="19"/>
      <c r="C357" s="15">
        <v>12.5</v>
      </c>
      <c r="D357" s="14"/>
      <c r="E357" s="15">
        <f t="shared" si="28"/>
        <v>348.41700000000003</v>
      </c>
      <c r="F357" s="14"/>
      <c r="G357" s="15">
        <f t="shared" si="27"/>
        <v>12.5</v>
      </c>
      <c r="H357" s="14"/>
      <c r="I357" s="15">
        <f t="shared" si="29"/>
        <v>476.91700000000003</v>
      </c>
      <c r="J357" s="14"/>
      <c r="K357" s="16"/>
    </row>
    <row r="358" spans="1:11" ht="12.6" customHeight="1" x14ac:dyDescent="0.2">
      <c r="A358" s="13"/>
      <c r="B358" s="19" t="s">
        <v>195</v>
      </c>
      <c r="C358" s="15"/>
      <c r="D358" s="15"/>
      <c r="E358" s="15">
        <f t="shared" si="28"/>
        <v>348.41700000000003</v>
      </c>
      <c r="F358" s="14"/>
      <c r="G358" s="15">
        <f t="shared" si="27"/>
        <v>0</v>
      </c>
      <c r="H358" s="14"/>
      <c r="I358" s="15">
        <f t="shared" si="29"/>
        <v>476.91700000000003</v>
      </c>
      <c r="J358" s="14"/>
      <c r="K358" s="13" t="s">
        <v>200</v>
      </c>
    </row>
    <row r="359" spans="1:11" ht="12.6" customHeight="1" x14ac:dyDescent="0.2">
      <c r="A359" s="13">
        <v>44930</v>
      </c>
      <c r="B359" s="19"/>
      <c r="C359" s="15">
        <v>5</v>
      </c>
      <c r="D359" s="14"/>
      <c r="E359" s="15">
        <f t="shared" si="28"/>
        <v>353.41700000000003</v>
      </c>
      <c r="F359" s="14"/>
      <c r="G359" s="15">
        <f t="shared" si="27"/>
        <v>5</v>
      </c>
      <c r="H359" s="14"/>
      <c r="I359" s="15">
        <f t="shared" si="29"/>
        <v>481.91700000000003</v>
      </c>
      <c r="J359" s="14"/>
      <c r="K359" s="13"/>
    </row>
    <row r="360" spans="1:11" ht="12.6" customHeight="1" x14ac:dyDescent="0.2">
      <c r="A360" s="13"/>
      <c r="B360" s="19" t="s">
        <v>81</v>
      </c>
      <c r="C360" s="15"/>
      <c r="D360" s="14"/>
      <c r="E360" s="15">
        <f t="shared" si="28"/>
        <v>353.41700000000003</v>
      </c>
      <c r="F360" s="14"/>
      <c r="G360" s="15">
        <f t="shared" si="27"/>
        <v>0</v>
      </c>
      <c r="H360" s="14"/>
      <c r="I360" s="15">
        <f t="shared" si="29"/>
        <v>481.91700000000003</v>
      </c>
      <c r="J360" s="14"/>
      <c r="K360" s="13" t="s">
        <v>201</v>
      </c>
    </row>
    <row r="361" spans="1:11" ht="12.6" customHeight="1" x14ac:dyDescent="0.2">
      <c r="A361" s="13">
        <v>44931</v>
      </c>
      <c r="B361" s="19"/>
      <c r="C361" s="15">
        <v>1.25</v>
      </c>
      <c r="D361" s="14"/>
      <c r="E361" s="15">
        <f t="shared" si="28"/>
        <v>354.66700000000003</v>
      </c>
      <c r="F361" s="14"/>
      <c r="G361" s="15">
        <f t="shared" si="27"/>
        <v>1.25</v>
      </c>
      <c r="H361" s="14"/>
      <c r="I361" s="15">
        <f t="shared" si="29"/>
        <v>483.16700000000003</v>
      </c>
      <c r="J361" s="14"/>
      <c r="K361" s="13"/>
    </row>
    <row r="362" spans="1:11" ht="12.6" customHeight="1" x14ac:dyDescent="0.2">
      <c r="A362" s="13"/>
      <c r="B362" s="19" t="s">
        <v>100</v>
      </c>
      <c r="C362" s="15"/>
      <c r="D362" s="14"/>
      <c r="E362" s="15">
        <f t="shared" si="28"/>
        <v>354.66700000000003</v>
      </c>
      <c r="F362" s="14"/>
      <c r="G362" s="15">
        <f t="shared" si="27"/>
        <v>0</v>
      </c>
      <c r="H362" s="14"/>
      <c r="I362" s="15">
        <f t="shared" si="29"/>
        <v>483.16700000000003</v>
      </c>
      <c r="J362" s="14"/>
      <c r="K362" s="13" t="s">
        <v>202</v>
      </c>
    </row>
    <row r="363" spans="1:11" ht="12.6" customHeight="1" x14ac:dyDescent="0.2">
      <c r="A363" s="13">
        <v>44937</v>
      </c>
      <c r="B363" s="19"/>
      <c r="C363" s="15">
        <v>7.5</v>
      </c>
      <c r="D363" s="14"/>
      <c r="E363" s="15">
        <f t="shared" si="28"/>
        <v>362.16700000000003</v>
      </c>
      <c r="F363" s="14"/>
      <c r="G363" s="15">
        <f t="shared" si="27"/>
        <v>7.5</v>
      </c>
      <c r="H363" s="14"/>
      <c r="I363" s="15">
        <f t="shared" si="29"/>
        <v>490.66700000000003</v>
      </c>
      <c r="J363" s="14"/>
      <c r="K363" s="13"/>
    </row>
    <row r="364" spans="1:11" ht="12.6" customHeight="1" x14ac:dyDescent="0.2">
      <c r="A364" s="13"/>
      <c r="B364" s="19" t="s">
        <v>81</v>
      </c>
      <c r="C364" s="15"/>
      <c r="D364" s="14"/>
      <c r="E364" s="15">
        <f t="shared" si="28"/>
        <v>362.16700000000003</v>
      </c>
      <c r="F364" s="14"/>
      <c r="G364" s="15">
        <f t="shared" si="27"/>
        <v>0</v>
      </c>
      <c r="H364" s="14"/>
      <c r="I364" s="15">
        <f t="shared" si="29"/>
        <v>490.66700000000003</v>
      </c>
      <c r="J364" s="14"/>
      <c r="K364" s="16" t="s">
        <v>164</v>
      </c>
    </row>
    <row r="365" spans="1:11" ht="12.6" customHeight="1" x14ac:dyDescent="0.2">
      <c r="A365" s="19"/>
      <c r="B365" s="19"/>
      <c r="C365" s="36">
        <f>SUM(C339:C364)</f>
        <v>75</v>
      </c>
      <c r="D365" s="36">
        <f>SUM(D339:D364)</f>
        <v>6</v>
      </c>
      <c r="E365" s="36"/>
      <c r="F365" s="37"/>
      <c r="G365" s="36">
        <f>SUM(G339:G364)</f>
        <v>75</v>
      </c>
      <c r="H365" s="36">
        <f>SUM(H339:H364)</f>
        <v>20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NICASIO D. CATAPANG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APRIL 15, 1985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 t="s">
        <v>57</v>
      </c>
      <c r="C378" s="15"/>
      <c r="D378" s="14">
        <v>1</v>
      </c>
      <c r="E378" s="15">
        <f>E364+C378-D378</f>
        <v>361.16700000000003</v>
      </c>
      <c r="F378" s="14"/>
      <c r="G378" s="15">
        <f>C378</f>
        <v>0</v>
      </c>
      <c r="H378" s="14"/>
      <c r="I378" s="15">
        <f>I364+G378-H378</f>
        <v>490.66700000000003</v>
      </c>
      <c r="J378" s="14"/>
      <c r="K378" s="16" t="s">
        <v>203</v>
      </c>
    </row>
    <row r="379" spans="1:11" ht="12.6" customHeight="1" x14ac:dyDescent="0.2">
      <c r="A379" s="13">
        <v>44938</v>
      </c>
      <c r="B379" s="19"/>
      <c r="C379" s="15">
        <v>1.25</v>
      </c>
      <c r="D379" s="14"/>
      <c r="E379" s="15">
        <f>E378+C379-D379</f>
        <v>362.41700000000003</v>
      </c>
      <c r="F379" s="14"/>
      <c r="G379" s="15">
        <f t="shared" ref="G379:G403" si="30">C379</f>
        <v>1.25</v>
      </c>
      <c r="H379" s="14"/>
      <c r="I379" s="15">
        <f>I378+G379-H379</f>
        <v>491.91700000000003</v>
      </c>
      <c r="J379" s="14"/>
      <c r="K379" s="13"/>
    </row>
    <row r="380" spans="1:11" ht="12.6" customHeight="1" x14ac:dyDescent="0.2">
      <c r="A380" s="13"/>
      <c r="B380" s="19" t="s">
        <v>205</v>
      </c>
      <c r="C380" s="15"/>
      <c r="D380" s="14"/>
      <c r="E380" s="15">
        <f t="shared" ref="E380:E403" si="31">E379+C380-D380</f>
        <v>362.41700000000003</v>
      </c>
      <c r="F380" s="14"/>
      <c r="G380" s="15">
        <f t="shared" si="30"/>
        <v>0</v>
      </c>
      <c r="H380" s="14"/>
      <c r="I380" s="15">
        <f t="shared" ref="I380:I403" si="32">I379+G380-H380</f>
        <v>491.91700000000003</v>
      </c>
      <c r="J380" s="14"/>
      <c r="K380" s="13" t="s">
        <v>204</v>
      </c>
    </row>
    <row r="381" spans="1:11" ht="12.6" customHeight="1" x14ac:dyDescent="0.2">
      <c r="A381" s="13">
        <v>45301</v>
      </c>
      <c r="B381" s="19"/>
      <c r="C381" s="15">
        <v>12.5</v>
      </c>
      <c r="D381" s="14"/>
      <c r="E381" s="15">
        <f t="shared" si="31"/>
        <v>374.91700000000003</v>
      </c>
      <c r="F381" s="14"/>
      <c r="G381" s="15">
        <f t="shared" si="30"/>
        <v>12.5</v>
      </c>
      <c r="H381" s="14"/>
      <c r="I381" s="15">
        <f t="shared" si="32"/>
        <v>504.41700000000003</v>
      </c>
      <c r="J381" s="14"/>
      <c r="K381" s="16"/>
    </row>
    <row r="382" spans="1:11" ht="12.6" customHeight="1" x14ac:dyDescent="0.2">
      <c r="A382" s="13"/>
      <c r="B382" s="19" t="s">
        <v>95</v>
      </c>
      <c r="C382" s="15"/>
      <c r="D382" s="14">
        <v>3</v>
      </c>
      <c r="E382" s="15">
        <f t="shared" si="31"/>
        <v>371.91700000000003</v>
      </c>
      <c r="F382" s="14"/>
      <c r="G382" s="15">
        <f t="shared" si="30"/>
        <v>0</v>
      </c>
      <c r="H382" s="14"/>
      <c r="I382" s="15">
        <f t="shared" si="32"/>
        <v>504.41700000000003</v>
      </c>
      <c r="J382" s="14"/>
      <c r="K382" s="13" t="s">
        <v>206</v>
      </c>
    </row>
    <row r="383" spans="1:11" ht="12.6" customHeight="1" x14ac:dyDescent="0.2">
      <c r="A383" s="13">
        <v>45302</v>
      </c>
      <c r="B383" s="19"/>
      <c r="C383" s="15">
        <v>1.25</v>
      </c>
      <c r="D383" s="14"/>
      <c r="E383" s="15">
        <f t="shared" si="31"/>
        <v>373.16700000000003</v>
      </c>
      <c r="F383" s="14"/>
      <c r="G383" s="15">
        <f t="shared" si="30"/>
        <v>1.25</v>
      </c>
      <c r="H383" s="14"/>
      <c r="I383" s="15">
        <f t="shared" si="32"/>
        <v>505.66700000000003</v>
      </c>
      <c r="J383" s="14"/>
      <c r="K383" s="16"/>
    </row>
    <row r="384" spans="1:11" ht="12.6" customHeight="1" x14ac:dyDescent="0.2">
      <c r="A384" s="13"/>
      <c r="B384" s="19" t="s">
        <v>50</v>
      </c>
      <c r="C384" s="15"/>
      <c r="D384" s="14"/>
      <c r="E384" s="15">
        <f t="shared" si="31"/>
        <v>373.16700000000003</v>
      </c>
      <c r="F384" s="14"/>
      <c r="G384" s="15">
        <f t="shared" si="30"/>
        <v>0</v>
      </c>
      <c r="H384" s="14"/>
      <c r="I384" s="15">
        <f t="shared" si="32"/>
        <v>505.66700000000003</v>
      </c>
      <c r="J384" s="14"/>
      <c r="K384" s="13" t="s">
        <v>207</v>
      </c>
    </row>
    <row r="385" spans="1:11" ht="12.6" customHeight="1" x14ac:dyDescent="0.2">
      <c r="A385" s="13">
        <v>45303</v>
      </c>
      <c r="B385" s="19"/>
      <c r="C385" s="15">
        <v>1.25</v>
      </c>
      <c r="D385" s="14"/>
      <c r="E385" s="15">
        <f t="shared" si="31"/>
        <v>374.41700000000003</v>
      </c>
      <c r="F385" s="14"/>
      <c r="G385" s="15">
        <f t="shared" si="30"/>
        <v>1.25</v>
      </c>
      <c r="H385" s="14"/>
      <c r="I385" s="15">
        <f t="shared" si="32"/>
        <v>506.91700000000003</v>
      </c>
      <c r="J385" s="14"/>
      <c r="K385" s="13"/>
    </row>
    <row r="386" spans="1:11" ht="12.6" customHeight="1" x14ac:dyDescent="0.2">
      <c r="A386" s="13"/>
      <c r="B386" s="19" t="s">
        <v>170</v>
      </c>
      <c r="C386" s="15"/>
      <c r="D386" s="14"/>
      <c r="E386" s="15">
        <f t="shared" si="31"/>
        <v>374.41700000000003</v>
      </c>
      <c r="F386" s="14"/>
      <c r="G386" s="15">
        <f t="shared" si="30"/>
        <v>0</v>
      </c>
      <c r="H386" s="14"/>
      <c r="I386" s="15">
        <f t="shared" si="32"/>
        <v>506.91700000000003</v>
      </c>
      <c r="J386" s="14"/>
      <c r="K386" s="16" t="s">
        <v>208</v>
      </c>
    </row>
    <row r="387" spans="1:11" ht="12.6" customHeight="1" x14ac:dyDescent="0.2">
      <c r="A387" s="13">
        <v>45665</v>
      </c>
      <c r="B387" s="19"/>
      <c r="C387" s="15">
        <v>10</v>
      </c>
      <c r="D387" s="14"/>
      <c r="E387" s="15">
        <f t="shared" si="31"/>
        <v>384.41700000000003</v>
      </c>
      <c r="F387" s="14"/>
      <c r="G387" s="15">
        <f t="shared" si="30"/>
        <v>10</v>
      </c>
      <c r="H387" s="14"/>
      <c r="I387" s="15">
        <f t="shared" si="32"/>
        <v>516.91700000000003</v>
      </c>
      <c r="J387" s="14"/>
      <c r="K387" s="16"/>
    </row>
    <row r="388" spans="1:11" ht="12.6" customHeight="1" x14ac:dyDescent="0.2">
      <c r="A388" s="13"/>
      <c r="B388" s="19" t="s">
        <v>74</v>
      </c>
      <c r="C388" s="15"/>
      <c r="D388" s="14">
        <v>1</v>
      </c>
      <c r="E388" s="15">
        <f t="shared" si="31"/>
        <v>383.41700000000003</v>
      </c>
      <c r="F388" s="14"/>
      <c r="G388" s="15">
        <f t="shared" si="30"/>
        <v>0</v>
      </c>
      <c r="H388" s="14"/>
      <c r="I388" s="15">
        <f t="shared" si="32"/>
        <v>516.91700000000003</v>
      </c>
      <c r="J388" s="14"/>
      <c r="K388" s="16" t="s">
        <v>209</v>
      </c>
    </row>
    <row r="389" spans="1:11" ht="12.6" customHeight="1" x14ac:dyDescent="0.2">
      <c r="A389" s="13">
        <v>45669</v>
      </c>
      <c r="B389" s="19"/>
      <c r="C389" s="15">
        <v>5</v>
      </c>
      <c r="D389" s="14"/>
      <c r="E389" s="15">
        <f t="shared" si="31"/>
        <v>388.41700000000003</v>
      </c>
      <c r="F389" s="14"/>
      <c r="G389" s="15">
        <f t="shared" si="30"/>
        <v>5</v>
      </c>
      <c r="H389" s="14"/>
      <c r="I389" s="15">
        <f t="shared" si="32"/>
        <v>521.91700000000003</v>
      </c>
      <c r="J389" s="14"/>
      <c r="K389" s="13"/>
    </row>
    <row r="390" spans="1:11" ht="12.6" customHeight="1" x14ac:dyDescent="0.2">
      <c r="A390" s="13">
        <v>46031</v>
      </c>
      <c r="B390" s="19"/>
      <c r="C390" s="15">
        <v>11.25</v>
      </c>
      <c r="D390" s="14"/>
      <c r="E390" s="15">
        <f t="shared" si="31"/>
        <v>399.66700000000003</v>
      </c>
      <c r="F390" s="14"/>
      <c r="G390" s="15">
        <f t="shared" si="30"/>
        <v>11.25</v>
      </c>
      <c r="H390" s="14"/>
      <c r="I390" s="15">
        <f t="shared" si="32"/>
        <v>533.16700000000003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399.66700000000003</v>
      </c>
      <c r="F391" s="14"/>
      <c r="G391" s="15">
        <f t="shared" si="30"/>
        <v>0</v>
      </c>
      <c r="H391" s="14"/>
      <c r="I391" s="15">
        <f t="shared" si="32"/>
        <v>533.16700000000003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399.66700000000003</v>
      </c>
      <c r="F392" s="14"/>
      <c r="G392" s="15">
        <f t="shared" si="30"/>
        <v>0</v>
      </c>
      <c r="H392" s="14"/>
      <c r="I392" s="15">
        <f t="shared" si="32"/>
        <v>533.16700000000003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399.66700000000003</v>
      </c>
      <c r="F393" s="14"/>
      <c r="G393" s="15">
        <f t="shared" si="30"/>
        <v>0</v>
      </c>
      <c r="H393" s="14"/>
      <c r="I393" s="15">
        <f t="shared" si="32"/>
        <v>533.16700000000003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399.66700000000003</v>
      </c>
      <c r="F394" s="14"/>
      <c r="G394" s="15">
        <f t="shared" si="30"/>
        <v>0</v>
      </c>
      <c r="H394" s="14"/>
      <c r="I394" s="15">
        <f t="shared" si="32"/>
        <v>533.16700000000003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399.66700000000003</v>
      </c>
      <c r="F395" s="14"/>
      <c r="G395" s="15">
        <f t="shared" si="30"/>
        <v>0</v>
      </c>
      <c r="H395" s="14"/>
      <c r="I395" s="15">
        <f t="shared" si="32"/>
        <v>533.16700000000003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399.66700000000003</v>
      </c>
      <c r="F396" s="14"/>
      <c r="G396" s="15">
        <f t="shared" si="30"/>
        <v>0</v>
      </c>
      <c r="H396" s="14"/>
      <c r="I396" s="15">
        <f t="shared" si="32"/>
        <v>533.16700000000003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399.66700000000003</v>
      </c>
      <c r="F397" s="14"/>
      <c r="G397" s="15">
        <f t="shared" si="30"/>
        <v>0</v>
      </c>
      <c r="H397" s="14"/>
      <c r="I397" s="15">
        <f t="shared" si="32"/>
        <v>533.16700000000003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399.66700000000003</v>
      </c>
      <c r="F398" s="14"/>
      <c r="G398" s="15">
        <f t="shared" si="30"/>
        <v>0</v>
      </c>
      <c r="H398" s="14"/>
      <c r="I398" s="15">
        <f t="shared" si="32"/>
        <v>533.16700000000003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399.66700000000003</v>
      </c>
      <c r="F399" s="14"/>
      <c r="G399" s="15">
        <f t="shared" si="30"/>
        <v>0</v>
      </c>
      <c r="H399" s="14"/>
      <c r="I399" s="15">
        <f t="shared" si="32"/>
        <v>533.16700000000003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399.66700000000003</v>
      </c>
      <c r="F400" s="14"/>
      <c r="G400" s="15">
        <f t="shared" si="30"/>
        <v>0</v>
      </c>
      <c r="H400" s="14"/>
      <c r="I400" s="15">
        <f t="shared" si="32"/>
        <v>533.16700000000003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399.66700000000003</v>
      </c>
      <c r="F401" s="14"/>
      <c r="G401" s="15">
        <f t="shared" si="30"/>
        <v>0</v>
      </c>
      <c r="H401" s="14"/>
      <c r="I401" s="15">
        <f t="shared" si="32"/>
        <v>533.16700000000003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399.66700000000003</v>
      </c>
      <c r="F402" s="14"/>
      <c r="G402" s="15">
        <f t="shared" si="30"/>
        <v>0</v>
      </c>
      <c r="H402" s="14"/>
      <c r="I402" s="15">
        <f t="shared" si="32"/>
        <v>533.16700000000003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399.66700000000003</v>
      </c>
      <c r="F403" s="14"/>
      <c r="G403" s="15">
        <f t="shared" si="30"/>
        <v>0</v>
      </c>
      <c r="H403" s="14"/>
      <c r="I403" s="15">
        <f t="shared" si="32"/>
        <v>533.16700000000003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42.5</v>
      </c>
      <c r="D404" s="36">
        <f>SUM(D378:D403)</f>
        <v>5</v>
      </c>
      <c r="E404" s="36"/>
      <c r="F404" s="37"/>
      <c r="G404" s="36">
        <f>SUM(G378:G403)</f>
        <v>42.5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NICASIO D. CATAPANG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APRIL 15, 1985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399.66700000000003</v>
      </c>
      <c r="F413" s="14"/>
      <c r="G413" s="15">
        <f>C413</f>
        <v>0</v>
      </c>
      <c r="H413" s="14"/>
      <c r="I413" s="15">
        <f>I403+G413-H413</f>
        <v>533.16700000000003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399.66700000000003</v>
      </c>
      <c r="F414" s="14"/>
      <c r="G414" s="15">
        <f t="shared" ref="G414:G438" si="33">C414</f>
        <v>0</v>
      </c>
      <c r="H414" s="14"/>
      <c r="I414" s="15">
        <f>I413+G414-H414</f>
        <v>533.16700000000003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399.66700000000003</v>
      </c>
      <c r="F415" s="14"/>
      <c r="G415" s="15">
        <f t="shared" si="33"/>
        <v>0</v>
      </c>
      <c r="H415" s="14"/>
      <c r="I415" s="15">
        <f t="shared" ref="I415:I438" si="35">I414+G415-H415</f>
        <v>533.16700000000003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399.66700000000003</v>
      </c>
      <c r="F416" s="14"/>
      <c r="G416" s="15">
        <f t="shared" si="33"/>
        <v>0</v>
      </c>
      <c r="H416" s="14"/>
      <c r="I416" s="15">
        <f t="shared" si="35"/>
        <v>533.16700000000003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399.66700000000003</v>
      </c>
      <c r="F417" s="14"/>
      <c r="G417" s="15">
        <f t="shared" si="33"/>
        <v>0</v>
      </c>
      <c r="H417" s="14"/>
      <c r="I417" s="15">
        <f t="shared" si="35"/>
        <v>533.16700000000003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399.66700000000003</v>
      </c>
      <c r="F418" s="14"/>
      <c r="G418" s="15">
        <f t="shared" si="33"/>
        <v>0</v>
      </c>
      <c r="H418" s="14"/>
      <c r="I418" s="15">
        <f t="shared" si="35"/>
        <v>533.16700000000003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399.66700000000003</v>
      </c>
      <c r="F419" s="14"/>
      <c r="G419" s="15">
        <f t="shared" si="33"/>
        <v>0</v>
      </c>
      <c r="H419" s="14"/>
      <c r="I419" s="15">
        <f t="shared" si="35"/>
        <v>533.16700000000003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399.66700000000003</v>
      </c>
      <c r="F420" s="14"/>
      <c r="G420" s="15">
        <f t="shared" si="33"/>
        <v>0</v>
      </c>
      <c r="H420" s="14"/>
      <c r="I420" s="15">
        <f t="shared" si="35"/>
        <v>533.16700000000003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399.66700000000003</v>
      </c>
      <c r="F421" s="14"/>
      <c r="G421" s="15">
        <f t="shared" si="33"/>
        <v>0</v>
      </c>
      <c r="H421" s="14"/>
      <c r="I421" s="15">
        <f t="shared" si="35"/>
        <v>533.16700000000003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399.66700000000003</v>
      </c>
      <c r="F422" s="14"/>
      <c r="G422" s="15">
        <f t="shared" si="33"/>
        <v>0</v>
      </c>
      <c r="H422" s="14"/>
      <c r="I422" s="15">
        <f t="shared" si="35"/>
        <v>533.16700000000003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399.66700000000003</v>
      </c>
      <c r="F423" s="14"/>
      <c r="G423" s="15">
        <f t="shared" si="33"/>
        <v>0</v>
      </c>
      <c r="H423" s="14"/>
      <c r="I423" s="15">
        <f t="shared" si="35"/>
        <v>533.16700000000003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399.66700000000003</v>
      </c>
      <c r="F424" s="14"/>
      <c r="G424" s="15">
        <f t="shared" si="33"/>
        <v>0</v>
      </c>
      <c r="H424" s="14"/>
      <c r="I424" s="15">
        <f t="shared" si="35"/>
        <v>533.16700000000003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399.66700000000003</v>
      </c>
      <c r="F425" s="14"/>
      <c r="G425" s="15">
        <f t="shared" si="33"/>
        <v>0</v>
      </c>
      <c r="H425" s="14"/>
      <c r="I425" s="15">
        <f t="shared" si="35"/>
        <v>533.16700000000003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399.66700000000003</v>
      </c>
      <c r="F426" s="14"/>
      <c r="G426" s="15">
        <f t="shared" si="33"/>
        <v>0</v>
      </c>
      <c r="H426" s="14"/>
      <c r="I426" s="15">
        <f t="shared" si="35"/>
        <v>533.16700000000003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399.66700000000003</v>
      </c>
      <c r="F427" s="14"/>
      <c r="G427" s="15">
        <f t="shared" si="33"/>
        <v>0</v>
      </c>
      <c r="H427" s="14"/>
      <c r="I427" s="15">
        <f t="shared" si="35"/>
        <v>533.16700000000003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399.66700000000003</v>
      </c>
      <c r="F428" s="14"/>
      <c r="G428" s="15">
        <f t="shared" si="33"/>
        <v>0</v>
      </c>
      <c r="H428" s="14"/>
      <c r="I428" s="15">
        <f t="shared" si="35"/>
        <v>533.16700000000003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399.66700000000003</v>
      </c>
      <c r="F429" s="14"/>
      <c r="G429" s="15">
        <f t="shared" si="33"/>
        <v>0</v>
      </c>
      <c r="H429" s="14"/>
      <c r="I429" s="15">
        <f t="shared" si="35"/>
        <v>533.16700000000003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399.66700000000003</v>
      </c>
      <c r="F430" s="14"/>
      <c r="G430" s="15">
        <f t="shared" si="33"/>
        <v>0</v>
      </c>
      <c r="H430" s="14"/>
      <c r="I430" s="15">
        <f t="shared" si="35"/>
        <v>533.16700000000003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399.66700000000003</v>
      </c>
      <c r="F431" s="14"/>
      <c r="G431" s="15">
        <f t="shared" si="33"/>
        <v>0</v>
      </c>
      <c r="H431" s="14"/>
      <c r="I431" s="15">
        <f t="shared" si="35"/>
        <v>533.16700000000003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399.66700000000003</v>
      </c>
      <c r="F432" s="14"/>
      <c r="G432" s="15">
        <f t="shared" si="33"/>
        <v>0</v>
      </c>
      <c r="H432" s="14"/>
      <c r="I432" s="15">
        <f t="shared" si="35"/>
        <v>533.16700000000003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399.66700000000003</v>
      </c>
      <c r="F433" s="14"/>
      <c r="G433" s="15">
        <f t="shared" si="33"/>
        <v>0</v>
      </c>
      <c r="H433" s="14"/>
      <c r="I433" s="15">
        <f t="shared" si="35"/>
        <v>533.16700000000003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399.66700000000003</v>
      </c>
      <c r="F434" s="14"/>
      <c r="G434" s="15">
        <f t="shared" si="33"/>
        <v>0</v>
      </c>
      <c r="H434" s="14"/>
      <c r="I434" s="15">
        <f t="shared" si="35"/>
        <v>533.16700000000003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399.66700000000003</v>
      </c>
      <c r="F435" s="14"/>
      <c r="G435" s="15">
        <f t="shared" si="33"/>
        <v>0</v>
      </c>
      <c r="H435" s="14"/>
      <c r="I435" s="15">
        <f t="shared" si="35"/>
        <v>533.16700000000003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399.66700000000003</v>
      </c>
      <c r="F436" s="14"/>
      <c r="G436" s="15">
        <f t="shared" si="33"/>
        <v>0</v>
      </c>
      <c r="H436" s="14"/>
      <c r="I436" s="15">
        <f t="shared" si="35"/>
        <v>533.16700000000003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399.66700000000003</v>
      </c>
      <c r="F437" s="14"/>
      <c r="G437" s="15">
        <f t="shared" si="33"/>
        <v>0</v>
      </c>
      <c r="H437" s="14"/>
      <c r="I437" s="15">
        <f t="shared" si="35"/>
        <v>533.16700000000003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399.66700000000003</v>
      </c>
      <c r="F438" s="14"/>
      <c r="G438" s="15">
        <f t="shared" si="33"/>
        <v>0</v>
      </c>
      <c r="H438" s="14"/>
      <c r="I438" s="15">
        <f t="shared" si="35"/>
        <v>533.16700000000003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NICASIO D. CATAPANG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APRIL 15, 1985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399.66700000000003</v>
      </c>
      <c r="F452" s="14"/>
      <c r="G452" s="15">
        <f>C452</f>
        <v>0</v>
      </c>
      <c r="H452" s="14"/>
      <c r="I452" s="15">
        <f>I438+G452-H452</f>
        <v>533.16700000000003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399.66700000000003</v>
      </c>
      <c r="F453" s="14"/>
      <c r="G453" s="15">
        <f t="shared" ref="G453:G477" si="36">C453</f>
        <v>0</v>
      </c>
      <c r="H453" s="14"/>
      <c r="I453" s="15">
        <f>I452+G453-H453</f>
        <v>533.16700000000003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399.66700000000003</v>
      </c>
      <c r="F454" s="14"/>
      <c r="G454" s="15">
        <f t="shared" si="36"/>
        <v>0</v>
      </c>
      <c r="H454" s="14"/>
      <c r="I454" s="15">
        <f t="shared" ref="I454:I477" si="38">I453+G454-H454</f>
        <v>533.16700000000003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399.66700000000003</v>
      </c>
      <c r="F455" s="14"/>
      <c r="G455" s="15">
        <f t="shared" si="36"/>
        <v>0</v>
      </c>
      <c r="H455" s="14"/>
      <c r="I455" s="15">
        <f t="shared" si="38"/>
        <v>533.16700000000003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399.66700000000003</v>
      </c>
      <c r="F456" s="14"/>
      <c r="G456" s="15">
        <f t="shared" si="36"/>
        <v>0</v>
      </c>
      <c r="H456" s="14"/>
      <c r="I456" s="15">
        <f t="shared" si="38"/>
        <v>533.16700000000003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399.66700000000003</v>
      </c>
      <c r="F457" s="14"/>
      <c r="G457" s="15">
        <f t="shared" si="36"/>
        <v>0</v>
      </c>
      <c r="H457" s="14"/>
      <c r="I457" s="15">
        <f t="shared" si="38"/>
        <v>533.16700000000003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399.66700000000003</v>
      </c>
      <c r="F458" s="14"/>
      <c r="G458" s="15">
        <f t="shared" si="36"/>
        <v>0</v>
      </c>
      <c r="H458" s="14"/>
      <c r="I458" s="15">
        <f t="shared" si="38"/>
        <v>533.16700000000003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399.66700000000003</v>
      </c>
      <c r="F459" s="14"/>
      <c r="G459" s="15">
        <f t="shared" si="36"/>
        <v>0</v>
      </c>
      <c r="H459" s="14"/>
      <c r="I459" s="15">
        <f t="shared" si="38"/>
        <v>533.16700000000003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399.66700000000003</v>
      </c>
      <c r="F460" s="14"/>
      <c r="G460" s="15">
        <f t="shared" si="36"/>
        <v>0</v>
      </c>
      <c r="H460" s="14"/>
      <c r="I460" s="15">
        <f t="shared" si="38"/>
        <v>533.16700000000003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399.66700000000003</v>
      </c>
      <c r="F461" s="14"/>
      <c r="G461" s="15">
        <f t="shared" si="36"/>
        <v>0</v>
      </c>
      <c r="H461" s="14"/>
      <c r="I461" s="15">
        <f t="shared" si="38"/>
        <v>533.16700000000003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399.66700000000003</v>
      </c>
      <c r="F462" s="14"/>
      <c r="G462" s="15">
        <f t="shared" si="36"/>
        <v>0</v>
      </c>
      <c r="H462" s="14"/>
      <c r="I462" s="15">
        <f t="shared" si="38"/>
        <v>533.16700000000003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399.66700000000003</v>
      </c>
      <c r="F463" s="14"/>
      <c r="G463" s="15">
        <f t="shared" si="36"/>
        <v>0</v>
      </c>
      <c r="H463" s="14"/>
      <c r="I463" s="15">
        <f t="shared" si="38"/>
        <v>533.16700000000003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399.66700000000003</v>
      </c>
      <c r="F464" s="14"/>
      <c r="G464" s="15">
        <f t="shared" si="36"/>
        <v>0</v>
      </c>
      <c r="H464" s="14"/>
      <c r="I464" s="15">
        <f t="shared" si="38"/>
        <v>533.16700000000003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399.66700000000003</v>
      </c>
      <c r="F465" s="14"/>
      <c r="G465" s="15">
        <f t="shared" si="36"/>
        <v>0</v>
      </c>
      <c r="H465" s="14"/>
      <c r="I465" s="15">
        <f t="shared" si="38"/>
        <v>533.16700000000003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399.66700000000003</v>
      </c>
      <c r="F466" s="14"/>
      <c r="G466" s="15">
        <f t="shared" si="36"/>
        <v>0</v>
      </c>
      <c r="H466" s="14"/>
      <c r="I466" s="15">
        <f t="shared" si="38"/>
        <v>533.16700000000003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399.66700000000003</v>
      </c>
      <c r="F467" s="14"/>
      <c r="G467" s="15">
        <f t="shared" si="36"/>
        <v>0</v>
      </c>
      <c r="H467" s="14"/>
      <c r="I467" s="15">
        <f t="shared" si="38"/>
        <v>533.16700000000003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399.66700000000003</v>
      </c>
      <c r="F468" s="14"/>
      <c r="G468" s="15">
        <f t="shared" si="36"/>
        <v>0</v>
      </c>
      <c r="H468" s="14"/>
      <c r="I468" s="15">
        <f t="shared" si="38"/>
        <v>533.16700000000003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399.66700000000003</v>
      </c>
      <c r="F469" s="14"/>
      <c r="G469" s="15">
        <f t="shared" si="36"/>
        <v>0</v>
      </c>
      <c r="H469" s="14"/>
      <c r="I469" s="15">
        <f t="shared" si="38"/>
        <v>533.16700000000003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399.66700000000003</v>
      </c>
      <c r="F470" s="14"/>
      <c r="G470" s="15">
        <f t="shared" si="36"/>
        <v>0</v>
      </c>
      <c r="H470" s="14"/>
      <c r="I470" s="15">
        <f t="shared" si="38"/>
        <v>533.16700000000003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399.66700000000003</v>
      </c>
      <c r="F471" s="14"/>
      <c r="G471" s="15">
        <f t="shared" si="36"/>
        <v>0</v>
      </c>
      <c r="H471" s="14"/>
      <c r="I471" s="15">
        <f t="shared" si="38"/>
        <v>533.16700000000003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399.66700000000003</v>
      </c>
      <c r="F472" s="14"/>
      <c r="G472" s="15">
        <f t="shared" si="36"/>
        <v>0</v>
      </c>
      <c r="H472" s="14"/>
      <c r="I472" s="15">
        <f t="shared" si="38"/>
        <v>533.16700000000003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399.66700000000003</v>
      </c>
      <c r="F473" s="14"/>
      <c r="G473" s="15">
        <f t="shared" si="36"/>
        <v>0</v>
      </c>
      <c r="H473" s="14"/>
      <c r="I473" s="15">
        <f t="shared" si="38"/>
        <v>533.16700000000003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399.66700000000003</v>
      </c>
      <c r="F474" s="14"/>
      <c r="G474" s="15">
        <f t="shared" si="36"/>
        <v>0</v>
      </c>
      <c r="H474" s="14"/>
      <c r="I474" s="15">
        <f t="shared" si="38"/>
        <v>533.16700000000003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399.66700000000003</v>
      </c>
      <c r="F475" s="14"/>
      <c r="G475" s="15">
        <f t="shared" si="36"/>
        <v>0</v>
      </c>
      <c r="H475" s="14"/>
      <c r="I475" s="15">
        <f t="shared" si="38"/>
        <v>533.16700000000003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399.66700000000003</v>
      </c>
      <c r="F476" s="14"/>
      <c r="G476" s="15">
        <f t="shared" si="36"/>
        <v>0</v>
      </c>
      <c r="H476" s="14"/>
      <c r="I476" s="15">
        <f t="shared" si="38"/>
        <v>533.16700000000003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399.66700000000003</v>
      </c>
      <c r="F477" s="14"/>
      <c r="G477" s="15">
        <f t="shared" si="36"/>
        <v>0</v>
      </c>
      <c r="H477" s="14"/>
      <c r="I477" s="15">
        <f t="shared" si="38"/>
        <v>533.16700000000003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NICASIO D. CATAPANG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APRIL 15, 1985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399.66700000000003</v>
      </c>
      <c r="F487" s="14"/>
      <c r="G487" s="15"/>
      <c r="H487" s="14"/>
      <c r="I487" s="15">
        <f>I477+G487-H487</f>
        <v>533.16700000000003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399.66700000000003</v>
      </c>
      <c r="F488" s="14"/>
      <c r="G488" s="15"/>
      <c r="H488" s="14"/>
      <c r="I488" s="15">
        <f>I487+G488-H488</f>
        <v>533.16700000000003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399.66700000000003</v>
      </c>
      <c r="F489" s="14"/>
      <c r="G489" s="15"/>
      <c r="H489" s="14"/>
      <c r="I489" s="15">
        <f t="shared" ref="I489:I512" si="40">I488+G489-H489</f>
        <v>533.16700000000003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399.66700000000003</v>
      </c>
      <c r="F490" s="14"/>
      <c r="G490" s="15"/>
      <c r="H490" s="14"/>
      <c r="I490" s="15">
        <f t="shared" si="40"/>
        <v>533.16700000000003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399.66700000000003</v>
      </c>
      <c r="F491" s="14"/>
      <c r="G491" s="15"/>
      <c r="H491" s="14"/>
      <c r="I491" s="15">
        <f t="shared" si="40"/>
        <v>533.16700000000003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399.66700000000003</v>
      </c>
      <c r="F492" s="14"/>
      <c r="G492" s="15"/>
      <c r="H492" s="14"/>
      <c r="I492" s="15">
        <f t="shared" si="40"/>
        <v>533.16700000000003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399.66700000000003</v>
      </c>
      <c r="F493" s="14"/>
      <c r="G493" s="15"/>
      <c r="H493" s="14"/>
      <c r="I493" s="15">
        <f t="shared" si="40"/>
        <v>533.16700000000003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399.66700000000003</v>
      </c>
      <c r="F494" s="14"/>
      <c r="G494" s="15"/>
      <c r="H494" s="14"/>
      <c r="I494" s="15">
        <f t="shared" si="40"/>
        <v>533.16700000000003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399.66700000000003</v>
      </c>
      <c r="F495" s="14"/>
      <c r="G495" s="15"/>
      <c r="H495" s="14"/>
      <c r="I495" s="15">
        <f t="shared" si="40"/>
        <v>533.16700000000003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399.66700000000003</v>
      </c>
      <c r="F496" s="14"/>
      <c r="G496" s="15"/>
      <c r="H496" s="14"/>
      <c r="I496" s="15">
        <f t="shared" si="40"/>
        <v>533.16700000000003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399.66700000000003</v>
      </c>
      <c r="F497" s="14"/>
      <c r="G497" s="15"/>
      <c r="H497" s="14"/>
      <c r="I497" s="15">
        <f t="shared" si="40"/>
        <v>533.16700000000003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399.66700000000003</v>
      </c>
      <c r="F498" s="14"/>
      <c r="G498" s="15"/>
      <c r="H498" s="14"/>
      <c r="I498" s="15">
        <f t="shared" si="40"/>
        <v>533.16700000000003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399.66700000000003</v>
      </c>
      <c r="F499" s="14"/>
      <c r="G499" s="15"/>
      <c r="H499" s="14"/>
      <c r="I499" s="15">
        <f t="shared" si="40"/>
        <v>533.16700000000003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399.66700000000003</v>
      </c>
      <c r="F500" s="14"/>
      <c r="G500" s="15"/>
      <c r="H500" s="14"/>
      <c r="I500" s="15">
        <f t="shared" si="40"/>
        <v>533.16700000000003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399.66700000000003</v>
      </c>
      <c r="F501" s="14"/>
      <c r="G501" s="15"/>
      <c r="H501" s="14"/>
      <c r="I501" s="15">
        <f t="shared" si="40"/>
        <v>533.16700000000003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399.66700000000003</v>
      </c>
      <c r="F502" s="14"/>
      <c r="G502" s="15"/>
      <c r="H502" s="14"/>
      <c r="I502" s="15">
        <f t="shared" si="40"/>
        <v>533.16700000000003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399.66700000000003</v>
      </c>
      <c r="F503" s="14"/>
      <c r="G503" s="15"/>
      <c r="H503" s="14"/>
      <c r="I503" s="15">
        <f t="shared" si="40"/>
        <v>533.16700000000003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399.66700000000003</v>
      </c>
      <c r="F504" s="14"/>
      <c r="G504" s="15"/>
      <c r="H504" s="14"/>
      <c r="I504" s="15">
        <f t="shared" si="40"/>
        <v>533.16700000000003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399.66700000000003</v>
      </c>
      <c r="F505" s="14"/>
      <c r="G505" s="15"/>
      <c r="H505" s="14"/>
      <c r="I505" s="15">
        <f t="shared" si="40"/>
        <v>533.16700000000003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399.66700000000003</v>
      </c>
      <c r="F506" s="14"/>
      <c r="G506" s="15"/>
      <c r="H506" s="14"/>
      <c r="I506" s="15">
        <f t="shared" si="40"/>
        <v>533.16700000000003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399.66700000000003</v>
      </c>
      <c r="F507" s="14"/>
      <c r="G507" s="15"/>
      <c r="H507" s="14"/>
      <c r="I507" s="15">
        <f t="shared" si="40"/>
        <v>533.16700000000003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399.66700000000003</v>
      </c>
      <c r="F508" s="14"/>
      <c r="G508" s="15"/>
      <c r="H508" s="14"/>
      <c r="I508" s="15">
        <f t="shared" si="40"/>
        <v>533.16700000000003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399.66700000000003</v>
      </c>
      <c r="F509" s="14"/>
      <c r="G509" s="15"/>
      <c r="H509" s="14"/>
      <c r="I509" s="15">
        <f t="shared" si="40"/>
        <v>533.16700000000003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399.66700000000003</v>
      </c>
      <c r="F510" s="14"/>
      <c r="G510" s="15"/>
      <c r="H510" s="14"/>
      <c r="I510" s="15">
        <f t="shared" si="40"/>
        <v>533.16700000000003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399.66700000000003</v>
      </c>
      <c r="F511" s="14"/>
      <c r="G511" s="15"/>
      <c r="H511" s="14"/>
      <c r="I511" s="15">
        <f t="shared" si="40"/>
        <v>533.16700000000003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399.66700000000003</v>
      </c>
      <c r="F512" s="14"/>
      <c r="G512" s="15"/>
      <c r="H512" s="14"/>
      <c r="I512" s="15">
        <f t="shared" si="40"/>
        <v>533.16700000000003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NICASIO D. CATAPANG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APRIL 15, 1985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399.66700000000003</v>
      </c>
      <c r="F526" s="14"/>
      <c r="G526" s="15"/>
      <c r="H526" s="14"/>
      <c r="I526" s="15">
        <f>I512+G526-H526</f>
        <v>533.16700000000003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399.66700000000003</v>
      </c>
      <c r="F527" s="14"/>
      <c r="G527" s="15"/>
      <c r="H527" s="14"/>
      <c r="I527" s="15">
        <f>I526+G527-H527</f>
        <v>533.16700000000003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399.66700000000003</v>
      </c>
      <c r="F528" s="14"/>
      <c r="G528" s="15"/>
      <c r="H528" s="14"/>
      <c r="I528" s="15">
        <f t="shared" ref="I528:I551" si="42">I527+G528-H528</f>
        <v>533.16700000000003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399.66700000000003</v>
      </c>
      <c r="F529" s="14"/>
      <c r="G529" s="15"/>
      <c r="H529" s="14"/>
      <c r="I529" s="15">
        <f t="shared" si="42"/>
        <v>533.16700000000003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399.66700000000003</v>
      </c>
      <c r="F530" s="14"/>
      <c r="G530" s="15"/>
      <c r="H530" s="14"/>
      <c r="I530" s="15">
        <f t="shared" si="42"/>
        <v>533.16700000000003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399.66700000000003</v>
      </c>
      <c r="F531" s="14"/>
      <c r="G531" s="15"/>
      <c r="H531" s="14"/>
      <c r="I531" s="15">
        <f t="shared" si="42"/>
        <v>533.16700000000003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399.66700000000003</v>
      </c>
      <c r="F532" s="14"/>
      <c r="G532" s="15"/>
      <c r="H532" s="14"/>
      <c r="I532" s="15">
        <f t="shared" si="42"/>
        <v>533.16700000000003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399.66700000000003</v>
      </c>
      <c r="F533" s="14"/>
      <c r="G533" s="15"/>
      <c r="H533" s="14"/>
      <c r="I533" s="15">
        <f t="shared" si="42"/>
        <v>533.16700000000003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399.66700000000003</v>
      </c>
      <c r="F534" s="14"/>
      <c r="G534" s="15"/>
      <c r="H534" s="14"/>
      <c r="I534" s="15">
        <f t="shared" si="42"/>
        <v>533.16700000000003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399.66700000000003</v>
      </c>
      <c r="F535" s="14"/>
      <c r="G535" s="15"/>
      <c r="H535" s="14"/>
      <c r="I535" s="15">
        <f t="shared" si="42"/>
        <v>533.16700000000003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399.66700000000003</v>
      </c>
      <c r="F536" s="14"/>
      <c r="G536" s="15"/>
      <c r="H536" s="14"/>
      <c r="I536" s="15">
        <f t="shared" si="42"/>
        <v>533.16700000000003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399.66700000000003</v>
      </c>
      <c r="F537" s="14"/>
      <c r="G537" s="15"/>
      <c r="H537" s="14"/>
      <c r="I537" s="15">
        <f t="shared" si="42"/>
        <v>533.16700000000003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399.66700000000003</v>
      </c>
      <c r="F538" s="14"/>
      <c r="G538" s="15"/>
      <c r="H538" s="14"/>
      <c r="I538" s="15">
        <f t="shared" si="42"/>
        <v>533.16700000000003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399.66700000000003</v>
      </c>
      <c r="F539" s="14"/>
      <c r="G539" s="15"/>
      <c r="H539" s="14"/>
      <c r="I539" s="15">
        <f t="shared" si="42"/>
        <v>533.16700000000003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399.66700000000003</v>
      </c>
      <c r="F540" s="14"/>
      <c r="G540" s="15"/>
      <c r="H540" s="14"/>
      <c r="I540" s="15">
        <f t="shared" si="42"/>
        <v>533.16700000000003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399.66700000000003</v>
      </c>
      <c r="F541" s="14"/>
      <c r="G541" s="15"/>
      <c r="H541" s="14"/>
      <c r="I541" s="15">
        <f t="shared" si="42"/>
        <v>533.16700000000003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399.66700000000003</v>
      </c>
      <c r="F542" s="14"/>
      <c r="G542" s="15"/>
      <c r="H542" s="14"/>
      <c r="I542" s="15">
        <f t="shared" si="42"/>
        <v>533.16700000000003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399.66700000000003</v>
      </c>
      <c r="F543" s="14"/>
      <c r="G543" s="15"/>
      <c r="H543" s="14"/>
      <c r="I543" s="15">
        <f t="shared" si="42"/>
        <v>533.16700000000003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399.66700000000003</v>
      </c>
      <c r="F544" s="14"/>
      <c r="G544" s="15"/>
      <c r="H544" s="14"/>
      <c r="I544" s="15">
        <f t="shared" si="42"/>
        <v>533.16700000000003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399.66700000000003</v>
      </c>
      <c r="F545" s="14"/>
      <c r="G545" s="15"/>
      <c r="H545" s="14"/>
      <c r="I545" s="15">
        <f t="shared" si="42"/>
        <v>533.16700000000003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399.66700000000003</v>
      </c>
      <c r="F546" s="14"/>
      <c r="G546" s="15"/>
      <c r="H546" s="14"/>
      <c r="I546" s="15">
        <f t="shared" si="42"/>
        <v>533.16700000000003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399.66700000000003</v>
      </c>
      <c r="F547" s="14"/>
      <c r="G547" s="15"/>
      <c r="H547" s="14"/>
      <c r="I547" s="15">
        <f t="shared" si="42"/>
        <v>533.16700000000003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399.66700000000003</v>
      </c>
      <c r="F548" s="14"/>
      <c r="G548" s="15"/>
      <c r="H548" s="14"/>
      <c r="I548" s="15">
        <f t="shared" si="42"/>
        <v>533.16700000000003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399.66700000000003</v>
      </c>
      <c r="F549" s="14"/>
      <c r="G549" s="15"/>
      <c r="H549" s="14"/>
      <c r="I549" s="15">
        <f t="shared" si="42"/>
        <v>533.16700000000003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399.66700000000003</v>
      </c>
      <c r="F550" s="14"/>
      <c r="G550" s="15"/>
      <c r="H550" s="14"/>
      <c r="I550" s="15">
        <f t="shared" si="42"/>
        <v>533.16700000000003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399.66700000000003</v>
      </c>
      <c r="F551" s="14"/>
      <c r="G551" s="15"/>
      <c r="H551" s="14"/>
      <c r="I551" s="15">
        <f t="shared" si="42"/>
        <v>533.16700000000003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620.66700000000003</v>
      </c>
      <c r="D556" s="46">
        <f>SUM(D552+D513+D478+D439+D404+D365+D330+D291+D256+D217+D182+D143+D108+D69+D34)</f>
        <v>221</v>
      </c>
      <c r="E556" s="46"/>
      <c r="G556" s="26">
        <f>SUM(G552+G513+G478+G439+G404+G365+G330+G291+G256+G217+G182+G143+G108+G69+G34)</f>
        <v>620.66700000000003</v>
      </c>
      <c r="H556" s="46">
        <f>SUM(H552+H513+H478+H439+H404+H365+H330+H291+H256+H217+H182+H143+H108+H69+H34)</f>
        <v>87.5</v>
      </c>
      <c r="I556" s="46"/>
      <c r="K556" s="28">
        <v>319.875</v>
      </c>
    </row>
    <row r="557" spans="1:11" ht="12.6" customHeight="1" x14ac:dyDescent="0.2">
      <c r="K557" s="47">
        <f>G556-K556</f>
        <v>300.79200000000003</v>
      </c>
    </row>
    <row r="566" spans="2:11" ht="12.6" customHeight="1" x14ac:dyDescent="0.2">
      <c r="B566" s="3" t="s">
        <v>33</v>
      </c>
      <c r="E566" s="46"/>
      <c r="F566" s="48">
        <f>C556</f>
        <v>620.66700000000003</v>
      </c>
      <c r="H566" s="48">
        <f>F566</f>
        <v>620.66700000000003</v>
      </c>
    </row>
    <row r="567" spans="2:11" ht="12.6" customHeight="1" x14ac:dyDescent="0.2">
      <c r="B567" s="3" t="s">
        <v>34</v>
      </c>
      <c r="E567" s="46"/>
      <c r="F567" s="48">
        <f>D556</f>
        <v>221</v>
      </c>
      <c r="H567" s="48">
        <f>H556</f>
        <v>87.5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399.66700000000003</v>
      </c>
      <c r="G570" s="50"/>
      <c r="H570" s="53">
        <f>SUM(H566-H567)</f>
        <v>533.16700000000003</v>
      </c>
      <c r="I570" s="54">
        <f>SUM(H570+F570)</f>
        <v>932.83400000000006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932.83400000000006</v>
      </c>
      <c r="D573" s="97"/>
      <c r="E573" s="100">
        <v>4.8192699999999998E-2</v>
      </c>
      <c r="F573" s="100"/>
      <c r="H573" s="101">
        <f>B573*C573*E573</f>
        <v>717988.90790455788</v>
      </c>
      <c r="I573" s="101"/>
      <c r="J573" s="101"/>
      <c r="K573" s="56"/>
    </row>
    <row r="574" spans="2:11" ht="12.6" customHeight="1" thickTop="1" x14ac:dyDescent="0.2"/>
  </sheetData>
  <mergeCells count="157"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74"/>
  <sheetViews>
    <sheetView zoomScale="200" zoomScaleNormal="200" workbookViewId="0">
      <selection activeCell="B17" sqref="B17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 t="s">
        <v>42</v>
      </c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 t="s">
        <v>43</v>
      </c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>
        <v>40182</v>
      </c>
      <c r="B7" s="14" t="s">
        <v>44</v>
      </c>
      <c r="C7" s="15">
        <v>0.25</v>
      </c>
      <c r="D7" s="14"/>
      <c r="E7" s="15">
        <f>C7+D7</f>
        <v>0.25</v>
      </c>
      <c r="F7" s="14"/>
      <c r="G7" s="15">
        <f>C7</f>
        <v>0.25</v>
      </c>
      <c r="H7" s="14"/>
      <c r="I7" s="15">
        <f>G7+H7</f>
        <v>0.25</v>
      </c>
      <c r="J7" s="14"/>
      <c r="K7" s="16"/>
    </row>
    <row r="8" spans="1:11" ht="12.6" customHeight="1" x14ac:dyDescent="0.2">
      <c r="A8" s="13">
        <v>40183</v>
      </c>
      <c r="B8" s="17"/>
      <c r="C8" s="15">
        <v>1.25</v>
      </c>
      <c r="D8" s="18"/>
      <c r="E8" s="15">
        <f>E7+C8-D8</f>
        <v>1.5</v>
      </c>
      <c r="F8" s="14"/>
      <c r="G8" s="15">
        <f t="shared" ref="G8:G33" si="0">C8</f>
        <v>1.25</v>
      </c>
      <c r="H8" s="14"/>
      <c r="I8" s="15">
        <f>I7+G8-H8</f>
        <v>1.5</v>
      </c>
      <c r="J8" s="14"/>
      <c r="K8" s="16"/>
    </row>
    <row r="9" spans="1:11" ht="12.6" customHeight="1" x14ac:dyDescent="0.2">
      <c r="A9" s="13"/>
      <c r="B9" s="17" t="s">
        <v>45</v>
      </c>
      <c r="C9" s="15"/>
      <c r="D9" s="14"/>
      <c r="E9" s="15">
        <f t="shared" ref="E9:E33" si="1">E8+C9-D9</f>
        <v>1.5</v>
      </c>
      <c r="F9" s="14"/>
      <c r="G9" s="15">
        <f t="shared" si="0"/>
        <v>0</v>
      </c>
      <c r="H9" s="14"/>
      <c r="I9" s="15">
        <f t="shared" ref="I9:I34" si="2">I8+G9-H9</f>
        <v>1.5</v>
      </c>
      <c r="J9" s="14"/>
      <c r="K9" s="13">
        <v>40487</v>
      </c>
    </row>
    <row r="10" spans="1:11" ht="12.6" customHeight="1" x14ac:dyDescent="0.2">
      <c r="A10" s="13">
        <v>40184</v>
      </c>
      <c r="B10" s="19"/>
      <c r="C10" s="15">
        <v>1.25</v>
      </c>
      <c r="D10" s="14"/>
      <c r="E10" s="15">
        <f t="shared" si="1"/>
        <v>2.75</v>
      </c>
      <c r="F10" s="14"/>
      <c r="G10" s="15">
        <f t="shared" si="0"/>
        <v>1.25</v>
      </c>
      <c r="H10" s="14"/>
      <c r="I10" s="15">
        <f t="shared" si="2"/>
        <v>2.75</v>
      </c>
      <c r="J10" s="14"/>
      <c r="K10" s="13"/>
    </row>
    <row r="11" spans="1:11" ht="12.6" customHeight="1" x14ac:dyDescent="0.2">
      <c r="A11" s="13"/>
      <c r="B11" s="17" t="s">
        <v>47</v>
      </c>
      <c r="C11" s="15"/>
      <c r="D11" s="14"/>
      <c r="E11" s="15">
        <f t="shared" si="1"/>
        <v>2.75</v>
      </c>
      <c r="F11" s="14"/>
      <c r="G11" s="15">
        <f t="shared" si="0"/>
        <v>0</v>
      </c>
      <c r="H11" s="14">
        <v>1</v>
      </c>
      <c r="I11" s="15">
        <f t="shared" si="2"/>
        <v>1.75</v>
      </c>
      <c r="J11" s="14"/>
      <c r="K11" s="20" t="s">
        <v>46</v>
      </c>
    </row>
    <row r="12" spans="1:11" ht="12.6" customHeight="1" x14ac:dyDescent="0.2">
      <c r="A12" s="13">
        <v>40186</v>
      </c>
      <c r="B12" s="19"/>
      <c r="C12" s="15">
        <v>2.5</v>
      </c>
      <c r="D12" s="14"/>
      <c r="E12" s="15">
        <f t="shared" si="1"/>
        <v>5.25</v>
      </c>
      <c r="F12" s="14"/>
      <c r="G12" s="15">
        <f t="shared" si="0"/>
        <v>2.5</v>
      </c>
      <c r="H12" s="14"/>
      <c r="I12" s="15">
        <f t="shared" si="2"/>
        <v>4.25</v>
      </c>
      <c r="J12" s="14"/>
      <c r="K12" s="13"/>
    </row>
    <row r="13" spans="1:11" ht="12.6" customHeight="1" x14ac:dyDescent="0.2">
      <c r="A13" s="13"/>
      <c r="B13" s="17" t="s">
        <v>47</v>
      </c>
      <c r="C13" s="15"/>
      <c r="D13" s="14"/>
      <c r="E13" s="15">
        <f t="shared" si="1"/>
        <v>5.25</v>
      </c>
      <c r="F13" s="14"/>
      <c r="G13" s="15">
        <f t="shared" si="0"/>
        <v>0</v>
      </c>
      <c r="H13" s="14">
        <v>1</v>
      </c>
      <c r="I13" s="15">
        <f t="shared" si="2"/>
        <v>3.25</v>
      </c>
      <c r="J13" s="14"/>
      <c r="K13" s="13" t="s">
        <v>48</v>
      </c>
    </row>
    <row r="14" spans="1:11" ht="12.6" customHeight="1" x14ac:dyDescent="0.2">
      <c r="A14" s="13"/>
      <c r="B14" s="17" t="s">
        <v>50</v>
      </c>
      <c r="C14" s="15"/>
      <c r="D14" s="14"/>
      <c r="E14" s="15">
        <f t="shared" si="1"/>
        <v>5.25</v>
      </c>
      <c r="F14" s="14"/>
      <c r="G14" s="15">
        <f t="shared" si="0"/>
        <v>0</v>
      </c>
      <c r="H14" s="14"/>
      <c r="I14" s="15">
        <f t="shared" si="2"/>
        <v>3.25</v>
      </c>
      <c r="J14" s="14"/>
      <c r="K14" s="13" t="s">
        <v>49</v>
      </c>
    </row>
    <row r="15" spans="1:11" ht="12.6" customHeight="1" x14ac:dyDescent="0.2">
      <c r="A15" s="13">
        <v>40188</v>
      </c>
      <c r="B15" s="17"/>
      <c r="C15" s="15">
        <v>2.5</v>
      </c>
      <c r="D15" s="14"/>
      <c r="E15" s="15">
        <f t="shared" si="1"/>
        <v>7.75</v>
      </c>
      <c r="F15" s="14"/>
      <c r="G15" s="15">
        <f t="shared" si="0"/>
        <v>2.5</v>
      </c>
      <c r="H15" s="14"/>
      <c r="I15" s="15">
        <f t="shared" si="2"/>
        <v>5.75</v>
      </c>
      <c r="J15" s="14"/>
      <c r="K15" s="13"/>
    </row>
    <row r="16" spans="1:11" ht="12.6" customHeight="1" x14ac:dyDescent="0.2">
      <c r="A16" s="13"/>
      <c r="B16" s="17" t="s">
        <v>52</v>
      </c>
      <c r="C16" s="15"/>
      <c r="D16" s="14"/>
      <c r="E16" s="15">
        <f t="shared" si="1"/>
        <v>7.75</v>
      </c>
      <c r="F16" s="14"/>
      <c r="G16" s="15">
        <f t="shared" si="0"/>
        <v>0</v>
      </c>
      <c r="H16" s="14">
        <v>2</v>
      </c>
      <c r="I16" s="15">
        <f t="shared" si="2"/>
        <v>3.75</v>
      </c>
      <c r="J16" s="14"/>
      <c r="K16" s="13" t="s">
        <v>51</v>
      </c>
    </row>
    <row r="17" spans="1:11" ht="12.6" customHeight="1" x14ac:dyDescent="0.2">
      <c r="A17" s="13"/>
      <c r="B17" s="17"/>
      <c r="C17" s="15"/>
      <c r="D17" s="14"/>
      <c r="E17" s="15">
        <f t="shared" si="1"/>
        <v>7.75</v>
      </c>
      <c r="F17" s="14"/>
      <c r="G17" s="15">
        <f t="shared" si="0"/>
        <v>0</v>
      </c>
      <c r="H17" s="14"/>
      <c r="I17" s="15">
        <f t="shared" si="2"/>
        <v>3.75</v>
      </c>
      <c r="J17" s="14"/>
      <c r="K17" s="13"/>
    </row>
    <row r="18" spans="1:11" ht="12.6" customHeight="1" x14ac:dyDescent="0.2">
      <c r="A18" s="13"/>
      <c r="B18" s="17"/>
      <c r="C18" s="15"/>
      <c r="D18" s="14"/>
      <c r="E18" s="15">
        <f t="shared" si="1"/>
        <v>7.75</v>
      </c>
      <c r="F18" s="14"/>
      <c r="G18" s="15">
        <f t="shared" si="0"/>
        <v>0</v>
      </c>
      <c r="H18" s="14"/>
      <c r="I18" s="15">
        <f t="shared" si="2"/>
        <v>3.75</v>
      </c>
      <c r="J18" s="14"/>
      <c r="K18" s="13"/>
    </row>
    <row r="19" spans="1:11" ht="12.6" customHeight="1" x14ac:dyDescent="0.2">
      <c r="A19" s="13"/>
      <c r="B19" s="17"/>
      <c r="C19" s="15"/>
      <c r="D19" s="14"/>
      <c r="E19" s="15">
        <f t="shared" si="1"/>
        <v>7.75</v>
      </c>
      <c r="F19" s="14"/>
      <c r="G19" s="15">
        <f t="shared" si="0"/>
        <v>0</v>
      </c>
      <c r="H19" s="14"/>
      <c r="I19" s="15">
        <f t="shared" si="2"/>
        <v>3.75</v>
      </c>
      <c r="J19" s="14"/>
      <c r="K19" s="13"/>
    </row>
    <row r="20" spans="1:11" ht="12.6" customHeight="1" x14ac:dyDescent="0.2">
      <c r="A20" s="13"/>
      <c r="B20" s="17"/>
      <c r="C20" s="15"/>
      <c r="D20" s="21"/>
      <c r="E20" s="15">
        <f t="shared" si="1"/>
        <v>7.75</v>
      </c>
      <c r="F20" s="14"/>
      <c r="G20" s="15">
        <f t="shared" si="0"/>
        <v>0</v>
      </c>
      <c r="H20" s="14"/>
      <c r="I20" s="15">
        <f t="shared" si="2"/>
        <v>3.75</v>
      </c>
      <c r="J20" s="14"/>
      <c r="K20" s="13"/>
    </row>
    <row r="21" spans="1:11" ht="12.6" customHeight="1" x14ac:dyDescent="0.2">
      <c r="A21" s="13"/>
      <c r="B21" s="17"/>
      <c r="C21" s="15"/>
      <c r="D21" s="14"/>
      <c r="E21" s="15">
        <f t="shared" si="1"/>
        <v>7.75</v>
      </c>
      <c r="F21" s="14"/>
      <c r="G21" s="15">
        <f t="shared" si="0"/>
        <v>0</v>
      </c>
      <c r="H21" s="14"/>
      <c r="I21" s="15">
        <f t="shared" si="2"/>
        <v>3.75</v>
      </c>
      <c r="J21" s="14"/>
      <c r="K21" s="13"/>
    </row>
    <row r="22" spans="1:11" ht="12.6" customHeight="1" x14ac:dyDescent="0.2">
      <c r="A22" s="13"/>
      <c r="B22" s="17"/>
      <c r="C22" s="15"/>
      <c r="D22" s="14"/>
      <c r="E22" s="15">
        <f t="shared" si="1"/>
        <v>7.75</v>
      </c>
      <c r="F22" s="14"/>
      <c r="G22" s="15">
        <f t="shared" si="0"/>
        <v>0</v>
      </c>
      <c r="H22" s="14"/>
      <c r="I22" s="15">
        <f t="shared" si="2"/>
        <v>3.75</v>
      </c>
      <c r="J22" s="14"/>
      <c r="K22" s="13"/>
    </row>
    <row r="23" spans="1:11" ht="12.6" customHeight="1" x14ac:dyDescent="0.2">
      <c r="A23" s="13"/>
      <c r="B23" s="17"/>
      <c r="C23" s="15"/>
      <c r="D23" s="14"/>
      <c r="E23" s="15">
        <f t="shared" si="1"/>
        <v>7.75</v>
      </c>
      <c r="F23" s="14"/>
      <c r="G23" s="15">
        <f t="shared" si="0"/>
        <v>0</v>
      </c>
      <c r="H23" s="14"/>
      <c r="I23" s="15">
        <f t="shared" si="2"/>
        <v>3.75</v>
      </c>
      <c r="J23" s="14"/>
      <c r="K23" s="13"/>
    </row>
    <row r="24" spans="1:11" ht="12.6" customHeight="1" x14ac:dyDescent="0.2">
      <c r="A24" s="13"/>
      <c r="B24" s="19"/>
      <c r="C24" s="15"/>
      <c r="D24" s="14"/>
      <c r="E24" s="15">
        <f t="shared" si="1"/>
        <v>7.75</v>
      </c>
      <c r="F24" s="14"/>
      <c r="G24" s="15">
        <f t="shared" si="0"/>
        <v>0</v>
      </c>
      <c r="H24" s="14"/>
      <c r="I24" s="15">
        <f t="shared" si="2"/>
        <v>3.75</v>
      </c>
      <c r="J24" s="14"/>
      <c r="K24" s="13"/>
    </row>
    <row r="25" spans="1:11" ht="12.6" customHeight="1" x14ac:dyDescent="0.2">
      <c r="A25" s="13"/>
      <c r="B25" s="17"/>
      <c r="C25" s="15"/>
      <c r="D25" s="14"/>
      <c r="E25" s="15">
        <f t="shared" si="1"/>
        <v>7.75</v>
      </c>
      <c r="F25" s="14"/>
      <c r="G25" s="15">
        <f t="shared" si="0"/>
        <v>0</v>
      </c>
      <c r="H25" s="14"/>
      <c r="I25" s="15">
        <f t="shared" si="2"/>
        <v>3.75</v>
      </c>
      <c r="J25" s="14"/>
      <c r="K25" s="13"/>
    </row>
    <row r="26" spans="1:11" ht="12.6" customHeight="1" x14ac:dyDescent="0.2">
      <c r="A26" s="13"/>
      <c r="B26" s="19"/>
      <c r="C26" s="15"/>
      <c r="D26" s="14"/>
      <c r="E26" s="15">
        <f t="shared" si="1"/>
        <v>7.75</v>
      </c>
      <c r="F26" s="14"/>
      <c r="G26" s="15">
        <f t="shared" si="0"/>
        <v>0</v>
      </c>
      <c r="H26" s="14"/>
      <c r="I26" s="15">
        <f t="shared" si="2"/>
        <v>3.75</v>
      </c>
      <c r="J26" s="14"/>
      <c r="K26" s="13"/>
    </row>
    <row r="27" spans="1:11" ht="12.6" customHeight="1" x14ac:dyDescent="0.2">
      <c r="A27" s="13"/>
      <c r="B27" s="17"/>
      <c r="C27" s="15"/>
      <c r="D27" s="14"/>
      <c r="E27" s="15">
        <f t="shared" si="1"/>
        <v>7.75</v>
      </c>
      <c r="F27" s="14"/>
      <c r="G27" s="15">
        <f t="shared" si="0"/>
        <v>0</v>
      </c>
      <c r="H27" s="14"/>
      <c r="I27" s="15">
        <f t="shared" si="2"/>
        <v>3.75</v>
      </c>
      <c r="J27" s="14"/>
      <c r="K27" s="13"/>
    </row>
    <row r="28" spans="1:11" ht="12.6" customHeight="1" x14ac:dyDescent="0.2">
      <c r="A28" s="13"/>
      <c r="B28" s="19"/>
      <c r="C28" s="15"/>
      <c r="D28" s="14"/>
      <c r="E28" s="15">
        <f t="shared" si="1"/>
        <v>7.75</v>
      </c>
      <c r="F28" s="14"/>
      <c r="G28" s="15">
        <f t="shared" si="0"/>
        <v>0</v>
      </c>
      <c r="H28" s="14"/>
      <c r="I28" s="15">
        <f t="shared" si="2"/>
        <v>3.75</v>
      </c>
      <c r="J28" s="14"/>
      <c r="K28" s="13"/>
    </row>
    <row r="29" spans="1:11" ht="12.6" customHeight="1" x14ac:dyDescent="0.2">
      <c r="A29" s="13"/>
      <c r="B29" s="19"/>
      <c r="C29" s="15"/>
      <c r="D29" s="14"/>
      <c r="E29" s="15">
        <f t="shared" si="1"/>
        <v>7.75</v>
      </c>
      <c r="F29" s="14"/>
      <c r="G29" s="15">
        <f t="shared" si="0"/>
        <v>0</v>
      </c>
      <c r="H29" s="14"/>
      <c r="I29" s="15">
        <f t="shared" si="2"/>
        <v>3.75</v>
      </c>
      <c r="J29" s="14"/>
      <c r="K29" s="13"/>
    </row>
    <row r="30" spans="1:11" ht="12.6" customHeight="1" x14ac:dyDescent="0.2">
      <c r="A30" s="13"/>
      <c r="B30" s="19"/>
      <c r="C30" s="15"/>
      <c r="D30" s="14"/>
      <c r="E30" s="15">
        <f t="shared" si="1"/>
        <v>7.75</v>
      </c>
      <c r="F30" s="14"/>
      <c r="G30" s="15">
        <f t="shared" si="0"/>
        <v>0</v>
      </c>
      <c r="H30" s="14"/>
      <c r="I30" s="15">
        <f t="shared" si="2"/>
        <v>3.75</v>
      </c>
      <c r="J30" s="14"/>
      <c r="K30" s="16"/>
    </row>
    <row r="31" spans="1:11" ht="12.6" customHeight="1" x14ac:dyDescent="0.2">
      <c r="A31" s="13"/>
      <c r="B31" s="19"/>
      <c r="C31" s="15"/>
      <c r="D31" s="14"/>
      <c r="E31" s="15">
        <f t="shared" si="1"/>
        <v>7.75</v>
      </c>
      <c r="F31" s="22"/>
      <c r="G31" s="15">
        <f t="shared" si="0"/>
        <v>0</v>
      </c>
      <c r="H31" s="22"/>
      <c r="I31" s="15">
        <f t="shared" si="2"/>
        <v>3.75</v>
      </c>
      <c r="J31" s="22"/>
      <c r="K31" s="23"/>
    </row>
    <row r="32" spans="1:11" ht="12.6" customHeight="1" x14ac:dyDescent="0.2">
      <c r="A32" s="13"/>
      <c r="B32" s="17"/>
      <c r="C32" s="15"/>
      <c r="D32" s="14"/>
      <c r="E32" s="15">
        <f t="shared" si="1"/>
        <v>7.75</v>
      </c>
      <c r="F32" s="22"/>
      <c r="G32" s="15">
        <f t="shared" si="0"/>
        <v>0</v>
      </c>
      <c r="H32" s="22"/>
      <c r="I32" s="15">
        <f t="shared" si="2"/>
        <v>3.75</v>
      </c>
      <c r="J32" s="22"/>
      <c r="K32" s="23"/>
    </row>
    <row r="33" spans="1:11" ht="12.6" customHeight="1" x14ac:dyDescent="0.2">
      <c r="A33" s="13"/>
      <c r="B33" s="17"/>
      <c r="C33" s="15"/>
      <c r="D33" s="14"/>
      <c r="E33" s="15">
        <f t="shared" si="1"/>
        <v>7.75</v>
      </c>
      <c r="F33" s="22"/>
      <c r="G33" s="15">
        <f t="shared" si="0"/>
        <v>0</v>
      </c>
      <c r="H33" s="22"/>
      <c r="I33" s="15">
        <f t="shared" si="2"/>
        <v>3.75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7.75</v>
      </c>
      <c r="D34" s="25">
        <f>SUM(D9:D33)</f>
        <v>0</v>
      </c>
      <c r="E34" s="25"/>
      <c r="F34" s="22"/>
      <c r="G34" s="25">
        <f>SUM(G7:G33)</f>
        <v>7.75</v>
      </c>
      <c r="H34" s="25">
        <f>SUM(H7:H33)</f>
        <v>4</v>
      </c>
      <c r="I34" s="15">
        <f t="shared" si="2"/>
        <v>7.5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 t="str">
        <f>A1</f>
        <v>STEPHANINE ANN C. TOLENTINO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 t="str">
        <f>K1</f>
        <v>3/25/2010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/>
      <c r="C43" s="15"/>
      <c r="D43" s="14"/>
      <c r="E43" s="15">
        <f>E33+C43-D43</f>
        <v>7.75</v>
      </c>
      <c r="F43" s="14"/>
      <c r="G43" s="15">
        <f>C43</f>
        <v>0</v>
      </c>
      <c r="H43" s="14"/>
      <c r="I43" s="15">
        <f>I33+G43-H43</f>
        <v>3.75</v>
      </c>
      <c r="J43" s="14"/>
      <c r="K43" s="13"/>
    </row>
    <row r="44" spans="1:11" ht="12.6" customHeight="1" x14ac:dyDescent="0.2">
      <c r="A44" s="13"/>
      <c r="B44" s="17"/>
      <c r="C44" s="15"/>
      <c r="D44" s="14"/>
      <c r="E44" s="15">
        <f>E43+C44-D44</f>
        <v>7.75</v>
      </c>
      <c r="F44" s="14"/>
      <c r="G44" s="15">
        <f t="shared" ref="G44:G68" si="3">C44</f>
        <v>0</v>
      </c>
      <c r="H44" s="14"/>
      <c r="I44" s="15">
        <f>I43+G44-H44</f>
        <v>3.75</v>
      </c>
      <c r="J44" s="14"/>
      <c r="K44" s="13"/>
    </row>
    <row r="45" spans="1:11" ht="12.6" customHeight="1" x14ac:dyDescent="0.2">
      <c r="A45" s="13"/>
      <c r="B45" s="19"/>
      <c r="C45" s="15"/>
      <c r="D45" s="14"/>
      <c r="E45" s="15">
        <f t="shared" ref="E45:E68" si="4">E44+C45-D45</f>
        <v>7.75</v>
      </c>
      <c r="F45" s="14"/>
      <c r="G45" s="15">
        <f t="shared" si="3"/>
        <v>0</v>
      </c>
      <c r="H45" s="14"/>
      <c r="I45" s="15">
        <f t="shared" ref="I45:I68" si="5">I44+G45-H45</f>
        <v>3.75</v>
      </c>
      <c r="J45" s="14"/>
      <c r="K45" s="13"/>
    </row>
    <row r="46" spans="1:11" ht="12.6" customHeight="1" x14ac:dyDescent="0.2">
      <c r="A46" s="13"/>
      <c r="B46" s="17"/>
      <c r="C46" s="15"/>
      <c r="D46" s="14"/>
      <c r="E46" s="15">
        <f t="shared" si="4"/>
        <v>7.75</v>
      </c>
      <c r="F46" s="14"/>
      <c r="G46" s="15">
        <f t="shared" si="3"/>
        <v>0</v>
      </c>
      <c r="H46" s="14"/>
      <c r="I46" s="15">
        <f t="shared" si="5"/>
        <v>3.75</v>
      </c>
      <c r="J46" s="14"/>
      <c r="K46" s="13"/>
    </row>
    <row r="47" spans="1:11" ht="12.6" customHeight="1" x14ac:dyDescent="0.2">
      <c r="A47" s="13"/>
      <c r="B47" s="19"/>
      <c r="C47" s="15"/>
      <c r="D47" s="14"/>
      <c r="E47" s="15">
        <f t="shared" si="4"/>
        <v>7.75</v>
      </c>
      <c r="F47" s="14"/>
      <c r="G47" s="15">
        <f t="shared" si="3"/>
        <v>0</v>
      </c>
      <c r="H47" s="14"/>
      <c r="I47" s="15">
        <f t="shared" si="5"/>
        <v>3.75</v>
      </c>
      <c r="J47" s="14"/>
      <c r="K47" s="13"/>
    </row>
    <row r="48" spans="1:11" ht="12.6" customHeight="1" x14ac:dyDescent="0.2">
      <c r="A48" s="13"/>
      <c r="B48" s="17"/>
      <c r="C48" s="15"/>
      <c r="D48" s="14"/>
      <c r="E48" s="15">
        <f t="shared" si="4"/>
        <v>7.75</v>
      </c>
      <c r="F48" s="14"/>
      <c r="G48" s="15">
        <f t="shared" si="3"/>
        <v>0</v>
      </c>
      <c r="H48" s="14"/>
      <c r="I48" s="15">
        <f t="shared" si="5"/>
        <v>3.75</v>
      </c>
      <c r="J48" s="14"/>
      <c r="K48" s="13"/>
    </row>
    <row r="49" spans="1:11" ht="12.6" customHeight="1" x14ac:dyDescent="0.2">
      <c r="A49" s="13"/>
      <c r="B49" s="19"/>
      <c r="C49" s="15"/>
      <c r="D49" s="14"/>
      <c r="E49" s="15">
        <f t="shared" si="4"/>
        <v>7.75</v>
      </c>
      <c r="F49" s="14"/>
      <c r="G49" s="15">
        <f t="shared" si="3"/>
        <v>0</v>
      </c>
      <c r="H49" s="14"/>
      <c r="I49" s="15">
        <f t="shared" si="5"/>
        <v>3.75</v>
      </c>
      <c r="J49" s="14"/>
      <c r="K49" s="13"/>
    </row>
    <row r="50" spans="1:11" ht="12.6" customHeight="1" x14ac:dyDescent="0.2">
      <c r="A50" s="13"/>
      <c r="B50" s="19"/>
      <c r="C50" s="15"/>
      <c r="D50" s="14"/>
      <c r="E50" s="15">
        <f t="shared" si="4"/>
        <v>7.75</v>
      </c>
      <c r="F50" s="14"/>
      <c r="G50" s="15">
        <f t="shared" si="3"/>
        <v>0</v>
      </c>
      <c r="H50" s="14"/>
      <c r="I50" s="15">
        <f t="shared" si="5"/>
        <v>3.75</v>
      </c>
      <c r="J50" s="14"/>
      <c r="K50" s="13"/>
    </row>
    <row r="51" spans="1:11" ht="12.6" customHeight="1" x14ac:dyDescent="0.2">
      <c r="A51" s="13"/>
      <c r="B51" s="17"/>
      <c r="C51" s="15"/>
      <c r="D51" s="14"/>
      <c r="E51" s="15">
        <f t="shared" si="4"/>
        <v>7.75</v>
      </c>
      <c r="F51" s="14"/>
      <c r="G51" s="15">
        <f t="shared" si="3"/>
        <v>0</v>
      </c>
      <c r="H51" s="14"/>
      <c r="I51" s="15">
        <f t="shared" si="5"/>
        <v>3.75</v>
      </c>
      <c r="J51" s="14"/>
      <c r="K51" s="16"/>
    </row>
    <row r="52" spans="1:11" ht="12.6" customHeight="1" x14ac:dyDescent="0.2">
      <c r="A52" s="13"/>
      <c r="B52" s="19"/>
      <c r="C52" s="15"/>
      <c r="D52" s="14"/>
      <c r="E52" s="15">
        <f t="shared" si="4"/>
        <v>7.75</v>
      </c>
      <c r="F52" s="14"/>
      <c r="G52" s="15">
        <f t="shared" si="3"/>
        <v>0</v>
      </c>
      <c r="H52" s="14"/>
      <c r="I52" s="15">
        <f t="shared" si="5"/>
        <v>3.75</v>
      </c>
      <c r="J52" s="14"/>
      <c r="K52" s="13"/>
    </row>
    <row r="53" spans="1:11" ht="12.6" customHeight="1" x14ac:dyDescent="0.2">
      <c r="A53" s="13"/>
      <c r="B53" s="19"/>
      <c r="C53" s="15"/>
      <c r="D53" s="14"/>
      <c r="E53" s="15">
        <f t="shared" si="4"/>
        <v>7.75</v>
      </c>
      <c r="F53" s="14"/>
      <c r="G53" s="15">
        <f t="shared" si="3"/>
        <v>0</v>
      </c>
      <c r="H53" s="14"/>
      <c r="I53" s="15">
        <f t="shared" si="5"/>
        <v>3.75</v>
      </c>
      <c r="J53" s="14"/>
      <c r="K53" s="13"/>
    </row>
    <row r="54" spans="1:11" ht="12.6" customHeight="1" x14ac:dyDescent="0.2">
      <c r="A54" s="13"/>
      <c r="B54" s="19"/>
      <c r="C54" s="15"/>
      <c r="D54" s="14"/>
      <c r="E54" s="15">
        <f t="shared" si="4"/>
        <v>7.75</v>
      </c>
      <c r="F54" s="14"/>
      <c r="G54" s="15">
        <f t="shared" si="3"/>
        <v>0</v>
      </c>
      <c r="H54" s="14"/>
      <c r="I54" s="15">
        <f t="shared" si="5"/>
        <v>3.75</v>
      </c>
      <c r="J54" s="14"/>
      <c r="K54" s="13"/>
    </row>
    <row r="55" spans="1:11" ht="12.6" customHeight="1" x14ac:dyDescent="0.2">
      <c r="A55" s="13"/>
      <c r="B55" s="19"/>
      <c r="C55" s="15"/>
      <c r="D55" s="14"/>
      <c r="E55" s="15">
        <f t="shared" si="4"/>
        <v>7.75</v>
      </c>
      <c r="F55" s="14"/>
      <c r="G55" s="15">
        <f t="shared" si="3"/>
        <v>0</v>
      </c>
      <c r="H55" s="14"/>
      <c r="I55" s="15">
        <f t="shared" si="5"/>
        <v>3.75</v>
      </c>
      <c r="J55" s="14"/>
      <c r="K55" s="13"/>
    </row>
    <row r="56" spans="1:11" ht="12.6" customHeight="1" x14ac:dyDescent="0.2">
      <c r="A56" s="13"/>
      <c r="B56" s="19"/>
      <c r="C56" s="15"/>
      <c r="D56" s="14"/>
      <c r="E56" s="15">
        <f t="shared" si="4"/>
        <v>7.75</v>
      </c>
      <c r="F56" s="14"/>
      <c r="G56" s="15">
        <f t="shared" si="3"/>
        <v>0</v>
      </c>
      <c r="H56" s="14"/>
      <c r="I56" s="15">
        <f t="shared" si="5"/>
        <v>3.75</v>
      </c>
      <c r="J56" s="14"/>
      <c r="K56" s="16"/>
    </row>
    <row r="57" spans="1:11" ht="12.6" customHeight="1" x14ac:dyDescent="0.2">
      <c r="A57" s="13"/>
      <c r="B57" s="19"/>
      <c r="C57" s="15"/>
      <c r="D57" s="14"/>
      <c r="E57" s="15">
        <f t="shared" si="4"/>
        <v>7.75</v>
      </c>
      <c r="F57" s="14"/>
      <c r="G57" s="15">
        <f t="shared" si="3"/>
        <v>0</v>
      </c>
      <c r="H57" s="14"/>
      <c r="I57" s="15">
        <f t="shared" si="5"/>
        <v>3.75</v>
      </c>
      <c r="J57" s="14"/>
      <c r="K57" s="13"/>
    </row>
    <row r="58" spans="1:11" ht="12.6" customHeight="1" x14ac:dyDescent="0.2">
      <c r="A58" s="13"/>
      <c r="B58" s="17"/>
      <c r="C58" s="15"/>
      <c r="D58" s="14"/>
      <c r="E58" s="15">
        <f t="shared" si="4"/>
        <v>7.75</v>
      </c>
      <c r="F58" s="14"/>
      <c r="G58" s="15">
        <f t="shared" si="3"/>
        <v>0</v>
      </c>
      <c r="H58" s="14"/>
      <c r="I58" s="15">
        <f t="shared" si="5"/>
        <v>3.75</v>
      </c>
      <c r="J58" s="14"/>
      <c r="K58" s="13"/>
    </row>
    <row r="59" spans="1:11" ht="12.6" customHeight="1" x14ac:dyDescent="0.2">
      <c r="A59" s="13"/>
      <c r="B59" s="19"/>
      <c r="C59" s="15"/>
      <c r="D59" s="14"/>
      <c r="E59" s="15">
        <f t="shared" si="4"/>
        <v>7.75</v>
      </c>
      <c r="F59" s="14"/>
      <c r="G59" s="15">
        <f t="shared" si="3"/>
        <v>0</v>
      </c>
      <c r="H59" s="14"/>
      <c r="I59" s="15">
        <f t="shared" si="5"/>
        <v>3.75</v>
      </c>
      <c r="J59" s="14"/>
      <c r="K59" s="13"/>
    </row>
    <row r="60" spans="1:11" ht="12.6" customHeight="1" x14ac:dyDescent="0.2">
      <c r="A60" s="13"/>
      <c r="B60" s="19"/>
      <c r="C60" s="15"/>
      <c r="D60" s="14"/>
      <c r="E60" s="15">
        <f t="shared" si="4"/>
        <v>7.75</v>
      </c>
      <c r="F60" s="14"/>
      <c r="G60" s="15">
        <f t="shared" si="3"/>
        <v>0</v>
      </c>
      <c r="H60" s="14"/>
      <c r="I60" s="15">
        <f t="shared" si="5"/>
        <v>3.75</v>
      </c>
      <c r="J60" s="14"/>
      <c r="K60" s="13"/>
    </row>
    <row r="61" spans="1:11" ht="12.6" customHeight="1" x14ac:dyDescent="0.2">
      <c r="A61" s="13"/>
      <c r="B61" s="19"/>
      <c r="C61" s="15"/>
      <c r="D61" s="14"/>
      <c r="E61" s="15">
        <f t="shared" si="4"/>
        <v>7.75</v>
      </c>
      <c r="F61" s="14"/>
      <c r="G61" s="15">
        <f t="shared" si="3"/>
        <v>0</v>
      </c>
      <c r="H61" s="14"/>
      <c r="I61" s="15">
        <f t="shared" si="5"/>
        <v>3.75</v>
      </c>
      <c r="J61" s="14"/>
      <c r="K61" s="13"/>
    </row>
    <row r="62" spans="1:11" ht="12.6" customHeight="1" x14ac:dyDescent="0.2">
      <c r="A62" s="13"/>
      <c r="B62" s="17"/>
      <c r="C62" s="15"/>
      <c r="D62" s="14"/>
      <c r="E62" s="15">
        <f t="shared" si="4"/>
        <v>7.75</v>
      </c>
      <c r="F62" s="14"/>
      <c r="G62" s="15">
        <f t="shared" si="3"/>
        <v>0</v>
      </c>
      <c r="H62" s="14"/>
      <c r="I62" s="15">
        <f t="shared" si="5"/>
        <v>3.75</v>
      </c>
      <c r="J62" s="14"/>
      <c r="K62" s="16"/>
    </row>
    <row r="63" spans="1:11" ht="12.6" customHeight="1" x14ac:dyDescent="0.2">
      <c r="A63" s="13"/>
      <c r="B63" s="19"/>
      <c r="C63" s="15"/>
      <c r="D63" s="14"/>
      <c r="E63" s="15">
        <f t="shared" si="4"/>
        <v>7.75</v>
      </c>
      <c r="F63" s="14"/>
      <c r="G63" s="15">
        <f t="shared" si="3"/>
        <v>0</v>
      </c>
      <c r="H63" s="14"/>
      <c r="I63" s="15">
        <f t="shared" si="5"/>
        <v>3.75</v>
      </c>
      <c r="J63" s="14"/>
      <c r="K63" s="13"/>
    </row>
    <row r="64" spans="1:11" ht="12.6" customHeight="1" x14ac:dyDescent="0.2">
      <c r="A64" s="29"/>
      <c r="B64" s="17"/>
      <c r="C64" s="15"/>
      <c r="D64" s="14"/>
      <c r="E64" s="15">
        <f t="shared" si="4"/>
        <v>7.75</v>
      </c>
      <c r="F64" s="14"/>
      <c r="G64" s="15">
        <f>C64</f>
        <v>0</v>
      </c>
      <c r="H64" s="14"/>
      <c r="I64" s="15">
        <f t="shared" si="5"/>
        <v>3.75</v>
      </c>
      <c r="J64" s="14"/>
      <c r="K64" s="29"/>
    </row>
    <row r="65" spans="1:11" ht="12.6" customHeight="1" x14ac:dyDescent="0.2">
      <c r="A65" s="13"/>
      <c r="B65" s="19"/>
      <c r="C65" s="15"/>
      <c r="D65" s="21"/>
      <c r="E65" s="15">
        <f t="shared" si="4"/>
        <v>7.75</v>
      </c>
      <c r="F65" s="14"/>
      <c r="G65" s="15">
        <f t="shared" si="3"/>
        <v>0</v>
      </c>
      <c r="H65" s="14"/>
      <c r="I65" s="15">
        <f t="shared" si="5"/>
        <v>3.75</v>
      </c>
      <c r="J65" s="14"/>
      <c r="K65" s="13"/>
    </row>
    <row r="66" spans="1:11" ht="12.6" customHeight="1" x14ac:dyDescent="0.2">
      <c r="A66" s="13"/>
      <c r="B66" s="19"/>
      <c r="C66" s="15"/>
      <c r="D66" s="14"/>
      <c r="E66" s="15">
        <f t="shared" si="4"/>
        <v>7.75</v>
      </c>
      <c r="F66" s="14"/>
      <c r="G66" s="15">
        <f t="shared" si="3"/>
        <v>0</v>
      </c>
      <c r="H66" s="14"/>
      <c r="I66" s="15">
        <f t="shared" si="5"/>
        <v>3.75</v>
      </c>
      <c r="J66" s="14"/>
      <c r="K66" s="13"/>
    </row>
    <row r="67" spans="1:11" ht="12.6" customHeight="1" x14ac:dyDescent="0.2">
      <c r="A67" s="30"/>
      <c r="B67" s="19"/>
      <c r="C67" s="15"/>
      <c r="D67" s="14"/>
      <c r="E67" s="15">
        <f t="shared" si="4"/>
        <v>7.75</v>
      </c>
      <c r="F67" s="14"/>
      <c r="G67" s="15">
        <f t="shared" si="3"/>
        <v>0</v>
      </c>
      <c r="H67" s="31"/>
      <c r="I67" s="15">
        <f t="shared" si="5"/>
        <v>3.75</v>
      </c>
      <c r="J67" s="31"/>
      <c r="K67" s="30"/>
    </row>
    <row r="68" spans="1:11" ht="12.6" customHeight="1" x14ac:dyDescent="0.2">
      <c r="A68" s="13"/>
      <c r="B68" s="19"/>
      <c r="C68" s="15"/>
      <c r="D68" s="14"/>
      <c r="E68" s="15">
        <f t="shared" si="4"/>
        <v>7.75</v>
      </c>
      <c r="F68" s="14"/>
      <c r="G68" s="15">
        <f t="shared" si="3"/>
        <v>0</v>
      </c>
      <c r="H68" s="14"/>
      <c r="I68" s="15">
        <f t="shared" si="5"/>
        <v>3.75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0</v>
      </c>
      <c r="D69" s="15">
        <f>SUM(D43:D68)</f>
        <v>0</v>
      </c>
      <c r="E69" s="15" t="s">
        <v>17</v>
      </c>
      <c r="F69" s="32"/>
      <c r="G69" s="15">
        <f>SUM(G43:G68)</f>
        <v>0</v>
      </c>
      <c r="H69" s="15">
        <f>SUM(H43:H68)</f>
        <v>0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 t="str">
        <f>A1</f>
        <v>STEPHANINE ANN C. TOLENTINO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 t="str">
        <f>K1</f>
        <v>3/25/2010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/>
      <c r="C82" s="15"/>
      <c r="D82" s="14"/>
      <c r="E82" s="15">
        <f>E68+C82-D82</f>
        <v>7.75</v>
      </c>
      <c r="F82" s="14"/>
      <c r="G82" s="15">
        <f>C82</f>
        <v>0</v>
      </c>
      <c r="H82" s="14"/>
      <c r="I82" s="15">
        <f>I68+G82-H82</f>
        <v>3.75</v>
      </c>
      <c r="J82" s="14"/>
      <c r="K82" s="13"/>
    </row>
    <row r="83" spans="1:11" ht="12.6" customHeight="1" x14ac:dyDescent="0.2">
      <c r="A83" s="13"/>
      <c r="B83" s="17"/>
      <c r="C83" s="15"/>
      <c r="D83" s="14"/>
      <c r="E83" s="15">
        <f>E82+C83-D83</f>
        <v>7.75</v>
      </c>
      <c r="F83" s="14"/>
      <c r="G83" s="15">
        <f t="shared" ref="G83:G107" si="6">C83</f>
        <v>0</v>
      </c>
      <c r="H83" s="14"/>
      <c r="I83" s="15">
        <f>I82+G83-H83</f>
        <v>3.75</v>
      </c>
      <c r="J83" s="22"/>
      <c r="K83" s="23"/>
    </row>
    <row r="84" spans="1:11" ht="12.6" customHeight="1" x14ac:dyDescent="0.2">
      <c r="A84" s="13"/>
      <c r="B84" s="19"/>
      <c r="C84" s="15"/>
      <c r="D84" s="14"/>
      <c r="E84" s="15">
        <f t="shared" ref="E84:E107" si="7">E83+C84-D84</f>
        <v>7.75</v>
      </c>
      <c r="F84" s="14"/>
      <c r="G84" s="15">
        <f t="shared" si="6"/>
        <v>0</v>
      </c>
      <c r="H84" s="14"/>
      <c r="I84" s="15">
        <f t="shared" ref="I84:I107" si="8">I83+G84-H84</f>
        <v>3.75</v>
      </c>
      <c r="J84" s="14"/>
      <c r="K84" s="16"/>
    </row>
    <row r="85" spans="1:11" ht="12.6" customHeight="1" x14ac:dyDescent="0.2">
      <c r="A85" s="13"/>
      <c r="B85" s="19"/>
      <c r="C85" s="15"/>
      <c r="D85" s="14"/>
      <c r="E85" s="15">
        <f t="shared" si="7"/>
        <v>7.75</v>
      </c>
      <c r="F85" s="14"/>
      <c r="G85" s="15">
        <f t="shared" si="6"/>
        <v>0</v>
      </c>
      <c r="H85" s="14"/>
      <c r="I85" s="15">
        <f t="shared" si="8"/>
        <v>3.75</v>
      </c>
      <c r="J85" s="14"/>
      <c r="K85" s="13"/>
    </row>
    <row r="86" spans="1:11" ht="12.6" customHeight="1" x14ac:dyDescent="0.2">
      <c r="A86" s="29"/>
      <c r="B86" s="19"/>
      <c r="C86" s="15"/>
      <c r="D86" s="14"/>
      <c r="E86" s="15">
        <f t="shared" si="7"/>
        <v>7.75</v>
      </c>
      <c r="F86" s="14"/>
      <c r="G86" s="15">
        <f t="shared" si="6"/>
        <v>0</v>
      </c>
      <c r="H86" s="14"/>
      <c r="I86" s="15">
        <f t="shared" si="8"/>
        <v>3.75</v>
      </c>
      <c r="J86" s="14"/>
      <c r="K86" s="13"/>
    </row>
    <row r="87" spans="1:11" ht="12.6" customHeight="1" x14ac:dyDescent="0.2">
      <c r="A87" s="13"/>
      <c r="B87" s="19"/>
      <c r="C87" s="15"/>
      <c r="D87" s="14"/>
      <c r="E87" s="15">
        <f t="shared" si="7"/>
        <v>7.75</v>
      </c>
      <c r="F87" s="14"/>
      <c r="G87" s="15">
        <f t="shared" si="6"/>
        <v>0</v>
      </c>
      <c r="H87" s="14"/>
      <c r="I87" s="15">
        <f t="shared" si="8"/>
        <v>3.75</v>
      </c>
      <c r="J87" s="14"/>
      <c r="K87" s="13"/>
    </row>
    <row r="88" spans="1:11" ht="12.6" customHeight="1" x14ac:dyDescent="0.2">
      <c r="A88" s="13"/>
      <c r="B88" s="17"/>
      <c r="C88" s="15"/>
      <c r="D88" s="14"/>
      <c r="E88" s="15">
        <f t="shared" si="7"/>
        <v>7.75</v>
      </c>
      <c r="F88" s="14"/>
      <c r="G88" s="15">
        <f t="shared" si="6"/>
        <v>0</v>
      </c>
      <c r="H88" s="14"/>
      <c r="I88" s="15">
        <f t="shared" si="8"/>
        <v>3.75</v>
      </c>
      <c r="J88" s="14"/>
      <c r="K88" s="13"/>
    </row>
    <row r="89" spans="1:11" ht="12.6" customHeight="1" x14ac:dyDescent="0.2">
      <c r="A89" s="13"/>
      <c r="B89" s="19"/>
      <c r="C89" s="15"/>
      <c r="D89" s="14"/>
      <c r="E89" s="15">
        <f t="shared" si="7"/>
        <v>7.75</v>
      </c>
      <c r="F89" s="14"/>
      <c r="G89" s="15">
        <f t="shared" si="6"/>
        <v>0</v>
      </c>
      <c r="H89" s="14"/>
      <c r="I89" s="15">
        <f t="shared" si="8"/>
        <v>3.75</v>
      </c>
      <c r="J89" s="14"/>
      <c r="K89" s="16"/>
    </row>
    <row r="90" spans="1:11" ht="12.6" customHeight="1" x14ac:dyDescent="0.2">
      <c r="A90" s="13"/>
      <c r="B90" s="17"/>
      <c r="C90" s="15"/>
      <c r="D90" s="14"/>
      <c r="E90" s="15">
        <f t="shared" si="7"/>
        <v>7.75</v>
      </c>
      <c r="F90" s="14"/>
      <c r="G90" s="15">
        <f t="shared" si="6"/>
        <v>0</v>
      </c>
      <c r="H90" s="14"/>
      <c r="I90" s="15">
        <f t="shared" si="8"/>
        <v>3.75</v>
      </c>
      <c r="J90" s="14"/>
      <c r="K90" s="16"/>
    </row>
    <row r="91" spans="1:11" ht="12.6" customHeight="1" x14ac:dyDescent="0.2">
      <c r="A91" s="13"/>
      <c r="B91" s="17"/>
      <c r="C91" s="15"/>
      <c r="D91" s="14"/>
      <c r="E91" s="15">
        <f t="shared" si="7"/>
        <v>7.75</v>
      </c>
      <c r="F91" s="14"/>
      <c r="G91" s="15">
        <f t="shared" si="6"/>
        <v>0</v>
      </c>
      <c r="H91" s="14"/>
      <c r="I91" s="15">
        <f t="shared" si="8"/>
        <v>3.75</v>
      </c>
      <c r="J91" s="14"/>
      <c r="K91" s="16"/>
    </row>
    <row r="92" spans="1:11" ht="12.6" customHeight="1" x14ac:dyDescent="0.2">
      <c r="A92" s="13"/>
      <c r="B92" s="19"/>
      <c r="C92" s="15"/>
      <c r="D92" s="14"/>
      <c r="E92" s="15">
        <f t="shared" si="7"/>
        <v>7.75</v>
      </c>
      <c r="F92" s="14"/>
      <c r="G92" s="15">
        <f t="shared" si="6"/>
        <v>0</v>
      </c>
      <c r="H92" s="14"/>
      <c r="I92" s="15">
        <f t="shared" si="8"/>
        <v>3.75</v>
      </c>
      <c r="J92" s="14"/>
      <c r="K92" s="13"/>
    </row>
    <row r="93" spans="1:11" ht="12.6" customHeight="1" x14ac:dyDescent="0.2">
      <c r="A93" s="13"/>
      <c r="B93" s="17"/>
      <c r="C93" s="15"/>
      <c r="D93" s="14"/>
      <c r="E93" s="15">
        <f t="shared" si="7"/>
        <v>7.75</v>
      </c>
      <c r="F93" s="14"/>
      <c r="G93" s="15">
        <f t="shared" si="6"/>
        <v>0</v>
      </c>
      <c r="H93" s="14"/>
      <c r="I93" s="15">
        <f t="shared" si="8"/>
        <v>3.75</v>
      </c>
      <c r="J93" s="14"/>
      <c r="K93" s="13"/>
    </row>
    <row r="94" spans="1:11" ht="12.6" customHeight="1" x14ac:dyDescent="0.2">
      <c r="A94" s="13"/>
      <c r="B94" s="19"/>
      <c r="C94" s="15"/>
      <c r="D94" s="14"/>
      <c r="E94" s="15">
        <f t="shared" si="7"/>
        <v>7.75</v>
      </c>
      <c r="F94" s="14"/>
      <c r="G94" s="15">
        <f t="shared" si="6"/>
        <v>0</v>
      </c>
      <c r="H94" s="14"/>
      <c r="I94" s="15">
        <f t="shared" si="8"/>
        <v>3.75</v>
      </c>
      <c r="J94" s="14"/>
      <c r="K94" s="13"/>
    </row>
    <row r="95" spans="1:11" ht="12.6" customHeight="1" x14ac:dyDescent="0.2">
      <c r="A95" s="13"/>
      <c r="B95" s="19"/>
      <c r="C95" s="15"/>
      <c r="D95" s="14"/>
      <c r="E95" s="15">
        <f t="shared" si="7"/>
        <v>7.75</v>
      </c>
      <c r="F95" s="14"/>
      <c r="G95" s="15">
        <f t="shared" si="6"/>
        <v>0</v>
      </c>
      <c r="H95" s="14"/>
      <c r="I95" s="15">
        <f t="shared" si="8"/>
        <v>3.75</v>
      </c>
      <c r="J95" s="14"/>
      <c r="K95" s="13"/>
    </row>
    <row r="96" spans="1:11" ht="12.6" customHeight="1" x14ac:dyDescent="0.2">
      <c r="A96" s="13"/>
      <c r="B96" s="19"/>
      <c r="C96" s="15"/>
      <c r="D96" s="14"/>
      <c r="E96" s="15">
        <f t="shared" si="7"/>
        <v>7.75</v>
      </c>
      <c r="F96" s="14"/>
      <c r="G96" s="15">
        <f t="shared" si="6"/>
        <v>0</v>
      </c>
      <c r="H96" s="14"/>
      <c r="I96" s="15">
        <f t="shared" si="8"/>
        <v>3.75</v>
      </c>
      <c r="J96" s="14"/>
      <c r="K96" s="33"/>
    </row>
    <row r="97" spans="1:11" ht="12.6" customHeight="1" x14ac:dyDescent="0.2">
      <c r="A97" s="13"/>
      <c r="B97" s="19"/>
      <c r="C97" s="15"/>
      <c r="D97" s="14"/>
      <c r="E97" s="15">
        <f t="shared" si="7"/>
        <v>7.75</v>
      </c>
      <c r="F97" s="14"/>
      <c r="G97" s="15">
        <f t="shared" si="6"/>
        <v>0</v>
      </c>
      <c r="H97" s="14"/>
      <c r="I97" s="15">
        <f t="shared" si="8"/>
        <v>3.75</v>
      </c>
      <c r="J97" s="14"/>
      <c r="K97" s="13"/>
    </row>
    <row r="98" spans="1:11" ht="12.6" customHeight="1" x14ac:dyDescent="0.2">
      <c r="A98" s="13"/>
      <c r="B98" s="19"/>
      <c r="C98" s="15"/>
      <c r="D98" s="14"/>
      <c r="E98" s="15">
        <f t="shared" si="7"/>
        <v>7.75</v>
      </c>
      <c r="F98" s="14"/>
      <c r="G98" s="15">
        <f t="shared" si="6"/>
        <v>0</v>
      </c>
      <c r="H98" s="14"/>
      <c r="I98" s="15">
        <f t="shared" si="8"/>
        <v>3.75</v>
      </c>
      <c r="J98" s="14"/>
      <c r="K98" s="16"/>
    </row>
    <row r="99" spans="1:11" ht="12.6" customHeight="1" x14ac:dyDescent="0.2">
      <c r="A99" s="13"/>
      <c r="B99" s="19"/>
      <c r="C99" s="15"/>
      <c r="D99" s="14"/>
      <c r="E99" s="15">
        <f t="shared" si="7"/>
        <v>7.75</v>
      </c>
      <c r="F99" s="14"/>
      <c r="G99" s="15">
        <f t="shared" si="6"/>
        <v>0</v>
      </c>
      <c r="H99" s="14"/>
      <c r="I99" s="15">
        <f t="shared" si="8"/>
        <v>3.75</v>
      </c>
      <c r="J99" s="14"/>
      <c r="K99" s="13"/>
    </row>
    <row r="100" spans="1:11" ht="12.6" customHeight="1" x14ac:dyDescent="0.2">
      <c r="A100" s="13"/>
      <c r="B100" s="19"/>
      <c r="C100" s="15"/>
      <c r="D100" s="14"/>
      <c r="E100" s="15">
        <f t="shared" si="7"/>
        <v>7.75</v>
      </c>
      <c r="F100" s="14"/>
      <c r="G100" s="15">
        <f t="shared" si="6"/>
        <v>0</v>
      </c>
      <c r="H100" s="14"/>
      <c r="I100" s="15">
        <f t="shared" si="8"/>
        <v>3.75</v>
      </c>
      <c r="J100" s="14"/>
      <c r="K100" s="13"/>
    </row>
    <row r="101" spans="1:11" ht="12.6" customHeight="1" x14ac:dyDescent="0.2">
      <c r="A101" s="13"/>
      <c r="B101" s="19"/>
      <c r="C101" s="15"/>
      <c r="D101" s="14"/>
      <c r="E101" s="15">
        <f t="shared" si="7"/>
        <v>7.75</v>
      </c>
      <c r="F101" s="14"/>
      <c r="G101" s="15">
        <f t="shared" si="6"/>
        <v>0</v>
      </c>
      <c r="H101" s="14"/>
      <c r="I101" s="15">
        <f t="shared" si="8"/>
        <v>3.75</v>
      </c>
      <c r="J101" s="14"/>
      <c r="K101" s="13"/>
    </row>
    <row r="102" spans="1:11" ht="12.6" customHeight="1" x14ac:dyDescent="0.2">
      <c r="A102" s="13"/>
      <c r="B102" s="19"/>
      <c r="C102" s="15"/>
      <c r="D102" s="14"/>
      <c r="E102" s="15">
        <f t="shared" si="7"/>
        <v>7.75</v>
      </c>
      <c r="F102" s="14"/>
      <c r="G102" s="15">
        <f t="shared" si="6"/>
        <v>0</v>
      </c>
      <c r="H102" s="14"/>
      <c r="I102" s="15">
        <f t="shared" si="8"/>
        <v>3.75</v>
      </c>
      <c r="J102" s="14"/>
      <c r="K102" s="13"/>
    </row>
    <row r="103" spans="1:11" ht="12.6" customHeight="1" x14ac:dyDescent="0.2">
      <c r="A103" s="13"/>
      <c r="B103" s="19"/>
      <c r="C103" s="15"/>
      <c r="D103" s="14"/>
      <c r="E103" s="15">
        <f t="shared" si="7"/>
        <v>7.75</v>
      </c>
      <c r="F103" s="14"/>
      <c r="G103" s="15">
        <f t="shared" si="6"/>
        <v>0</v>
      </c>
      <c r="H103" s="14"/>
      <c r="I103" s="15">
        <f t="shared" si="8"/>
        <v>3.75</v>
      </c>
      <c r="J103" s="14"/>
      <c r="K103" s="19"/>
    </row>
    <row r="104" spans="1:11" ht="12.6" customHeight="1" x14ac:dyDescent="0.2">
      <c r="A104" s="13"/>
      <c r="B104" s="19"/>
      <c r="C104" s="15"/>
      <c r="D104" s="14"/>
      <c r="E104" s="15">
        <f t="shared" si="7"/>
        <v>7.75</v>
      </c>
      <c r="F104" s="14"/>
      <c r="G104" s="15">
        <f t="shared" si="6"/>
        <v>0</v>
      </c>
      <c r="H104" s="14"/>
      <c r="I104" s="15">
        <f t="shared" si="8"/>
        <v>3.75</v>
      </c>
      <c r="J104" s="14"/>
      <c r="K104" s="13"/>
    </row>
    <row r="105" spans="1:11" ht="12.6" customHeight="1" x14ac:dyDescent="0.2">
      <c r="A105" s="13"/>
      <c r="B105" s="19"/>
      <c r="C105" s="15"/>
      <c r="D105" s="14"/>
      <c r="E105" s="15">
        <f t="shared" si="7"/>
        <v>7.75</v>
      </c>
      <c r="F105" s="14"/>
      <c r="G105" s="15">
        <f t="shared" si="6"/>
        <v>0</v>
      </c>
      <c r="H105" s="14"/>
      <c r="I105" s="15">
        <f t="shared" si="8"/>
        <v>3.75</v>
      </c>
      <c r="J105" s="14"/>
      <c r="K105" s="13"/>
    </row>
    <row r="106" spans="1:11" ht="12.6" customHeight="1" x14ac:dyDescent="0.2">
      <c r="A106" s="13"/>
      <c r="B106" s="19"/>
      <c r="C106" s="15"/>
      <c r="D106" s="14"/>
      <c r="E106" s="15">
        <f t="shared" si="7"/>
        <v>7.75</v>
      </c>
      <c r="F106" s="14"/>
      <c r="G106" s="15">
        <f t="shared" si="6"/>
        <v>0</v>
      </c>
      <c r="H106" s="14"/>
      <c r="I106" s="15">
        <f t="shared" si="8"/>
        <v>3.75</v>
      </c>
      <c r="J106" s="14"/>
      <c r="K106" s="13"/>
    </row>
    <row r="107" spans="1:11" ht="12.6" customHeight="1" x14ac:dyDescent="0.2">
      <c r="A107" s="13"/>
      <c r="B107" s="19"/>
      <c r="C107" s="15"/>
      <c r="D107" s="14"/>
      <c r="E107" s="15">
        <f t="shared" si="7"/>
        <v>7.75</v>
      </c>
      <c r="F107" s="14"/>
      <c r="G107" s="15">
        <f t="shared" si="6"/>
        <v>0</v>
      </c>
      <c r="H107" s="14"/>
      <c r="I107" s="15">
        <f t="shared" si="8"/>
        <v>3.75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0</v>
      </c>
      <c r="D108" s="15">
        <f>SUM(D82:D107)</f>
        <v>0</v>
      </c>
      <c r="E108" s="15"/>
      <c r="F108" s="14"/>
      <c r="G108" s="15">
        <f>SUM(G82:G107)</f>
        <v>0</v>
      </c>
      <c r="H108" s="15">
        <f>SUM(H82:H107)</f>
        <v>0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 t="str">
        <f>A1</f>
        <v>STEPHANINE ANN C. TOLENTINO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 t="str">
        <f>K1</f>
        <v>3/25/2010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/>
      <c r="C117" s="15"/>
      <c r="D117" s="14"/>
      <c r="E117" s="15">
        <f>E107+C117-D117</f>
        <v>7.75</v>
      </c>
      <c r="F117" s="14"/>
      <c r="G117" s="15">
        <f>C117</f>
        <v>0</v>
      </c>
      <c r="H117" s="14"/>
      <c r="I117" s="15">
        <f>I107+G117-H117</f>
        <v>3.75</v>
      </c>
      <c r="J117" s="14"/>
      <c r="K117" s="13"/>
    </row>
    <row r="118" spans="1:11" ht="12.6" customHeight="1" x14ac:dyDescent="0.2">
      <c r="A118" s="13"/>
      <c r="B118" s="17"/>
      <c r="C118" s="15"/>
      <c r="D118" s="14"/>
      <c r="E118" s="15">
        <f>E117+C118-D118</f>
        <v>7.75</v>
      </c>
      <c r="F118" s="14"/>
      <c r="G118" s="15">
        <f t="shared" ref="G118:G142" si="9">C118</f>
        <v>0</v>
      </c>
      <c r="H118" s="14"/>
      <c r="I118" s="15">
        <f>I117+G118-H118</f>
        <v>3.75</v>
      </c>
      <c r="J118" s="22"/>
      <c r="K118" s="23"/>
    </row>
    <row r="119" spans="1:11" ht="12.6" customHeight="1" x14ac:dyDescent="0.2">
      <c r="A119" s="13"/>
      <c r="B119" s="19"/>
      <c r="C119" s="15"/>
      <c r="D119" s="14"/>
      <c r="E119" s="15">
        <f t="shared" ref="E119:E142" si="10">E118+C119-D119</f>
        <v>7.75</v>
      </c>
      <c r="F119" s="14"/>
      <c r="G119" s="15">
        <f t="shared" si="9"/>
        <v>0</v>
      </c>
      <c r="H119" s="14"/>
      <c r="I119" s="15">
        <f t="shared" ref="I119:I142" si="11">I118+G119-H119</f>
        <v>3.75</v>
      </c>
      <c r="J119" s="14"/>
      <c r="K119" s="16"/>
    </row>
    <row r="120" spans="1:11" ht="12.6" customHeight="1" x14ac:dyDescent="0.2">
      <c r="A120" s="13"/>
      <c r="B120" s="19"/>
      <c r="C120" s="15"/>
      <c r="D120" s="14"/>
      <c r="E120" s="15">
        <f t="shared" si="10"/>
        <v>7.75</v>
      </c>
      <c r="F120" s="14"/>
      <c r="G120" s="15">
        <f t="shared" si="9"/>
        <v>0</v>
      </c>
      <c r="H120" s="14"/>
      <c r="I120" s="15">
        <f t="shared" si="11"/>
        <v>3.75</v>
      </c>
      <c r="J120" s="14"/>
      <c r="K120" s="13"/>
    </row>
    <row r="121" spans="1:11" ht="12.6" customHeight="1" x14ac:dyDescent="0.2">
      <c r="A121" s="29"/>
      <c r="B121" s="19"/>
      <c r="C121" s="15"/>
      <c r="D121" s="14"/>
      <c r="E121" s="15">
        <f t="shared" si="10"/>
        <v>7.75</v>
      </c>
      <c r="F121" s="14"/>
      <c r="G121" s="15">
        <f t="shared" si="9"/>
        <v>0</v>
      </c>
      <c r="H121" s="14"/>
      <c r="I121" s="15">
        <f t="shared" si="11"/>
        <v>3.75</v>
      </c>
      <c r="J121" s="14"/>
      <c r="K121" s="13"/>
    </row>
    <row r="122" spans="1:11" ht="12.6" customHeight="1" x14ac:dyDescent="0.2">
      <c r="A122" s="13"/>
      <c r="B122" s="19"/>
      <c r="C122" s="15"/>
      <c r="D122" s="14"/>
      <c r="E122" s="15">
        <f t="shared" si="10"/>
        <v>7.75</v>
      </c>
      <c r="F122" s="14"/>
      <c r="G122" s="15">
        <f t="shared" si="9"/>
        <v>0</v>
      </c>
      <c r="H122" s="14"/>
      <c r="I122" s="15">
        <f t="shared" si="11"/>
        <v>3.75</v>
      </c>
      <c r="J122" s="14"/>
      <c r="K122" s="13"/>
    </row>
    <row r="123" spans="1:11" ht="12.6" customHeight="1" x14ac:dyDescent="0.2">
      <c r="A123" s="13"/>
      <c r="B123" s="17"/>
      <c r="C123" s="15"/>
      <c r="D123" s="14"/>
      <c r="E123" s="15">
        <f t="shared" si="10"/>
        <v>7.75</v>
      </c>
      <c r="F123" s="14"/>
      <c r="G123" s="15">
        <f t="shared" si="9"/>
        <v>0</v>
      </c>
      <c r="H123" s="14"/>
      <c r="I123" s="15">
        <f t="shared" si="11"/>
        <v>3.75</v>
      </c>
      <c r="J123" s="14"/>
      <c r="K123" s="13"/>
    </row>
    <row r="124" spans="1:11" ht="12.6" customHeight="1" x14ac:dyDescent="0.2">
      <c r="A124" s="13"/>
      <c r="B124" s="19"/>
      <c r="C124" s="15"/>
      <c r="D124" s="14"/>
      <c r="E124" s="15">
        <f t="shared" si="10"/>
        <v>7.75</v>
      </c>
      <c r="F124" s="14"/>
      <c r="G124" s="15">
        <f t="shared" si="9"/>
        <v>0</v>
      </c>
      <c r="H124" s="14"/>
      <c r="I124" s="15">
        <f t="shared" si="11"/>
        <v>3.75</v>
      </c>
      <c r="J124" s="14"/>
      <c r="K124" s="16"/>
    </row>
    <row r="125" spans="1:11" ht="12.6" customHeight="1" x14ac:dyDescent="0.2">
      <c r="A125" s="13"/>
      <c r="B125" s="17"/>
      <c r="C125" s="15"/>
      <c r="D125" s="14"/>
      <c r="E125" s="15">
        <f t="shared" si="10"/>
        <v>7.75</v>
      </c>
      <c r="F125" s="14"/>
      <c r="G125" s="15">
        <f t="shared" si="9"/>
        <v>0</v>
      </c>
      <c r="H125" s="14"/>
      <c r="I125" s="15">
        <f t="shared" si="11"/>
        <v>3.75</v>
      </c>
      <c r="J125" s="14"/>
      <c r="K125" s="16"/>
    </row>
    <row r="126" spans="1:11" ht="12.6" customHeight="1" x14ac:dyDescent="0.2">
      <c r="A126" s="13"/>
      <c r="B126" s="17"/>
      <c r="C126" s="15"/>
      <c r="D126" s="14"/>
      <c r="E126" s="15">
        <f t="shared" si="10"/>
        <v>7.75</v>
      </c>
      <c r="F126" s="14"/>
      <c r="G126" s="15">
        <f t="shared" si="9"/>
        <v>0</v>
      </c>
      <c r="H126" s="14"/>
      <c r="I126" s="15">
        <f t="shared" si="11"/>
        <v>3.75</v>
      </c>
      <c r="J126" s="14"/>
      <c r="K126" s="16"/>
    </row>
    <row r="127" spans="1:11" ht="12.6" customHeight="1" x14ac:dyDescent="0.2">
      <c r="A127" s="13"/>
      <c r="B127" s="19"/>
      <c r="C127" s="15"/>
      <c r="D127" s="14"/>
      <c r="E127" s="15">
        <f t="shared" si="10"/>
        <v>7.75</v>
      </c>
      <c r="F127" s="14"/>
      <c r="G127" s="15">
        <f t="shared" si="9"/>
        <v>0</v>
      </c>
      <c r="H127" s="14"/>
      <c r="I127" s="15">
        <f t="shared" si="11"/>
        <v>3.75</v>
      </c>
      <c r="J127" s="14"/>
      <c r="K127" s="13"/>
    </row>
    <row r="128" spans="1:11" ht="12.6" customHeight="1" x14ac:dyDescent="0.2">
      <c r="A128" s="13"/>
      <c r="B128" s="17"/>
      <c r="C128" s="15"/>
      <c r="D128" s="14"/>
      <c r="E128" s="15">
        <f t="shared" si="10"/>
        <v>7.75</v>
      </c>
      <c r="F128" s="14"/>
      <c r="G128" s="15">
        <f t="shared" si="9"/>
        <v>0</v>
      </c>
      <c r="H128" s="14"/>
      <c r="I128" s="15">
        <f t="shared" si="11"/>
        <v>3.75</v>
      </c>
      <c r="J128" s="14"/>
      <c r="K128" s="13"/>
    </row>
    <row r="129" spans="1:11" ht="12.6" customHeight="1" x14ac:dyDescent="0.2">
      <c r="A129" s="13"/>
      <c r="B129" s="19"/>
      <c r="C129" s="15"/>
      <c r="D129" s="14"/>
      <c r="E129" s="15">
        <f t="shared" si="10"/>
        <v>7.75</v>
      </c>
      <c r="F129" s="14"/>
      <c r="G129" s="15">
        <f t="shared" si="9"/>
        <v>0</v>
      </c>
      <c r="H129" s="14"/>
      <c r="I129" s="15">
        <f t="shared" si="11"/>
        <v>3.75</v>
      </c>
      <c r="J129" s="14"/>
      <c r="K129" s="13"/>
    </row>
    <row r="130" spans="1:11" ht="12.6" customHeight="1" x14ac:dyDescent="0.2">
      <c r="A130" s="13"/>
      <c r="B130" s="19"/>
      <c r="C130" s="15"/>
      <c r="D130" s="14"/>
      <c r="E130" s="15">
        <f t="shared" si="10"/>
        <v>7.75</v>
      </c>
      <c r="F130" s="14"/>
      <c r="G130" s="15">
        <f t="shared" si="9"/>
        <v>0</v>
      </c>
      <c r="H130" s="14"/>
      <c r="I130" s="15">
        <f t="shared" si="11"/>
        <v>3.75</v>
      </c>
      <c r="J130" s="14"/>
      <c r="K130" s="13"/>
    </row>
    <row r="131" spans="1:11" ht="12.6" customHeight="1" x14ac:dyDescent="0.2">
      <c r="A131" s="13"/>
      <c r="B131" s="19"/>
      <c r="C131" s="15"/>
      <c r="D131" s="14"/>
      <c r="E131" s="15">
        <f t="shared" si="10"/>
        <v>7.75</v>
      </c>
      <c r="F131" s="14"/>
      <c r="G131" s="15">
        <f t="shared" si="9"/>
        <v>0</v>
      </c>
      <c r="H131" s="14"/>
      <c r="I131" s="15">
        <f t="shared" si="11"/>
        <v>3.75</v>
      </c>
      <c r="J131" s="14"/>
      <c r="K131" s="33"/>
    </row>
    <row r="132" spans="1:11" ht="12.6" customHeight="1" x14ac:dyDescent="0.2">
      <c r="A132" s="13"/>
      <c r="B132" s="19"/>
      <c r="C132" s="15"/>
      <c r="D132" s="14"/>
      <c r="E132" s="15">
        <f t="shared" si="10"/>
        <v>7.75</v>
      </c>
      <c r="F132" s="14"/>
      <c r="G132" s="15">
        <f t="shared" si="9"/>
        <v>0</v>
      </c>
      <c r="H132" s="14"/>
      <c r="I132" s="15">
        <f t="shared" si="11"/>
        <v>3.75</v>
      </c>
      <c r="J132" s="14"/>
      <c r="K132" s="13"/>
    </row>
    <row r="133" spans="1:11" ht="12.6" customHeight="1" x14ac:dyDescent="0.2">
      <c r="A133" s="13"/>
      <c r="B133" s="19"/>
      <c r="C133" s="15"/>
      <c r="D133" s="14"/>
      <c r="E133" s="15">
        <f t="shared" si="10"/>
        <v>7.75</v>
      </c>
      <c r="F133" s="14"/>
      <c r="G133" s="15">
        <f t="shared" si="9"/>
        <v>0</v>
      </c>
      <c r="H133" s="14"/>
      <c r="I133" s="15">
        <f t="shared" si="11"/>
        <v>3.75</v>
      </c>
      <c r="J133" s="14"/>
      <c r="K133" s="16"/>
    </row>
    <row r="134" spans="1:11" ht="12.6" customHeight="1" x14ac:dyDescent="0.2">
      <c r="A134" s="13"/>
      <c r="B134" s="19"/>
      <c r="C134" s="15"/>
      <c r="D134" s="14"/>
      <c r="E134" s="15">
        <f t="shared" si="10"/>
        <v>7.75</v>
      </c>
      <c r="F134" s="14"/>
      <c r="G134" s="15">
        <f t="shared" si="9"/>
        <v>0</v>
      </c>
      <c r="H134" s="14"/>
      <c r="I134" s="15">
        <f t="shared" si="11"/>
        <v>3.75</v>
      </c>
      <c r="J134" s="14"/>
      <c r="K134" s="13"/>
    </row>
    <row r="135" spans="1:11" ht="12.6" customHeight="1" x14ac:dyDescent="0.2">
      <c r="A135" s="13"/>
      <c r="B135" s="19"/>
      <c r="C135" s="15"/>
      <c r="D135" s="14"/>
      <c r="E135" s="15">
        <f t="shared" si="10"/>
        <v>7.75</v>
      </c>
      <c r="F135" s="14"/>
      <c r="G135" s="15">
        <f t="shared" si="9"/>
        <v>0</v>
      </c>
      <c r="H135" s="14"/>
      <c r="I135" s="15">
        <f t="shared" si="11"/>
        <v>3.75</v>
      </c>
      <c r="J135" s="14"/>
      <c r="K135" s="13"/>
    </row>
    <row r="136" spans="1:11" ht="12.6" customHeight="1" x14ac:dyDescent="0.2">
      <c r="A136" s="13"/>
      <c r="B136" s="19"/>
      <c r="C136" s="15"/>
      <c r="D136" s="14"/>
      <c r="E136" s="15">
        <f t="shared" si="10"/>
        <v>7.75</v>
      </c>
      <c r="F136" s="14"/>
      <c r="G136" s="15">
        <f t="shared" si="9"/>
        <v>0</v>
      </c>
      <c r="H136" s="14"/>
      <c r="I136" s="15">
        <f t="shared" si="11"/>
        <v>3.75</v>
      </c>
      <c r="J136" s="14"/>
      <c r="K136" s="13"/>
    </row>
    <row r="137" spans="1:11" ht="12.6" customHeight="1" x14ac:dyDescent="0.2">
      <c r="A137" s="13"/>
      <c r="B137" s="19"/>
      <c r="C137" s="15"/>
      <c r="D137" s="14"/>
      <c r="E137" s="15">
        <f t="shared" si="10"/>
        <v>7.75</v>
      </c>
      <c r="F137" s="14"/>
      <c r="G137" s="15">
        <f t="shared" si="9"/>
        <v>0</v>
      </c>
      <c r="H137" s="14"/>
      <c r="I137" s="15">
        <f t="shared" si="11"/>
        <v>3.75</v>
      </c>
      <c r="J137" s="14"/>
      <c r="K137" s="13"/>
    </row>
    <row r="138" spans="1:11" ht="12.6" customHeight="1" x14ac:dyDescent="0.2">
      <c r="A138" s="13"/>
      <c r="B138" s="19"/>
      <c r="C138" s="15"/>
      <c r="D138" s="14"/>
      <c r="E138" s="15">
        <f t="shared" si="10"/>
        <v>7.75</v>
      </c>
      <c r="F138" s="14"/>
      <c r="G138" s="15">
        <f t="shared" si="9"/>
        <v>0</v>
      </c>
      <c r="H138" s="14"/>
      <c r="I138" s="15">
        <f t="shared" si="11"/>
        <v>3.75</v>
      </c>
      <c r="J138" s="14"/>
      <c r="K138" s="19"/>
    </row>
    <row r="139" spans="1:11" ht="12.6" customHeight="1" x14ac:dyDescent="0.2">
      <c r="A139" s="13"/>
      <c r="B139" s="19"/>
      <c r="C139" s="15"/>
      <c r="D139" s="14"/>
      <c r="E139" s="15">
        <f t="shared" si="10"/>
        <v>7.75</v>
      </c>
      <c r="F139" s="14"/>
      <c r="G139" s="15">
        <f t="shared" si="9"/>
        <v>0</v>
      </c>
      <c r="H139" s="14"/>
      <c r="I139" s="15">
        <f t="shared" si="11"/>
        <v>3.75</v>
      </c>
      <c r="J139" s="14"/>
      <c r="K139" s="13"/>
    </row>
    <row r="140" spans="1:11" ht="12.6" customHeight="1" x14ac:dyDescent="0.2">
      <c r="A140" s="13"/>
      <c r="B140" s="19"/>
      <c r="C140" s="15"/>
      <c r="D140" s="14"/>
      <c r="E140" s="15">
        <f t="shared" si="10"/>
        <v>7.75</v>
      </c>
      <c r="F140" s="14"/>
      <c r="G140" s="15">
        <f t="shared" si="9"/>
        <v>0</v>
      </c>
      <c r="H140" s="14"/>
      <c r="I140" s="15">
        <f t="shared" si="11"/>
        <v>3.75</v>
      </c>
      <c r="J140" s="14"/>
      <c r="K140" s="13"/>
    </row>
    <row r="141" spans="1:11" ht="12.6" customHeight="1" x14ac:dyDescent="0.2">
      <c r="A141" s="13"/>
      <c r="B141" s="19"/>
      <c r="C141" s="15"/>
      <c r="D141" s="14"/>
      <c r="E141" s="15">
        <f t="shared" si="10"/>
        <v>7.75</v>
      </c>
      <c r="F141" s="14"/>
      <c r="G141" s="15">
        <f t="shared" si="9"/>
        <v>0</v>
      </c>
      <c r="H141" s="14"/>
      <c r="I141" s="15">
        <f t="shared" si="11"/>
        <v>3.75</v>
      </c>
      <c r="J141" s="14"/>
      <c r="K141" s="13"/>
    </row>
    <row r="142" spans="1:11" ht="12.6" customHeight="1" x14ac:dyDescent="0.2">
      <c r="A142" s="13"/>
      <c r="B142" s="19"/>
      <c r="C142" s="15"/>
      <c r="D142" s="14"/>
      <c r="E142" s="15">
        <f t="shared" si="10"/>
        <v>7.75</v>
      </c>
      <c r="F142" s="14"/>
      <c r="G142" s="15">
        <f t="shared" si="9"/>
        <v>0</v>
      </c>
      <c r="H142" s="14"/>
      <c r="I142" s="15">
        <f t="shared" si="11"/>
        <v>3.75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0</v>
      </c>
      <c r="D143" s="15">
        <f>SUM(D117:D142)</f>
        <v>0</v>
      </c>
      <c r="E143" s="15"/>
      <c r="F143" s="14"/>
      <c r="G143" s="15">
        <f>SUM(G117:G142)</f>
        <v>0</v>
      </c>
      <c r="H143" s="15">
        <f>SUM(H117:H142)</f>
        <v>0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 t="str">
        <f>A1</f>
        <v>STEPHANINE ANN C. TOLENTINO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 t="str">
        <f>K1</f>
        <v>3/25/2010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/>
      <c r="C156" s="15"/>
      <c r="D156" s="14"/>
      <c r="E156" s="15">
        <f>E142+C156-D156</f>
        <v>7.75</v>
      </c>
      <c r="F156" s="14"/>
      <c r="G156" s="15">
        <f>C156</f>
        <v>0</v>
      </c>
      <c r="H156" s="14"/>
      <c r="I156" s="15">
        <f>I142+G156-H156</f>
        <v>3.75</v>
      </c>
      <c r="J156" s="14"/>
      <c r="K156" s="13"/>
    </row>
    <row r="157" spans="1:11" ht="12.6" customHeight="1" x14ac:dyDescent="0.2">
      <c r="A157" s="13"/>
      <c r="B157" s="19"/>
      <c r="C157" s="15"/>
      <c r="D157" s="14"/>
      <c r="E157" s="15">
        <f>E156+C157-D157</f>
        <v>7.75</v>
      </c>
      <c r="F157" s="14"/>
      <c r="G157" s="15">
        <f t="shared" ref="G157:G181" si="12">C157</f>
        <v>0</v>
      </c>
      <c r="H157" s="14"/>
      <c r="I157" s="15">
        <f>I156+G157-H157</f>
        <v>3.75</v>
      </c>
      <c r="J157" s="14"/>
      <c r="K157" s="13"/>
    </row>
    <row r="158" spans="1:11" ht="12.6" customHeight="1" x14ac:dyDescent="0.2">
      <c r="A158" s="13"/>
      <c r="B158" s="19"/>
      <c r="C158" s="15"/>
      <c r="D158" s="14"/>
      <c r="E158" s="15">
        <f t="shared" ref="E158:E181" si="13">E157+C158-D158</f>
        <v>7.75</v>
      </c>
      <c r="F158" s="22"/>
      <c r="G158" s="15">
        <f t="shared" si="12"/>
        <v>0</v>
      </c>
      <c r="H158" s="34"/>
      <c r="I158" s="15">
        <f t="shared" ref="I158:I181" si="14">I157+G158-H158</f>
        <v>3.75</v>
      </c>
      <c r="J158" s="14"/>
      <c r="K158" s="13"/>
    </row>
    <row r="159" spans="1:11" ht="12.6" customHeight="1" x14ac:dyDescent="0.2">
      <c r="A159" s="13"/>
      <c r="B159" s="19"/>
      <c r="C159" s="15"/>
      <c r="D159" s="14"/>
      <c r="E159" s="15">
        <f t="shared" si="13"/>
        <v>7.75</v>
      </c>
      <c r="F159" s="14"/>
      <c r="G159" s="15">
        <f t="shared" si="12"/>
        <v>0</v>
      </c>
      <c r="H159" s="34"/>
      <c r="I159" s="15">
        <f t="shared" si="14"/>
        <v>3.75</v>
      </c>
      <c r="J159" s="14"/>
      <c r="K159" s="13"/>
    </row>
    <row r="160" spans="1:11" ht="12.6" customHeight="1" x14ac:dyDescent="0.2">
      <c r="A160" s="13"/>
      <c r="B160" s="19"/>
      <c r="C160" s="15"/>
      <c r="D160" s="14"/>
      <c r="E160" s="15">
        <f t="shared" si="13"/>
        <v>7.75</v>
      </c>
      <c r="F160" s="14"/>
      <c r="G160" s="15">
        <f t="shared" si="12"/>
        <v>0</v>
      </c>
      <c r="H160" s="34"/>
      <c r="I160" s="15">
        <f t="shared" si="14"/>
        <v>3.75</v>
      </c>
      <c r="J160" s="14"/>
      <c r="K160" s="16"/>
    </row>
    <row r="161" spans="1:11" ht="12.6" customHeight="1" x14ac:dyDescent="0.2">
      <c r="A161" s="13"/>
      <c r="B161" s="19"/>
      <c r="C161" s="15"/>
      <c r="D161" s="14"/>
      <c r="E161" s="15">
        <f t="shared" si="13"/>
        <v>7.75</v>
      </c>
      <c r="F161" s="14"/>
      <c r="G161" s="15">
        <f t="shared" si="12"/>
        <v>0</v>
      </c>
      <c r="H161" s="34"/>
      <c r="I161" s="15">
        <f t="shared" si="14"/>
        <v>3.75</v>
      </c>
      <c r="J161" s="14"/>
      <c r="K161" s="13"/>
    </row>
    <row r="162" spans="1:11" ht="12.6" customHeight="1" x14ac:dyDescent="0.2">
      <c r="A162" s="13"/>
      <c r="B162" s="19"/>
      <c r="C162" s="15"/>
      <c r="D162" s="14"/>
      <c r="E162" s="15">
        <f t="shared" si="13"/>
        <v>7.75</v>
      </c>
      <c r="F162" s="14"/>
      <c r="G162" s="15">
        <f t="shared" si="12"/>
        <v>0</v>
      </c>
      <c r="H162" s="34"/>
      <c r="I162" s="15">
        <f t="shared" si="14"/>
        <v>3.75</v>
      </c>
      <c r="J162" s="14"/>
      <c r="K162" s="16"/>
    </row>
    <row r="163" spans="1:11" ht="12.6" customHeight="1" x14ac:dyDescent="0.2">
      <c r="A163" s="13"/>
      <c r="B163" s="19"/>
      <c r="C163" s="15"/>
      <c r="D163" s="22"/>
      <c r="E163" s="15">
        <f t="shared" si="13"/>
        <v>7.75</v>
      </c>
      <c r="F163" s="22"/>
      <c r="G163" s="15">
        <f t="shared" si="12"/>
        <v>0</v>
      </c>
      <c r="H163" s="14"/>
      <c r="I163" s="15">
        <f t="shared" si="14"/>
        <v>3.75</v>
      </c>
      <c r="J163" s="14"/>
      <c r="K163" s="13"/>
    </row>
    <row r="164" spans="1:11" ht="12.6" customHeight="1" x14ac:dyDescent="0.2">
      <c r="A164" s="13"/>
      <c r="B164" s="19"/>
      <c r="C164" s="15"/>
      <c r="D164" s="22"/>
      <c r="E164" s="15">
        <f t="shared" si="13"/>
        <v>7.75</v>
      </c>
      <c r="F164" s="14"/>
      <c r="G164" s="15">
        <f t="shared" si="12"/>
        <v>0</v>
      </c>
      <c r="H164" s="34"/>
      <c r="I164" s="15">
        <f t="shared" si="14"/>
        <v>3.75</v>
      </c>
      <c r="J164" s="14"/>
      <c r="K164" s="13"/>
    </row>
    <row r="165" spans="1:11" ht="12.6" customHeight="1" x14ac:dyDescent="0.2">
      <c r="A165" s="13"/>
      <c r="B165" s="19"/>
      <c r="C165" s="15"/>
      <c r="D165" s="14"/>
      <c r="E165" s="15">
        <f t="shared" si="13"/>
        <v>7.75</v>
      </c>
      <c r="F165" s="14"/>
      <c r="G165" s="15">
        <f t="shared" si="12"/>
        <v>0</v>
      </c>
      <c r="H165" s="34"/>
      <c r="I165" s="15">
        <f t="shared" si="14"/>
        <v>3.75</v>
      </c>
      <c r="J165" s="14"/>
      <c r="K165" s="13"/>
    </row>
    <row r="166" spans="1:11" ht="12.6" customHeight="1" x14ac:dyDescent="0.2">
      <c r="A166" s="13"/>
      <c r="B166" s="19"/>
      <c r="C166" s="15"/>
      <c r="D166" s="14"/>
      <c r="E166" s="15">
        <f t="shared" si="13"/>
        <v>7.75</v>
      </c>
      <c r="F166" s="22"/>
      <c r="G166" s="15">
        <f t="shared" si="12"/>
        <v>0</v>
      </c>
      <c r="H166" s="34"/>
      <c r="I166" s="15">
        <f t="shared" si="14"/>
        <v>3.75</v>
      </c>
      <c r="J166" s="14"/>
      <c r="K166" s="13"/>
    </row>
    <row r="167" spans="1:11" ht="12.6" customHeight="1" x14ac:dyDescent="0.2">
      <c r="A167" s="13"/>
      <c r="B167" s="19"/>
      <c r="C167" s="15"/>
      <c r="D167" s="14"/>
      <c r="E167" s="15">
        <f t="shared" si="13"/>
        <v>7.75</v>
      </c>
      <c r="F167" s="22"/>
      <c r="G167" s="15">
        <f t="shared" si="12"/>
        <v>0</v>
      </c>
      <c r="H167" s="35"/>
      <c r="I167" s="15">
        <f t="shared" si="14"/>
        <v>3.75</v>
      </c>
      <c r="J167" s="14"/>
      <c r="K167" s="16"/>
    </row>
    <row r="168" spans="1:11" ht="12.6" customHeight="1" x14ac:dyDescent="0.2">
      <c r="A168" s="13"/>
      <c r="B168" s="19"/>
      <c r="C168" s="15"/>
      <c r="D168" s="14"/>
      <c r="E168" s="15">
        <f t="shared" si="13"/>
        <v>7.75</v>
      </c>
      <c r="F168" s="14"/>
      <c r="G168" s="15">
        <f t="shared" si="12"/>
        <v>0</v>
      </c>
      <c r="H168" s="32"/>
      <c r="I168" s="15">
        <f t="shared" si="14"/>
        <v>3.75</v>
      </c>
      <c r="J168" s="14"/>
      <c r="K168" s="13"/>
    </row>
    <row r="169" spans="1:11" ht="12.6" customHeight="1" x14ac:dyDescent="0.2">
      <c r="A169" s="13"/>
      <c r="B169" s="19"/>
      <c r="C169" s="15"/>
      <c r="D169" s="14"/>
      <c r="E169" s="15">
        <f t="shared" si="13"/>
        <v>7.75</v>
      </c>
      <c r="F169" s="22"/>
      <c r="G169" s="15">
        <f t="shared" si="12"/>
        <v>0</v>
      </c>
      <c r="H169" s="34"/>
      <c r="I169" s="15">
        <f t="shared" si="14"/>
        <v>3.75</v>
      </c>
      <c r="J169" s="14"/>
      <c r="K169" s="13"/>
    </row>
    <row r="170" spans="1:11" ht="12.6" customHeight="1" x14ac:dyDescent="0.2">
      <c r="A170" s="13"/>
      <c r="B170" s="19"/>
      <c r="C170" s="15"/>
      <c r="D170" s="14"/>
      <c r="E170" s="15">
        <f t="shared" si="13"/>
        <v>7.75</v>
      </c>
      <c r="F170" s="14"/>
      <c r="G170" s="15">
        <f t="shared" si="12"/>
        <v>0</v>
      </c>
      <c r="H170" s="14"/>
      <c r="I170" s="15">
        <f t="shared" si="14"/>
        <v>3.75</v>
      </c>
      <c r="J170" s="14"/>
      <c r="K170" s="13"/>
    </row>
    <row r="171" spans="1:11" ht="12.6" customHeight="1" x14ac:dyDescent="0.2">
      <c r="A171" s="13"/>
      <c r="B171" s="19"/>
      <c r="C171" s="15"/>
      <c r="D171" s="14"/>
      <c r="E171" s="15">
        <f t="shared" si="13"/>
        <v>7.75</v>
      </c>
      <c r="F171" s="14"/>
      <c r="G171" s="15">
        <f t="shared" si="12"/>
        <v>0</v>
      </c>
      <c r="H171" s="34"/>
      <c r="I171" s="15">
        <f t="shared" si="14"/>
        <v>3.75</v>
      </c>
      <c r="J171" s="14"/>
      <c r="K171" s="16"/>
    </row>
    <row r="172" spans="1:11" ht="12.6" customHeight="1" x14ac:dyDescent="0.2">
      <c r="A172" s="13"/>
      <c r="B172" s="19"/>
      <c r="C172" s="15"/>
      <c r="D172" s="14"/>
      <c r="E172" s="15">
        <f t="shared" si="13"/>
        <v>7.75</v>
      </c>
      <c r="F172" s="14"/>
      <c r="G172" s="15">
        <f t="shared" si="12"/>
        <v>0</v>
      </c>
      <c r="H172" s="34"/>
      <c r="I172" s="15">
        <f t="shared" si="14"/>
        <v>3.75</v>
      </c>
      <c r="J172" s="14"/>
      <c r="K172" s="13"/>
    </row>
    <row r="173" spans="1:11" ht="12.6" customHeight="1" x14ac:dyDescent="0.2">
      <c r="A173" s="13"/>
      <c r="B173" s="19"/>
      <c r="C173" s="15"/>
      <c r="D173" s="14"/>
      <c r="E173" s="15">
        <f t="shared" si="13"/>
        <v>7.75</v>
      </c>
      <c r="F173" s="14"/>
      <c r="G173" s="15">
        <f t="shared" si="12"/>
        <v>0</v>
      </c>
      <c r="H173" s="35"/>
      <c r="I173" s="15">
        <f t="shared" si="14"/>
        <v>3.75</v>
      </c>
      <c r="J173" s="14"/>
      <c r="K173" s="13"/>
    </row>
    <row r="174" spans="1:11" ht="12.6" customHeight="1" x14ac:dyDescent="0.2">
      <c r="A174" s="13"/>
      <c r="B174" s="19"/>
      <c r="C174" s="15"/>
      <c r="D174" s="14"/>
      <c r="E174" s="15">
        <f t="shared" si="13"/>
        <v>7.75</v>
      </c>
      <c r="F174" s="22"/>
      <c r="G174" s="15">
        <f t="shared" si="12"/>
        <v>0</v>
      </c>
      <c r="H174" s="14"/>
      <c r="I174" s="15">
        <f t="shared" si="14"/>
        <v>3.75</v>
      </c>
      <c r="J174" s="14"/>
      <c r="K174" s="13"/>
    </row>
    <row r="175" spans="1:11" ht="12.6" customHeight="1" x14ac:dyDescent="0.2">
      <c r="A175" s="13"/>
      <c r="B175" s="19"/>
      <c r="C175" s="15"/>
      <c r="D175" s="14"/>
      <c r="E175" s="15">
        <f t="shared" si="13"/>
        <v>7.75</v>
      </c>
      <c r="F175" s="22"/>
      <c r="G175" s="15">
        <f t="shared" si="12"/>
        <v>0</v>
      </c>
      <c r="H175" s="34"/>
      <c r="I175" s="15">
        <f t="shared" si="14"/>
        <v>3.75</v>
      </c>
      <c r="J175" s="14"/>
      <c r="K175" s="13"/>
    </row>
    <row r="176" spans="1:11" ht="12.6" customHeight="1" x14ac:dyDescent="0.2">
      <c r="A176" s="13"/>
      <c r="B176" s="19"/>
      <c r="C176" s="15"/>
      <c r="D176" s="14"/>
      <c r="E176" s="15">
        <f t="shared" si="13"/>
        <v>7.75</v>
      </c>
      <c r="F176" s="14"/>
      <c r="G176" s="15">
        <f t="shared" si="12"/>
        <v>0</v>
      </c>
      <c r="H176" s="32"/>
      <c r="I176" s="15">
        <f t="shared" si="14"/>
        <v>3.75</v>
      </c>
      <c r="J176" s="14"/>
      <c r="K176" s="16"/>
    </row>
    <row r="177" spans="1:11" ht="12.6" customHeight="1" x14ac:dyDescent="0.2">
      <c r="A177" s="13"/>
      <c r="B177" s="19"/>
      <c r="C177" s="15"/>
      <c r="D177" s="14"/>
      <c r="E177" s="15">
        <f t="shared" si="13"/>
        <v>7.75</v>
      </c>
      <c r="F177" s="14"/>
      <c r="G177" s="15">
        <f t="shared" si="12"/>
        <v>0</v>
      </c>
      <c r="H177" s="34"/>
      <c r="I177" s="15">
        <f t="shared" si="14"/>
        <v>3.75</v>
      </c>
      <c r="J177" s="14"/>
      <c r="K177" s="16"/>
    </row>
    <row r="178" spans="1:11" ht="12.6" customHeight="1" x14ac:dyDescent="0.2">
      <c r="A178" s="13"/>
      <c r="B178" s="19"/>
      <c r="C178" s="15"/>
      <c r="D178" s="14"/>
      <c r="E178" s="15">
        <f t="shared" si="13"/>
        <v>7.75</v>
      </c>
      <c r="F178" s="14"/>
      <c r="G178" s="15">
        <f t="shared" si="12"/>
        <v>0</v>
      </c>
      <c r="H178" s="34"/>
      <c r="I178" s="15">
        <f t="shared" si="14"/>
        <v>3.75</v>
      </c>
      <c r="J178" s="14"/>
      <c r="K178" s="13"/>
    </row>
    <row r="179" spans="1:11" ht="12.6" customHeight="1" x14ac:dyDescent="0.2">
      <c r="A179" s="13"/>
      <c r="B179" s="19"/>
      <c r="C179" s="15"/>
      <c r="D179" s="14"/>
      <c r="E179" s="15">
        <f t="shared" si="13"/>
        <v>7.75</v>
      </c>
      <c r="F179" s="14"/>
      <c r="G179" s="15">
        <f t="shared" si="12"/>
        <v>0</v>
      </c>
      <c r="H179" s="34"/>
      <c r="I179" s="15">
        <f t="shared" si="14"/>
        <v>3.75</v>
      </c>
      <c r="J179" s="14"/>
      <c r="K179" s="16"/>
    </row>
    <row r="180" spans="1:11" ht="12.6" customHeight="1" x14ac:dyDescent="0.2">
      <c r="A180" s="13"/>
      <c r="B180" s="19"/>
      <c r="C180" s="15"/>
      <c r="D180" s="14"/>
      <c r="E180" s="15">
        <f t="shared" si="13"/>
        <v>7.75</v>
      </c>
      <c r="F180" s="14"/>
      <c r="G180" s="15">
        <f t="shared" si="12"/>
        <v>0</v>
      </c>
      <c r="H180" s="34"/>
      <c r="I180" s="15">
        <f t="shared" si="14"/>
        <v>3.75</v>
      </c>
      <c r="J180" s="14"/>
      <c r="K180" s="13"/>
    </row>
    <row r="181" spans="1:11" ht="12.6" customHeight="1" x14ac:dyDescent="0.2">
      <c r="A181" s="13"/>
      <c r="B181" s="19"/>
      <c r="C181" s="15"/>
      <c r="D181" s="14"/>
      <c r="E181" s="15">
        <f t="shared" si="13"/>
        <v>7.75</v>
      </c>
      <c r="F181" s="14"/>
      <c r="G181" s="15">
        <f t="shared" si="12"/>
        <v>0</v>
      </c>
      <c r="H181" s="34"/>
      <c r="I181" s="15">
        <f t="shared" si="14"/>
        <v>3.75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0</v>
      </c>
      <c r="D182" s="15">
        <f>SUM(D156:D181)</f>
        <v>0</v>
      </c>
      <c r="E182" s="36"/>
      <c r="F182" s="37"/>
      <c r="G182" s="15">
        <f>SUM(G156:G181)</f>
        <v>0</v>
      </c>
      <c r="H182" s="15">
        <f>SUM(H156:H181)</f>
        <v>0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 t="str">
        <f>A1</f>
        <v>STEPHANINE ANN C. TOLENTINO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 t="str">
        <f>K1</f>
        <v>3/25/2010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/>
      <c r="C191" s="15"/>
      <c r="D191" s="14"/>
      <c r="E191" s="15">
        <f>E181+C191-D191</f>
        <v>7.75</v>
      </c>
      <c r="F191" s="14"/>
      <c r="G191" s="15">
        <f>C191</f>
        <v>0</v>
      </c>
      <c r="H191" s="34"/>
      <c r="I191" s="15">
        <f>I181+G191-H191</f>
        <v>3.75</v>
      </c>
      <c r="J191" s="14"/>
      <c r="K191" s="13"/>
    </row>
    <row r="192" spans="1:11" ht="12.6" customHeight="1" x14ac:dyDescent="0.2">
      <c r="A192" s="13"/>
      <c r="B192" s="19"/>
      <c r="C192" s="15"/>
      <c r="D192" s="14"/>
      <c r="E192" s="15">
        <f>E191+C192-D192</f>
        <v>7.75</v>
      </c>
      <c r="F192" s="14"/>
      <c r="G192" s="15">
        <f t="shared" ref="G192:G216" si="15">C192</f>
        <v>0</v>
      </c>
      <c r="H192" s="34"/>
      <c r="I192" s="15">
        <f>I191+G192-H192</f>
        <v>3.75</v>
      </c>
      <c r="J192" s="14"/>
      <c r="K192" s="13"/>
    </row>
    <row r="193" spans="1:11" ht="12.6" customHeight="1" x14ac:dyDescent="0.2">
      <c r="A193" s="13"/>
      <c r="B193" s="19"/>
      <c r="C193" s="15"/>
      <c r="D193" s="14"/>
      <c r="E193" s="15">
        <f t="shared" ref="E193:E216" si="16">E192+C193-D193</f>
        <v>7.75</v>
      </c>
      <c r="F193" s="22"/>
      <c r="G193" s="15">
        <f t="shared" si="15"/>
        <v>0</v>
      </c>
      <c r="H193" s="34"/>
      <c r="I193" s="15">
        <f t="shared" ref="I193:I216" si="17">I192+G193-H193</f>
        <v>3.75</v>
      </c>
      <c r="J193" s="14"/>
      <c r="K193" s="38"/>
    </row>
    <row r="194" spans="1:11" ht="12.6" customHeight="1" x14ac:dyDescent="0.2">
      <c r="A194" s="13"/>
      <c r="B194" s="19"/>
      <c r="C194" s="15"/>
      <c r="D194" s="14"/>
      <c r="E194" s="15">
        <f t="shared" si="16"/>
        <v>7.75</v>
      </c>
      <c r="F194" s="14"/>
      <c r="G194" s="15">
        <f t="shared" si="15"/>
        <v>0</v>
      </c>
      <c r="H194" s="34"/>
      <c r="I194" s="15">
        <f t="shared" si="17"/>
        <v>3.75</v>
      </c>
      <c r="J194" s="14"/>
      <c r="K194" s="13"/>
    </row>
    <row r="195" spans="1:11" ht="12.6" customHeight="1" x14ac:dyDescent="0.2">
      <c r="A195" s="13"/>
      <c r="B195" s="19"/>
      <c r="C195" s="15"/>
      <c r="D195" s="14"/>
      <c r="E195" s="15">
        <f t="shared" si="16"/>
        <v>7.75</v>
      </c>
      <c r="F195" s="14"/>
      <c r="G195" s="15">
        <f t="shared" si="15"/>
        <v>0</v>
      </c>
      <c r="H195" s="34"/>
      <c r="I195" s="15">
        <f t="shared" si="17"/>
        <v>3.75</v>
      </c>
      <c r="J195" s="14"/>
      <c r="K195" s="13"/>
    </row>
    <row r="196" spans="1:11" ht="12.6" customHeight="1" x14ac:dyDescent="0.2">
      <c r="A196" s="13"/>
      <c r="B196" s="19"/>
      <c r="C196" s="15"/>
      <c r="D196" s="14"/>
      <c r="E196" s="15">
        <f t="shared" si="16"/>
        <v>7.75</v>
      </c>
      <c r="F196" s="14"/>
      <c r="G196" s="15">
        <f t="shared" si="15"/>
        <v>0</v>
      </c>
      <c r="H196" s="34"/>
      <c r="I196" s="15">
        <f t="shared" si="17"/>
        <v>3.75</v>
      </c>
      <c r="J196" s="14"/>
      <c r="K196" s="13"/>
    </row>
    <row r="197" spans="1:11" ht="12.6" customHeight="1" x14ac:dyDescent="0.2">
      <c r="A197" s="13"/>
      <c r="B197" s="19"/>
      <c r="C197" s="15"/>
      <c r="D197" s="14"/>
      <c r="E197" s="15">
        <f t="shared" si="16"/>
        <v>7.75</v>
      </c>
      <c r="F197" s="14"/>
      <c r="G197" s="15">
        <f t="shared" si="15"/>
        <v>0</v>
      </c>
      <c r="H197" s="34"/>
      <c r="I197" s="15">
        <f t="shared" si="17"/>
        <v>3.75</v>
      </c>
      <c r="J197" s="14"/>
      <c r="K197" s="13"/>
    </row>
    <row r="198" spans="1:11" ht="12.6" customHeight="1" x14ac:dyDescent="0.2">
      <c r="A198" s="13"/>
      <c r="B198" s="19"/>
      <c r="C198" s="15"/>
      <c r="D198" s="22"/>
      <c r="E198" s="15">
        <f t="shared" si="16"/>
        <v>7.75</v>
      </c>
      <c r="F198" s="22"/>
      <c r="G198" s="15">
        <f t="shared" si="15"/>
        <v>0</v>
      </c>
      <c r="H198" s="34"/>
      <c r="I198" s="15">
        <f t="shared" si="17"/>
        <v>3.75</v>
      </c>
      <c r="J198" s="14"/>
      <c r="K198" s="16"/>
    </row>
    <row r="199" spans="1:11" ht="12.6" customHeight="1" x14ac:dyDescent="0.2">
      <c r="A199" s="13"/>
      <c r="B199" s="19"/>
      <c r="C199" s="15"/>
      <c r="D199" s="22"/>
      <c r="E199" s="15">
        <f t="shared" si="16"/>
        <v>7.75</v>
      </c>
      <c r="F199" s="14"/>
      <c r="G199" s="15">
        <f t="shared" si="15"/>
        <v>0</v>
      </c>
      <c r="H199" s="34"/>
      <c r="I199" s="15">
        <f t="shared" si="17"/>
        <v>3.75</v>
      </c>
      <c r="J199" s="14"/>
      <c r="K199" s="16"/>
    </row>
    <row r="200" spans="1:11" ht="12.6" customHeight="1" x14ac:dyDescent="0.2">
      <c r="A200" s="13"/>
      <c r="B200" s="19"/>
      <c r="C200" s="15"/>
      <c r="D200" s="14"/>
      <c r="E200" s="15">
        <f t="shared" si="16"/>
        <v>7.75</v>
      </c>
      <c r="F200" s="14"/>
      <c r="G200" s="15">
        <f t="shared" si="15"/>
        <v>0</v>
      </c>
      <c r="H200" s="34"/>
      <c r="I200" s="15">
        <f t="shared" si="17"/>
        <v>3.75</v>
      </c>
      <c r="J200" s="14"/>
      <c r="K200" s="13"/>
    </row>
    <row r="201" spans="1:11" ht="12.6" customHeight="1" x14ac:dyDescent="0.2">
      <c r="A201" s="13"/>
      <c r="B201" s="19"/>
      <c r="C201" s="15"/>
      <c r="D201" s="22"/>
      <c r="E201" s="15">
        <f t="shared" si="16"/>
        <v>7.75</v>
      </c>
      <c r="F201" s="22"/>
      <c r="G201" s="15">
        <f t="shared" si="15"/>
        <v>0</v>
      </c>
      <c r="H201" s="34"/>
      <c r="I201" s="15">
        <f t="shared" si="17"/>
        <v>3.75</v>
      </c>
      <c r="J201" s="14"/>
      <c r="K201" s="13"/>
    </row>
    <row r="202" spans="1:11" ht="12.6" customHeight="1" x14ac:dyDescent="0.2">
      <c r="A202" s="13"/>
      <c r="B202" s="19"/>
      <c r="C202" s="15"/>
      <c r="D202" s="14"/>
      <c r="E202" s="15">
        <f t="shared" si="16"/>
        <v>7.75</v>
      </c>
      <c r="F202" s="22"/>
      <c r="G202" s="15">
        <f t="shared" si="15"/>
        <v>0</v>
      </c>
      <c r="H202" s="34"/>
      <c r="I202" s="15">
        <f t="shared" si="17"/>
        <v>3.75</v>
      </c>
      <c r="J202" s="14"/>
      <c r="K202" s="13"/>
    </row>
    <row r="203" spans="1:11" ht="12.6" customHeight="1" x14ac:dyDescent="0.2">
      <c r="A203" s="13"/>
      <c r="B203" s="19"/>
      <c r="C203" s="15"/>
      <c r="D203" s="14"/>
      <c r="E203" s="15">
        <f t="shared" si="16"/>
        <v>7.75</v>
      </c>
      <c r="F203" s="14"/>
      <c r="G203" s="15">
        <f t="shared" si="15"/>
        <v>0</v>
      </c>
      <c r="H203" s="34"/>
      <c r="I203" s="15">
        <f t="shared" si="17"/>
        <v>3.75</v>
      </c>
      <c r="J203" s="14"/>
      <c r="K203" s="16"/>
    </row>
    <row r="204" spans="1:11" ht="12.6" customHeight="1" x14ac:dyDescent="0.2">
      <c r="A204" s="13"/>
      <c r="B204" s="19"/>
      <c r="C204" s="15"/>
      <c r="D204" s="14"/>
      <c r="E204" s="15">
        <f t="shared" si="16"/>
        <v>7.75</v>
      </c>
      <c r="F204" s="22"/>
      <c r="G204" s="15">
        <f t="shared" si="15"/>
        <v>0</v>
      </c>
      <c r="H204" s="34"/>
      <c r="I204" s="15">
        <f t="shared" si="17"/>
        <v>3.75</v>
      </c>
      <c r="J204" s="14"/>
      <c r="K204" s="13"/>
    </row>
    <row r="205" spans="1:11" ht="12.6" customHeight="1" x14ac:dyDescent="0.2">
      <c r="A205" s="13"/>
      <c r="B205" s="19"/>
      <c r="C205" s="15"/>
      <c r="D205" s="14"/>
      <c r="E205" s="15">
        <f t="shared" si="16"/>
        <v>7.75</v>
      </c>
      <c r="F205" s="14"/>
      <c r="G205" s="15">
        <f t="shared" si="15"/>
        <v>0</v>
      </c>
      <c r="H205" s="34"/>
      <c r="I205" s="15">
        <f t="shared" si="17"/>
        <v>3.75</v>
      </c>
      <c r="J205" s="14"/>
      <c r="K205" s="16"/>
    </row>
    <row r="206" spans="1:11" ht="12.6" customHeight="1" x14ac:dyDescent="0.2">
      <c r="A206" s="13"/>
      <c r="B206" s="19"/>
      <c r="C206" s="15"/>
      <c r="D206" s="22"/>
      <c r="E206" s="15">
        <f t="shared" si="16"/>
        <v>7.75</v>
      </c>
      <c r="F206" s="14"/>
      <c r="G206" s="15">
        <f t="shared" si="15"/>
        <v>0</v>
      </c>
      <c r="H206" s="34"/>
      <c r="I206" s="15">
        <f t="shared" si="17"/>
        <v>3.75</v>
      </c>
      <c r="J206" s="14"/>
      <c r="K206" s="16"/>
    </row>
    <row r="207" spans="1:11" ht="12.6" customHeight="1" x14ac:dyDescent="0.2">
      <c r="A207" s="13"/>
      <c r="B207" s="19"/>
      <c r="C207" s="15"/>
      <c r="D207" s="22"/>
      <c r="E207" s="15">
        <f t="shared" si="16"/>
        <v>7.75</v>
      </c>
      <c r="F207" s="14"/>
      <c r="G207" s="15">
        <f t="shared" si="15"/>
        <v>0</v>
      </c>
      <c r="H207" s="34"/>
      <c r="I207" s="15">
        <f t="shared" si="17"/>
        <v>3.75</v>
      </c>
      <c r="J207" s="14"/>
      <c r="K207" s="13"/>
    </row>
    <row r="208" spans="1:11" ht="12.6" customHeight="1" x14ac:dyDescent="0.2">
      <c r="A208" s="13"/>
      <c r="B208" s="19"/>
      <c r="C208" s="15"/>
      <c r="D208" s="14"/>
      <c r="E208" s="15">
        <f t="shared" si="16"/>
        <v>7.75</v>
      </c>
      <c r="F208" s="14"/>
      <c r="G208" s="15">
        <f t="shared" si="15"/>
        <v>0</v>
      </c>
      <c r="H208" s="34"/>
      <c r="I208" s="15">
        <f t="shared" si="17"/>
        <v>3.75</v>
      </c>
      <c r="J208" s="14"/>
      <c r="K208" s="13"/>
    </row>
    <row r="209" spans="1:11" ht="12.6" customHeight="1" x14ac:dyDescent="0.2">
      <c r="A209" s="13"/>
      <c r="B209" s="19"/>
      <c r="C209" s="15"/>
      <c r="D209" s="14"/>
      <c r="E209" s="15">
        <f t="shared" si="16"/>
        <v>7.75</v>
      </c>
      <c r="F209" s="22"/>
      <c r="G209" s="15">
        <f t="shared" si="15"/>
        <v>0</v>
      </c>
      <c r="H209" s="34"/>
      <c r="I209" s="15">
        <f t="shared" si="17"/>
        <v>3.75</v>
      </c>
      <c r="J209" s="14"/>
      <c r="K209" s="16"/>
    </row>
    <row r="210" spans="1:11" ht="12.6" customHeight="1" x14ac:dyDescent="0.2">
      <c r="A210" s="13"/>
      <c r="B210" s="19"/>
      <c r="C210" s="15"/>
      <c r="D210" s="14"/>
      <c r="E210" s="15">
        <f t="shared" si="16"/>
        <v>7.75</v>
      </c>
      <c r="F210" s="22"/>
      <c r="G210" s="15">
        <f t="shared" si="15"/>
        <v>0</v>
      </c>
      <c r="H210" s="34"/>
      <c r="I210" s="15">
        <f t="shared" si="17"/>
        <v>3.75</v>
      </c>
      <c r="J210" s="14"/>
      <c r="K210" s="13"/>
    </row>
    <row r="211" spans="1:11" ht="12.6" customHeight="1" x14ac:dyDescent="0.2">
      <c r="A211" s="13"/>
      <c r="B211" s="19"/>
      <c r="C211" s="15"/>
      <c r="D211" s="14"/>
      <c r="E211" s="15">
        <f t="shared" si="16"/>
        <v>7.75</v>
      </c>
      <c r="F211" s="14"/>
      <c r="G211" s="15">
        <f t="shared" si="15"/>
        <v>0</v>
      </c>
      <c r="H211" s="34"/>
      <c r="I211" s="15">
        <f t="shared" si="17"/>
        <v>3.75</v>
      </c>
      <c r="J211" s="14"/>
      <c r="K211" s="16"/>
    </row>
    <row r="212" spans="1:11" ht="12.6" customHeight="1" x14ac:dyDescent="0.2">
      <c r="A212" s="13"/>
      <c r="B212" s="19"/>
      <c r="C212" s="15"/>
      <c r="D212" s="14"/>
      <c r="E212" s="15">
        <f t="shared" si="16"/>
        <v>7.75</v>
      </c>
      <c r="F212" s="14"/>
      <c r="G212" s="15">
        <f t="shared" si="15"/>
        <v>0</v>
      </c>
      <c r="H212" s="34"/>
      <c r="I212" s="15">
        <f t="shared" si="17"/>
        <v>3.75</v>
      </c>
      <c r="J212" s="14"/>
      <c r="K212" s="13"/>
    </row>
    <row r="213" spans="1:11" ht="12.6" customHeight="1" x14ac:dyDescent="0.2">
      <c r="A213" s="13"/>
      <c r="B213" s="19"/>
      <c r="C213" s="15"/>
      <c r="D213" s="14"/>
      <c r="E213" s="15">
        <f t="shared" si="16"/>
        <v>7.75</v>
      </c>
      <c r="F213" s="14"/>
      <c r="G213" s="15">
        <f t="shared" si="15"/>
        <v>0</v>
      </c>
      <c r="H213" s="34"/>
      <c r="I213" s="15">
        <f t="shared" si="17"/>
        <v>3.75</v>
      </c>
      <c r="J213" s="14"/>
      <c r="K213" s="13"/>
    </row>
    <row r="214" spans="1:11" ht="12.6" customHeight="1" x14ac:dyDescent="0.2">
      <c r="A214" s="13"/>
      <c r="B214" s="19"/>
      <c r="C214" s="15"/>
      <c r="D214" s="14"/>
      <c r="E214" s="15">
        <f t="shared" si="16"/>
        <v>7.75</v>
      </c>
      <c r="F214" s="14"/>
      <c r="G214" s="15">
        <f t="shared" si="15"/>
        <v>0</v>
      </c>
      <c r="H214" s="14"/>
      <c r="I214" s="15">
        <f t="shared" si="17"/>
        <v>3.75</v>
      </c>
      <c r="J214" s="14"/>
      <c r="K214" s="16"/>
    </row>
    <row r="215" spans="1:11" ht="12.6" customHeight="1" x14ac:dyDescent="0.2">
      <c r="A215" s="13"/>
      <c r="B215" s="19"/>
      <c r="C215" s="15"/>
      <c r="D215" s="14"/>
      <c r="E215" s="15">
        <f t="shared" si="16"/>
        <v>7.75</v>
      </c>
      <c r="F215" s="14"/>
      <c r="G215" s="15">
        <f t="shared" si="15"/>
        <v>0</v>
      </c>
      <c r="H215" s="14"/>
      <c r="I215" s="15">
        <f t="shared" si="17"/>
        <v>3.75</v>
      </c>
      <c r="J215" s="14"/>
      <c r="K215" s="13"/>
    </row>
    <row r="216" spans="1:11" ht="12.6" customHeight="1" x14ac:dyDescent="0.2">
      <c r="A216" s="13"/>
      <c r="B216" s="19"/>
      <c r="C216" s="15"/>
      <c r="D216" s="14"/>
      <c r="E216" s="15">
        <f t="shared" si="16"/>
        <v>7.75</v>
      </c>
      <c r="F216" s="14"/>
      <c r="G216" s="15">
        <f t="shared" si="15"/>
        <v>0</v>
      </c>
      <c r="H216" s="14"/>
      <c r="I216" s="15">
        <f t="shared" si="17"/>
        <v>3.75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0</v>
      </c>
      <c r="D217" s="15">
        <f>SUM(D191:D216)</f>
        <v>0</v>
      </c>
      <c r="E217" s="36"/>
      <c r="F217" s="39"/>
      <c r="G217" s="15">
        <f>SUM(G191:G216)</f>
        <v>0</v>
      </c>
      <c r="H217" s="15">
        <f>SUM(H191:H216)</f>
        <v>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 t="str">
        <f>A1</f>
        <v>STEPHANINE ANN C. TOLENTINO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 t="str">
        <f>K1</f>
        <v>3/25/2010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/>
      <c r="C230" s="15"/>
      <c r="D230" s="14"/>
      <c r="E230" s="15">
        <f>E216+C230-D230</f>
        <v>7.75</v>
      </c>
      <c r="F230" s="14"/>
      <c r="G230" s="15">
        <f>C230</f>
        <v>0</v>
      </c>
      <c r="H230" s="14"/>
      <c r="I230" s="15">
        <f>I216+G230-H230</f>
        <v>3.75</v>
      </c>
      <c r="J230" s="14"/>
      <c r="K230" s="16"/>
    </row>
    <row r="231" spans="1:11" ht="12.6" customHeight="1" x14ac:dyDescent="0.2">
      <c r="A231" s="13"/>
      <c r="B231" s="19"/>
      <c r="C231" s="15"/>
      <c r="D231" s="14"/>
      <c r="E231" s="15">
        <f>E230+C231-D231</f>
        <v>7.75</v>
      </c>
      <c r="F231" s="14"/>
      <c r="G231" s="15">
        <f t="shared" ref="G231:G255" si="18">C231</f>
        <v>0</v>
      </c>
      <c r="H231" s="14"/>
      <c r="I231" s="15">
        <f>I230+G231-H231</f>
        <v>3.75</v>
      </c>
      <c r="J231" s="14"/>
      <c r="K231" s="13"/>
    </row>
    <row r="232" spans="1:11" ht="12.6" customHeight="1" x14ac:dyDescent="0.2">
      <c r="A232" s="13"/>
      <c r="B232" s="19"/>
      <c r="C232" s="15"/>
      <c r="D232" s="14"/>
      <c r="E232" s="15">
        <f t="shared" ref="E232:E255" si="19">E231+C232-D232</f>
        <v>7.75</v>
      </c>
      <c r="F232" s="14"/>
      <c r="G232" s="15">
        <f t="shared" si="18"/>
        <v>0</v>
      </c>
      <c r="H232" s="14"/>
      <c r="I232" s="15">
        <f t="shared" ref="I232:I255" si="20">I231+G232-H232</f>
        <v>3.75</v>
      </c>
      <c r="J232" s="14"/>
      <c r="K232" s="13"/>
    </row>
    <row r="233" spans="1:11" ht="12.6" customHeight="1" x14ac:dyDescent="0.2">
      <c r="A233" s="13"/>
      <c r="B233" s="19"/>
      <c r="C233" s="15"/>
      <c r="D233" s="14"/>
      <c r="E233" s="15">
        <f t="shared" si="19"/>
        <v>7.75</v>
      </c>
      <c r="F233" s="14"/>
      <c r="G233" s="15">
        <f t="shared" si="18"/>
        <v>0</v>
      </c>
      <c r="H233" s="14"/>
      <c r="I233" s="15">
        <f t="shared" si="20"/>
        <v>3.75</v>
      </c>
      <c r="J233" s="14"/>
      <c r="K233" s="16"/>
    </row>
    <row r="234" spans="1:11" ht="12.6" customHeight="1" x14ac:dyDescent="0.2">
      <c r="A234" s="13"/>
      <c r="B234" s="19"/>
      <c r="C234" s="15"/>
      <c r="D234" s="14"/>
      <c r="E234" s="15">
        <f t="shared" si="19"/>
        <v>7.75</v>
      </c>
      <c r="F234" s="14"/>
      <c r="G234" s="15">
        <f t="shared" si="18"/>
        <v>0</v>
      </c>
      <c r="H234" s="14"/>
      <c r="I234" s="15">
        <f t="shared" si="20"/>
        <v>3.75</v>
      </c>
      <c r="J234" s="14"/>
      <c r="K234" s="13"/>
    </row>
    <row r="235" spans="1:11" ht="12.6" customHeight="1" x14ac:dyDescent="0.2">
      <c r="A235" s="13"/>
      <c r="B235" s="19"/>
      <c r="C235" s="15"/>
      <c r="D235" s="14"/>
      <c r="E235" s="15">
        <f t="shared" si="19"/>
        <v>7.75</v>
      </c>
      <c r="F235" s="14"/>
      <c r="G235" s="15">
        <f t="shared" si="18"/>
        <v>0</v>
      </c>
      <c r="H235" s="14"/>
      <c r="I235" s="15">
        <f t="shared" si="20"/>
        <v>3.75</v>
      </c>
      <c r="J235" s="14"/>
      <c r="K235" s="16"/>
    </row>
    <row r="236" spans="1:11" ht="12.6" customHeight="1" x14ac:dyDescent="0.2">
      <c r="A236" s="13"/>
      <c r="B236" s="19"/>
      <c r="C236" s="15"/>
      <c r="D236" s="14"/>
      <c r="E236" s="15">
        <f t="shared" si="19"/>
        <v>7.75</v>
      </c>
      <c r="F236" s="14"/>
      <c r="G236" s="15">
        <f t="shared" si="18"/>
        <v>0</v>
      </c>
      <c r="H236" s="14"/>
      <c r="I236" s="15">
        <f t="shared" si="20"/>
        <v>3.75</v>
      </c>
      <c r="J236" s="14"/>
      <c r="K236" s="13"/>
    </row>
    <row r="237" spans="1:11" ht="12.6" customHeight="1" x14ac:dyDescent="0.2">
      <c r="A237" s="13"/>
      <c r="B237" s="19"/>
      <c r="C237" s="15"/>
      <c r="D237" s="14"/>
      <c r="E237" s="15">
        <f t="shared" si="19"/>
        <v>7.75</v>
      </c>
      <c r="F237" s="14"/>
      <c r="G237" s="15">
        <f t="shared" si="18"/>
        <v>0</v>
      </c>
      <c r="H237" s="14"/>
      <c r="I237" s="15">
        <f t="shared" si="20"/>
        <v>3.75</v>
      </c>
      <c r="J237" s="14"/>
      <c r="K237" s="13"/>
    </row>
    <row r="238" spans="1:11" ht="12.6" customHeight="1" x14ac:dyDescent="0.2">
      <c r="A238" s="13"/>
      <c r="B238" s="19"/>
      <c r="C238" s="15"/>
      <c r="D238" s="14"/>
      <c r="E238" s="15">
        <f t="shared" si="19"/>
        <v>7.75</v>
      </c>
      <c r="F238" s="14"/>
      <c r="G238" s="15">
        <f t="shared" si="18"/>
        <v>0</v>
      </c>
      <c r="H238" s="14"/>
      <c r="I238" s="15">
        <f t="shared" si="20"/>
        <v>3.75</v>
      </c>
      <c r="J238" s="14"/>
      <c r="K238" s="16"/>
    </row>
    <row r="239" spans="1:11" ht="12.6" customHeight="1" x14ac:dyDescent="0.2">
      <c r="A239" s="13"/>
      <c r="B239" s="19"/>
      <c r="C239" s="15"/>
      <c r="D239" s="14"/>
      <c r="E239" s="15">
        <f t="shared" si="19"/>
        <v>7.75</v>
      </c>
      <c r="F239" s="14"/>
      <c r="G239" s="15">
        <f t="shared" si="18"/>
        <v>0</v>
      </c>
      <c r="H239" s="14"/>
      <c r="I239" s="15">
        <f t="shared" si="20"/>
        <v>3.75</v>
      </c>
      <c r="J239" s="14"/>
      <c r="K239" s="13"/>
    </row>
    <row r="240" spans="1:11" ht="12.6" customHeight="1" x14ac:dyDescent="0.2">
      <c r="A240" s="13"/>
      <c r="B240" s="19"/>
      <c r="C240" s="15"/>
      <c r="D240" s="14"/>
      <c r="E240" s="15">
        <f t="shared" si="19"/>
        <v>7.75</v>
      </c>
      <c r="F240" s="14"/>
      <c r="G240" s="15">
        <f t="shared" si="18"/>
        <v>0</v>
      </c>
      <c r="H240" s="14"/>
      <c r="I240" s="15">
        <f t="shared" si="20"/>
        <v>3.75</v>
      </c>
      <c r="J240" s="14"/>
      <c r="K240" s="16"/>
    </row>
    <row r="241" spans="1:11" ht="12.6" customHeight="1" x14ac:dyDescent="0.2">
      <c r="A241" s="13"/>
      <c r="B241" s="19"/>
      <c r="C241" s="15"/>
      <c r="D241" s="14"/>
      <c r="E241" s="15">
        <f t="shared" si="19"/>
        <v>7.75</v>
      </c>
      <c r="F241" s="14"/>
      <c r="G241" s="15">
        <f t="shared" si="18"/>
        <v>0</v>
      </c>
      <c r="H241" s="14"/>
      <c r="I241" s="15">
        <f t="shared" si="20"/>
        <v>3.75</v>
      </c>
      <c r="J241" s="14"/>
      <c r="K241" s="13"/>
    </row>
    <row r="242" spans="1:11" ht="12.6" customHeight="1" x14ac:dyDescent="0.2">
      <c r="A242" s="13"/>
      <c r="B242" s="19"/>
      <c r="C242" s="15"/>
      <c r="D242" s="14"/>
      <c r="E242" s="15">
        <f t="shared" si="19"/>
        <v>7.75</v>
      </c>
      <c r="F242" s="14"/>
      <c r="G242" s="15">
        <f t="shared" si="18"/>
        <v>0</v>
      </c>
      <c r="H242" s="14"/>
      <c r="I242" s="15">
        <f t="shared" si="20"/>
        <v>3.75</v>
      </c>
      <c r="J242" s="14"/>
      <c r="K242" s="13"/>
    </row>
    <row r="243" spans="1:11" ht="12.6" customHeight="1" x14ac:dyDescent="0.2">
      <c r="A243" s="13"/>
      <c r="B243" s="19"/>
      <c r="C243" s="15"/>
      <c r="D243" s="14"/>
      <c r="E243" s="15">
        <f t="shared" si="19"/>
        <v>7.75</v>
      </c>
      <c r="F243" s="14"/>
      <c r="G243" s="15">
        <f t="shared" si="18"/>
        <v>0</v>
      </c>
      <c r="H243" s="14"/>
      <c r="I243" s="15">
        <f t="shared" si="20"/>
        <v>3.75</v>
      </c>
      <c r="J243" s="14"/>
      <c r="K243" s="13"/>
    </row>
    <row r="244" spans="1:11" ht="12.6" customHeight="1" x14ac:dyDescent="0.2">
      <c r="A244" s="13"/>
      <c r="B244" s="19"/>
      <c r="C244" s="15"/>
      <c r="D244" s="14"/>
      <c r="E244" s="15">
        <f t="shared" si="19"/>
        <v>7.75</v>
      </c>
      <c r="F244" s="14"/>
      <c r="G244" s="15">
        <f t="shared" si="18"/>
        <v>0</v>
      </c>
      <c r="H244" s="14"/>
      <c r="I244" s="15">
        <f t="shared" si="20"/>
        <v>3.75</v>
      </c>
      <c r="J244" s="14"/>
      <c r="K244" s="13"/>
    </row>
    <row r="245" spans="1:11" ht="12.6" customHeight="1" x14ac:dyDescent="0.2">
      <c r="A245" s="13"/>
      <c r="B245" s="19"/>
      <c r="C245" s="15"/>
      <c r="D245" s="14"/>
      <c r="E245" s="15">
        <f t="shared" si="19"/>
        <v>7.75</v>
      </c>
      <c r="F245" s="14"/>
      <c r="G245" s="15">
        <f t="shared" si="18"/>
        <v>0</v>
      </c>
      <c r="H245" s="14"/>
      <c r="I245" s="15">
        <f t="shared" si="20"/>
        <v>3.75</v>
      </c>
      <c r="J245" s="14"/>
      <c r="K245" s="13"/>
    </row>
    <row r="246" spans="1:11" ht="12.6" customHeight="1" x14ac:dyDescent="0.2">
      <c r="A246" s="16"/>
      <c r="B246" s="19"/>
      <c r="C246" s="15"/>
      <c r="D246" s="14"/>
      <c r="E246" s="15">
        <f t="shared" si="19"/>
        <v>7.75</v>
      </c>
      <c r="F246" s="14"/>
      <c r="G246" s="15">
        <f t="shared" si="18"/>
        <v>0</v>
      </c>
      <c r="H246" s="14"/>
      <c r="I246" s="15">
        <f t="shared" si="20"/>
        <v>3.75</v>
      </c>
      <c r="J246" s="14"/>
      <c r="K246" s="13"/>
    </row>
    <row r="247" spans="1:11" ht="12.6" customHeight="1" x14ac:dyDescent="0.2">
      <c r="A247" s="13"/>
      <c r="B247" s="19"/>
      <c r="C247" s="15"/>
      <c r="D247" s="15"/>
      <c r="E247" s="15">
        <f t="shared" si="19"/>
        <v>7.75</v>
      </c>
      <c r="F247" s="14"/>
      <c r="G247" s="15">
        <f t="shared" si="18"/>
        <v>0</v>
      </c>
      <c r="H247" s="14"/>
      <c r="I247" s="15">
        <f t="shared" si="20"/>
        <v>3.75</v>
      </c>
      <c r="J247" s="14"/>
      <c r="K247" s="13"/>
    </row>
    <row r="248" spans="1:11" ht="12.6" customHeight="1" x14ac:dyDescent="0.2">
      <c r="A248" s="13"/>
      <c r="B248" s="19"/>
      <c r="C248" s="15"/>
      <c r="D248" s="14"/>
      <c r="E248" s="15">
        <f t="shared" si="19"/>
        <v>7.75</v>
      </c>
      <c r="F248" s="14"/>
      <c r="G248" s="15">
        <f t="shared" si="18"/>
        <v>0</v>
      </c>
      <c r="H248" s="14"/>
      <c r="I248" s="15">
        <f t="shared" si="20"/>
        <v>3.75</v>
      </c>
      <c r="J248" s="14"/>
      <c r="K248" s="13"/>
    </row>
    <row r="249" spans="1:11" ht="12.6" customHeight="1" x14ac:dyDescent="0.2">
      <c r="A249" s="16"/>
      <c r="B249" s="19"/>
      <c r="C249" s="15"/>
      <c r="D249" s="15"/>
      <c r="E249" s="15">
        <f t="shared" si="19"/>
        <v>7.75</v>
      </c>
      <c r="F249" s="14"/>
      <c r="G249" s="15">
        <f t="shared" si="18"/>
        <v>0</v>
      </c>
      <c r="H249" s="14"/>
      <c r="I249" s="15">
        <f t="shared" si="20"/>
        <v>3.75</v>
      </c>
      <c r="J249" s="14"/>
      <c r="K249" s="13"/>
    </row>
    <row r="250" spans="1:11" ht="12.6" customHeight="1" x14ac:dyDescent="0.2">
      <c r="A250" s="13"/>
      <c r="B250" s="19"/>
      <c r="C250" s="15"/>
      <c r="D250" s="14"/>
      <c r="E250" s="15">
        <f t="shared" si="19"/>
        <v>7.75</v>
      </c>
      <c r="F250" s="14"/>
      <c r="G250" s="15">
        <f t="shared" si="18"/>
        <v>0</v>
      </c>
      <c r="H250" s="14"/>
      <c r="I250" s="15">
        <f t="shared" si="20"/>
        <v>3.75</v>
      </c>
      <c r="J250" s="14"/>
      <c r="K250" s="16"/>
    </row>
    <row r="251" spans="1:11" ht="12.6" customHeight="1" x14ac:dyDescent="0.2">
      <c r="A251" s="13"/>
      <c r="B251" s="19"/>
      <c r="C251" s="15"/>
      <c r="D251" s="14"/>
      <c r="E251" s="15">
        <f t="shared" si="19"/>
        <v>7.75</v>
      </c>
      <c r="F251" s="14"/>
      <c r="G251" s="15">
        <f t="shared" si="18"/>
        <v>0</v>
      </c>
      <c r="H251" s="14"/>
      <c r="I251" s="15">
        <f t="shared" si="20"/>
        <v>3.75</v>
      </c>
      <c r="J251" s="14"/>
      <c r="K251" s="13"/>
    </row>
    <row r="252" spans="1:11" ht="12.6" customHeight="1" x14ac:dyDescent="0.2">
      <c r="A252" s="13"/>
      <c r="B252" s="19"/>
      <c r="C252" s="15"/>
      <c r="D252" s="14"/>
      <c r="E252" s="15">
        <f t="shared" si="19"/>
        <v>7.75</v>
      </c>
      <c r="F252" s="14"/>
      <c r="G252" s="15">
        <f t="shared" si="18"/>
        <v>0</v>
      </c>
      <c r="H252" s="14"/>
      <c r="I252" s="15">
        <f t="shared" si="20"/>
        <v>3.75</v>
      </c>
      <c r="J252" s="14"/>
      <c r="K252" s="13"/>
    </row>
    <row r="253" spans="1:11" ht="12.6" customHeight="1" x14ac:dyDescent="0.2">
      <c r="A253" s="13"/>
      <c r="B253" s="19"/>
      <c r="C253" s="15"/>
      <c r="D253" s="14"/>
      <c r="E253" s="15">
        <f t="shared" si="19"/>
        <v>7.75</v>
      </c>
      <c r="F253" s="14"/>
      <c r="G253" s="15">
        <f t="shared" si="18"/>
        <v>0</v>
      </c>
      <c r="H253" s="14"/>
      <c r="I253" s="15">
        <f t="shared" si="20"/>
        <v>3.75</v>
      </c>
      <c r="J253" s="14"/>
      <c r="K253" s="13"/>
    </row>
    <row r="254" spans="1:11" ht="12.6" customHeight="1" x14ac:dyDescent="0.2">
      <c r="A254" s="13"/>
      <c r="B254" s="19"/>
      <c r="C254" s="15"/>
      <c r="D254" s="14"/>
      <c r="E254" s="15">
        <f t="shared" si="19"/>
        <v>7.75</v>
      </c>
      <c r="F254" s="14"/>
      <c r="G254" s="15">
        <f t="shared" si="18"/>
        <v>0</v>
      </c>
      <c r="H254" s="14"/>
      <c r="I254" s="15">
        <f t="shared" si="20"/>
        <v>3.75</v>
      </c>
      <c r="J254" s="14"/>
      <c r="K254" s="16"/>
    </row>
    <row r="255" spans="1:11" ht="12.6" customHeight="1" x14ac:dyDescent="0.2">
      <c r="A255" s="13"/>
      <c r="B255" s="19"/>
      <c r="C255" s="15"/>
      <c r="D255" s="14"/>
      <c r="E255" s="15">
        <f t="shared" si="19"/>
        <v>7.75</v>
      </c>
      <c r="F255" s="14"/>
      <c r="G255" s="15">
        <f t="shared" si="18"/>
        <v>0</v>
      </c>
      <c r="H255" s="14"/>
      <c r="I255" s="15">
        <f t="shared" si="20"/>
        <v>3.75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0</v>
      </c>
      <c r="D256" s="36">
        <f>SUM(D230:D255)</f>
        <v>0</v>
      </c>
      <c r="E256" s="36"/>
      <c r="F256" s="37"/>
      <c r="G256" s="36">
        <f>SUM(G230:G255)</f>
        <v>0</v>
      </c>
      <c r="H256" s="36">
        <f>SUM(H230:H255)</f>
        <v>0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 t="str">
        <f>A1</f>
        <v>STEPHANINE ANN C. TOLENTINO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 t="str">
        <f>K1</f>
        <v>3/25/2010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/>
      <c r="C265" s="15"/>
      <c r="D265" s="14"/>
      <c r="E265" s="15">
        <f>E255+C265-D265</f>
        <v>7.75</v>
      </c>
      <c r="F265" s="14"/>
      <c r="G265" s="15">
        <f>C265</f>
        <v>0</v>
      </c>
      <c r="H265" s="14"/>
      <c r="I265" s="15">
        <f>I255+G265-H265</f>
        <v>3.75</v>
      </c>
      <c r="J265" s="14"/>
      <c r="K265" s="16"/>
    </row>
    <row r="266" spans="1:11" ht="12.6" customHeight="1" x14ac:dyDescent="0.2">
      <c r="A266" s="13"/>
      <c r="B266" s="19"/>
      <c r="C266" s="15"/>
      <c r="D266" s="14"/>
      <c r="E266" s="15">
        <f>E265+C266-D266</f>
        <v>7.75</v>
      </c>
      <c r="F266" s="14"/>
      <c r="G266" s="15">
        <f t="shared" ref="G266:G290" si="21">C266</f>
        <v>0</v>
      </c>
      <c r="H266" s="14"/>
      <c r="I266" s="15">
        <f>I265+G266-H266</f>
        <v>3.75</v>
      </c>
      <c r="J266" s="14"/>
      <c r="K266" s="13"/>
    </row>
    <row r="267" spans="1:11" ht="12.6" customHeight="1" x14ac:dyDescent="0.2">
      <c r="A267" s="13"/>
      <c r="B267" s="19"/>
      <c r="C267" s="15"/>
      <c r="D267" s="14"/>
      <c r="E267" s="15">
        <f t="shared" ref="E267:E290" si="22">E266+C267-D267</f>
        <v>7.75</v>
      </c>
      <c r="F267" s="14"/>
      <c r="G267" s="15">
        <f t="shared" si="21"/>
        <v>0</v>
      </c>
      <c r="H267" s="14"/>
      <c r="I267" s="15">
        <f t="shared" ref="I267:I290" si="23">I266+G267-H267</f>
        <v>3.75</v>
      </c>
      <c r="J267" s="14"/>
      <c r="K267" s="13"/>
    </row>
    <row r="268" spans="1:11" ht="12.6" customHeight="1" x14ac:dyDescent="0.2">
      <c r="A268" s="13"/>
      <c r="B268" s="19"/>
      <c r="C268" s="15"/>
      <c r="D268" s="14"/>
      <c r="E268" s="15">
        <f t="shared" si="22"/>
        <v>7.75</v>
      </c>
      <c r="F268" s="14"/>
      <c r="G268" s="15">
        <f t="shared" si="21"/>
        <v>0</v>
      </c>
      <c r="H268" s="14"/>
      <c r="I268" s="15">
        <f t="shared" si="23"/>
        <v>3.75</v>
      </c>
      <c r="J268" s="14"/>
      <c r="K268" s="16"/>
    </row>
    <row r="269" spans="1:11" ht="12.6" customHeight="1" x14ac:dyDescent="0.2">
      <c r="A269" s="13"/>
      <c r="B269" s="19"/>
      <c r="C269" s="15"/>
      <c r="D269" s="14"/>
      <c r="E269" s="15">
        <f t="shared" si="22"/>
        <v>7.75</v>
      </c>
      <c r="F269" s="14"/>
      <c r="G269" s="15">
        <f t="shared" si="21"/>
        <v>0</v>
      </c>
      <c r="H269" s="14"/>
      <c r="I269" s="15">
        <f t="shared" si="23"/>
        <v>3.75</v>
      </c>
      <c r="J269" s="14"/>
      <c r="K269" s="13"/>
    </row>
    <row r="270" spans="1:11" ht="12.6" customHeight="1" x14ac:dyDescent="0.2">
      <c r="A270" s="13"/>
      <c r="B270" s="19"/>
      <c r="C270" s="15"/>
      <c r="D270" s="14"/>
      <c r="E270" s="15">
        <f t="shared" si="22"/>
        <v>7.75</v>
      </c>
      <c r="F270" s="14"/>
      <c r="G270" s="15">
        <f t="shared" si="21"/>
        <v>0</v>
      </c>
      <c r="H270" s="14"/>
      <c r="I270" s="15">
        <f t="shared" si="23"/>
        <v>3.75</v>
      </c>
      <c r="J270" s="14"/>
      <c r="K270" s="16"/>
    </row>
    <row r="271" spans="1:11" ht="12.6" customHeight="1" x14ac:dyDescent="0.2">
      <c r="A271" s="13"/>
      <c r="B271" s="19"/>
      <c r="C271" s="15"/>
      <c r="D271" s="14"/>
      <c r="E271" s="15">
        <f t="shared" si="22"/>
        <v>7.75</v>
      </c>
      <c r="F271" s="14"/>
      <c r="G271" s="15">
        <f t="shared" si="21"/>
        <v>0</v>
      </c>
      <c r="H271" s="14"/>
      <c r="I271" s="15">
        <f t="shared" si="23"/>
        <v>3.75</v>
      </c>
      <c r="J271" s="14"/>
      <c r="K271" s="13"/>
    </row>
    <row r="272" spans="1:11" ht="12.6" customHeight="1" x14ac:dyDescent="0.2">
      <c r="A272" s="13"/>
      <c r="B272" s="19"/>
      <c r="C272" s="15"/>
      <c r="D272" s="14"/>
      <c r="E272" s="15">
        <f t="shared" si="22"/>
        <v>7.75</v>
      </c>
      <c r="F272" s="14"/>
      <c r="G272" s="15">
        <f t="shared" si="21"/>
        <v>0</v>
      </c>
      <c r="H272" s="14"/>
      <c r="I272" s="15">
        <f t="shared" si="23"/>
        <v>3.75</v>
      </c>
      <c r="J272" s="14"/>
      <c r="K272" s="13"/>
    </row>
    <row r="273" spans="1:11" ht="12.6" customHeight="1" x14ac:dyDescent="0.2">
      <c r="A273" s="13"/>
      <c r="B273" s="19"/>
      <c r="C273" s="15"/>
      <c r="D273" s="14"/>
      <c r="E273" s="15">
        <f t="shared" si="22"/>
        <v>7.75</v>
      </c>
      <c r="F273" s="14"/>
      <c r="G273" s="15">
        <f t="shared" si="21"/>
        <v>0</v>
      </c>
      <c r="H273" s="14"/>
      <c r="I273" s="15">
        <f t="shared" si="23"/>
        <v>3.75</v>
      </c>
      <c r="J273" s="14"/>
      <c r="K273" s="16"/>
    </row>
    <row r="274" spans="1:11" ht="12.6" customHeight="1" x14ac:dyDescent="0.2">
      <c r="A274" s="13"/>
      <c r="B274" s="19"/>
      <c r="C274" s="15"/>
      <c r="D274" s="14"/>
      <c r="E274" s="15">
        <f t="shared" si="22"/>
        <v>7.75</v>
      </c>
      <c r="F274" s="14"/>
      <c r="G274" s="15">
        <f t="shared" si="21"/>
        <v>0</v>
      </c>
      <c r="H274" s="14"/>
      <c r="I274" s="15">
        <f t="shared" si="23"/>
        <v>3.75</v>
      </c>
      <c r="J274" s="14"/>
      <c r="K274" s="16"/>
    </row>
    <row r="275" spans="1:11" ht="12.6" customHeight="1" x14ac:dyDescent="0.2">
      <c r="A275" s="13"/>
      <c r="B275" s="19"/>
      <c r="C275" s="15"/>
      <c r="D275" s="14"/>
      <c r="E275" s="15">
        <f t="shared" si="22"/>
        <v>7.75</v>
      </c>
      <c r="F275" s="14"/>
      <c r="G275" s="15">
        <f t="shared" si="21"/>
        <v>0</v>
      </c>
      <c r="H275" s="14"/>
      <c r="I275" s="15">
        <f t="shared" si="23"/>
        <v>3.75</v>
      </c>
      <c r="J275" s="14"/>
      <c r="K275" s="13"/>
    </row>
    <row r="276" spans="1:11" ht="12.6" customHeight="1" x14ac:dyDescent="0.2">
      <c r="A276" s="13"/>
      <c r="B276" s="19"/>
      <c r="C276" s="15"/>
      <c r="D276" s="14"/>
      <c r="E276" s="15">
        <f t="shared" si="22"/>
        <v>7.75</v>
      </c>
      <c r="F276" s="14"/>
      <c r="G276" s="15">
        <f t="shared" si="21"/>
        <v>0</v>
      </c>
      <c r="H276" s="14"/>
      <c r="I276" s="15">
        <f t="shared" si="23"/>
        <v>3.75</v>
      </c>
      <c r="J276" s="14"/>
      <c r="K276" s="13"/>
    </row>
    <row r="277" spans="1:11" ht="12.6" customHeight="1" x14ac:dyDescent="0.2">
      <c r="A277" s="13"/>
      <c r="B277" s="19"/>
      <c r="C277" s="15"/>
      <c r="D277" s="14"/>
      <c r="E277" s="15">
        <f t="shared" si="22"/>
        <v>7.75</v>
      </c>
      <c r="F277" s="14"/>
      <c r="G277" s="15">
        <f t="shared" si="21"/>
        <v>0</v>
      </c>
      <c r="H277" s="14"/>
      <c r="I277" s="15">
        <f t="shared" si="23"/>
        <v>3.75</v>
      </c>
      <c r="J277" s="14"/>
      <c r="K277" s="13"/>
    </row>
    <row r="278" spans="1:11" ht="12.6" customHeight="1" x14ac:dyDescent="0.2">
      <c r="A278" s="13"/>
      <c r="B278" s="19"/>
      <c r="C278" s="15"/>
      <c r="D278" s="14"/>
      <c r="E278" s="15">
        <f t="shared" si="22"/>
        <v>7.75</v>
      </c>
      <c r="F278" s="14"/>
      <c r="G278" s="15">
        <f t="shared" si="21"/>
        <v>0</v>
      </c>
      <c r="H278" s="14"/>
      <c r="I278" s="15">
        <f t="shared" si="23"/>
        <v>3.75</v>
      </c>
      <c r="J278" s="14"/>
      <c r="K278" s="13"/>
    </row>
    <row r="279" spans="1:11" ht="12.6" customHeight="1" x14ac:dyDescent="0.2">
      <c r="A279" s="13"/>
      <c r="B279" s="19"/>
      <c r="C279" s="15"/>
      <c r="D279" s="14"/>
      <c r="E279" s="15">
        <f t="shared" si="22"/>
        <v>7.75</v>
      </c>
      <c r="F279" s="14"/>
      <c r="G279" s="15">
        <f t="shared" si="21"/>
        <v>0</v>
      </c>
      <c r="H279" s="14"/>
      <c r="I279" s="15">
        <f t="shared" si="23"/>
        <v>3.75</v>
      </c>
      <c r="J279" s="14"/>
      <c r="K279" s="13"/>
    </row>
    <row r="280" spans="1:11" ht="12.6" customHeight="1" x14ac:dyDescent="0.2">
      <c r="A280" s="13"/>
      <c r="B280" s="19"/>
      <c r="C280" s="15"/>
      <c r="D280" s="14"/>
      <c r="E280" s="15">
        <f t="shared" si="22"/>
        <v>7.75</v>
      </c>
      <c r="F280" s="14"/>
      <c r="G280" s="15">
        <f t="shared" si="21"/>
        <v>0</v>
      </c>
      <c r="H280" s="14"/>
      <c r="I280" s="15">
        <f t="shared" si="23"/>
        <v>3.75</v>
      </c>
      <c r="J280" s="14"/>
      <c r="K280" s="13"/>
    </row>
    <row r="281" spans="1:11" ht="12.6" customHeight="1" x14ac:dyDescent="0.2">
      <c r="A281" s="13"/>
      <c r="B281" s="19"/>
      <c r="C281" s="15"/>
      <c r="D281" s="14"/>
      <c r="E281" s="15">
        <f t="shared" si="22"/>
        <v>7.75</v>
      </c>
      <c r="F281" s="14"/>
      <c r="G281" s="15">
        <f t="shared" si="21"/>
        <v>0</v>
      </c>
      <c r="H281" s="14"/>
      <c r="I281" s="15">
        <f t="shared" si="23"/>
        <v>3.75</v>
      </c>
      <c r="J281" s="14"/>
      <c r="K281" s="13"/>
    </row>
    <row r="282" spans="1:11" ht="12.6" customHeight="1" x14ac:dyDescent="0.2">
      <c r="A282" s="13"/>
      <c r="B282" s="19"/>
      <c r="C282" s="15"/>
      <c r="D282" s="15"/>
      <c r="E282" s="15">
        <f t="shared" si="22"/>
        <v>7.75</v>
      </c>
      <c r="F282" s="14"/>
      <c r="G282" s="15">
        <f t="shared" si="21"/>
        <v>0</v>
      </c>
      <c r="H282" s="14"/>
      <c r="I282" s="15">
        <f t="shared" si="23"/>
        <v>3.75</v>
      </c>
      <c r="J282" s="14"/>
      <c r="K282" s="13"/>
    </row>
    <row r="283" spans="1:11" ht="12.6" customHeight="1" x14ac:dyDescent="0.2">
      <c r="A283" s="13"/>
      <c r="B283" s="19"/>
      <c r="C283" s="15"/>
      <c r="D283" s="14"/>
      <c r="E283" s="15">
        <f t="shared" si="22"/>
        <v>7.75</v>
      </c>
      <c r="F283" s="14"/>
      <c r="G283" s="15">
        <f t="shared" si="21"/>
        <v>0</v>
      </c>
      <c r="H283" s="14"/>
      <c r="I283" s="15">
        <f t="shared" si="23"/>
        <v>3.75</v>
      </c>
      <c r="J283" s="14"/>
      <c r="K283" s="16"/>
    </row>
    <row r="284" spans="1:11" ht="12.6" customHeight="1" x14ac:dyDescent="0.2">
      <c r="A284" s="13"/>
      <c r="B284" s="19"/>
      <c r="C284" s="15"/>
      <c r="D284" s="15"/>
      <c r="E284" s="15">
        <f t="shared" si="22"/>
        <v>7.75</v>
      </c>
      <c r="F284" s="14"/>
      <c r="G284" s="15">
        <f t="shared" si="21"/>
        <v>0</v>
      </c>
      <c r="H284" s="14"/>
      <c r="I284" s="15">
        <f t="shared" si="23"/>
        <v>3.75</v>
      </c>
      <c r="J284" s="14"/>
      <c r="K284" s="13"/>
    </row>
    <row r="285" spans="1:11" ht="12.6" customHeight="1" x14ac:dyDescent="0.2">
      <c r="A285" s="13"/>
      <c r="B285" s="19"/>
      <c r="C285" s="15"/>
      <c r="D285" s="14"/>
      <c r="E285" s="15">
        <f t="shared" si="22"/>
        <v>7.75</v>
      </c>
      <c r="F285" s="14"/>
      <c r="G285" s="15">
        <f t="shared" si="21"/>
        <v>0</v>
      </c>
      <c r="H285" s="14"/>
      <c r="I285" s="15">
        <f t="shared" si="23"/>
        <v>3.75</v>
      </c>
      <c r="J285" s="14"/>
      <c r="K285" s="16"/>
    </row>
    <row r="286" spans="1:11" ht="12.6" customHeight="1" x14ac:dyDescent="0.2">
      <c r="A286" s="13"/>
      <c r="B286" s="19"/>
      <c r="C286" s="15"/>
      <c r="D286" s="14"/>
      <c r="E286" s="15">
        <f t="shared" si="22"/>
        <v>7.75</v>
      </c>
      <c r="F286" s="14"/>
      <c r="G286" s="15">
        <f t="shared" si="21"/>
        <v>0</v>
      </c>
      <c r="H286" s="14"/>
      <c r="I286" s="15">
        <f t="shared" si="23"/>
        <v>3.75</v>
      </c>
      <c r="J286" s="14"/>
      <c r="K286" s="13"/>
    </row>
    <row r="287" spans="1:11" ht="12.6" customHeight="1" x14ac:dyDescent="0.2">
      <c r="A287" s="13"/>
      <c r="B287" s="19"/>
      <c r="C287" s="15"/>
      <c r="D287" s="14"/>
      <c r="E287" s="15">
        <f t="shared" si="22"/>
        <v>7.75</v>
      </c>
      <c r="F287" s="14"/>
      <c r="G287" s="15">
        <f t="shared" si="21"/>
        <v>0</v>
      </c>
      <c r="H287" s="14"/>
      <c r="I287" s="15">
        <f t="shared" si="23"/>
        <v>3.75</v>
      </c>
      <c r="J287" s="14"/>
      <c r="K287" s="13"/>
    </row>
    <row r="288" spans="1:11" ht="12.6" customHeight="1" x14ac:dyDescent="0.2">
      <c r="A288" s="13"/>
      <c r="B288" s="19"/>
      <c r="C288" s="15"/>
      <c r="D288" s="14"/>
      <c r="E288" s="15">
        <f t="shared" si="22"/>
        <v>7.75</v>
      </c>
      <c r="F288" s="14"/>
      <c r="G288" s="15">
        <f t="shared" si="21"/>
        <v>0</v>
      </c>
      <c r="H288" s="14"/>
      <c r="I288" s="15">
        <f t="shared" si="23"/>
        <v>3.75</v>
      </c>
      <c r="J288" s="14"/>
      <c r="K288" s="13"/>
    </row>
    <row r="289" spans="1:11" ht="12.6" customHeight="1" x14ac:dyDescent="0.2">
      <c r="A289" s="13"/>
      <c r="B289" s="19"/>
      <c r="C289" s="15"/>
      <c r="D289" s="14"/>
      <c r="E289" s="15">
        <f t="shared" si="22"/>
        <v>7.75</v>
      </c>
      <c r="F289" s="14"/>
      <c r="G289" s="15">
        <f t="shared" si="21"/>
        <v>0</v>
      </c>
      <c r="H289" s="14"/>
      <c r="I289" s="15">
        <f t="shared" si="23"/>
        <v>3.75</v>
      </c>
      <c r="J289" s="14"/>
      <c r="K289" s="13"/>
    </row>
    <row r="290" spans="1:11" ht="12.6" customHeight="1" x14ac:dyDescent="0.2">
      <c r="A290" s="13"/>
      <c r="B290" s="19"/>
      <c r="C290" s="15"/>
      <c r="D290" s="14"/>
      <c r="E290" s="15">
        <f t="shared" si="22"/>
        <v>7.75</v>
      </c>
      <c r="F290" s="14"/>
      <c r="G290" s="15">
        <f t="shared" si="21"/>
        <v>0</v>
      </c>
      <c r="H290" s="14"/>
      <c r="I290" s="15">
        <f t="shared" si="23"/>
        <v>3.75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0</v>
      </c>
      <c r="D291" s="36">
        <f>SUM(D265:D290)</f>
        <v>0</v>
      </c>
      <c r="E291" s="36"/>
      <c r="F291" s="37"/>
      <c r="G291" s="36">
        <f>SUM(G265:G290)</f>
        <v>0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 t="str">
        <f>A1</f>
        <v>STEPHANINE ANN C. TOLENTINO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 t="str">
        <f>K1</f>
        <v>3/25/2010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/>
      <c r="C304" s="15"/>
      <c r="D304" s="14"/>
      <c r="E304" s="15">
        <f>E290+C304-D304</f>
        <v>7.75</v>
      </c>
      <c r="F304" s="14"/>
      <c r="G304" s="15">
        <f>C304</f>
        <v>0</v>
      </c>
      <c r="H304" s="14"/>
      <c r="I304" s="15">
        <f>I290+G304-H304</f>
        <v>3.75</v>
      </c>
      <c r="J304" s="14"/>
      <c r="K304" s="16"/>
    </row>
    <row r="305" spans="1:11" ht="12.6" customHeight="1" x14ac:dyDescent="0.2">
      <c r="A305" s="13"/>
      <c r="B305" s="19"/>
      <c r="C305" s="15"/>
      <c r="D305" s="14"/>
      <c r="E305" s="15">
        <f>E304+C305-D305</f>
        <v>7.75</v>
      </c>
      <c r="F305" s="14"/>
      <c r="G305" s="15">
        <f t="shared" ref="G305:G329" si="24">C305</f>
        <v>0</v>
      </c>
      <c r="H305" s="14"/>
      <c r="I305" s="15">
        <f>I304+G305-H305</f>
        <v>3.75</v>
      </c>
      <c r="J305" s="14"/>
      <c r="K305" s="13"/>
    </row>
    <row r="306" spans="1:11" ht="12.6" customHeight="1" x14ac:dyDescent="0.2">
      <c r="A306" s="13"/>
      <c r="B306" s="19"/>
      <c r="C306" s="15"/>
      <c r="D306" s="14"/>
      <c r="E306" s="15">
        <f t="shared" ref="E306:E329" si="25">E305+C306-D306</f>
        <v>7.75</v>
      </c>
      <c r="F306" s="14"/>
      <c r="G306" s="15">
        <f t="shared" si="24"/>
        <v>0</v>
      </c>
      <c r="H306" s="14"/>
      <c r="I306" s="15">
        <f t="shared" ref="I306:I329" si="26">I305+G306-H306</f>
        <v>3.75</v>
      </c>
      <c r="J306" s="14"/>
      <c r="K306" s="13"/>
    </row>
    <row r="307" spans="1:11" ht="12.6" customHeight="1" x14ac:dyDescent="0.2">
      <c r="A307" s="13"/>
      <c r="B307" s="19"/>
      <c r="C307" s="15"/>
      <c r="D307" s="14"/>
      <c r="E307" s="15">
        <f t="shared" si="25"/>
        <v>7.75</v>
      </c>
      <c r="F307" s="14"/>
      <c r="G307" s="15">
        <f t="shared" si="24"/>
        <v>0</v>
      </c>
      <c r="H307" s="14"/>
      <c r="I307" s="15">
        <f t="shared" si="26"/>
        <v>3.75</v>
      </c>
      <c r="J307" s="14"/>
      <c r="K307" s="16"/>
    </row>
    <row r="308" spans="1:11" ht="12.6" customHeight="1" x14ac:dyDescent="0.2">
      <c r="A308" s="13"/>
      <c r="B308" s="19"/>
      <c r="C308" s="15"/>
      <c r="D308" s="14"/>
      <c r="E308" s="15">
        <f t="shared" si="25"/>
        <v>7.75</v>
      </c>
      <c r="F308" s="14"/>
      <c r="G308" s="15">
        <f t="shared" si="24"/>
        <v>0</v>
      </c>
      <c r="H308" s="14"/>
      <c r="I308" s="15">
        <f t="shared" si="26"/>
        <v>3.75</v>
      </c>
      <c r="J308" s="14"/>
      <c r="K308" s="13"/>
    </row>
    <row r="309" spans="1:11" ht="12.6" customHeight="1" x14ac:dyDescent="0.2">
      <c r="A309" s="13"/>
      <c r="B309" s="19"/>
      <c r="C309" s="15"/>
      <c r="D309" s="14"/>
      <c r="E309" s="15">
        <f t="shared" si="25"/>
        <v>7.75</v>
      </c>
      <c r="F309" s="14"/>
      <c r="G309" s="15">
        <f t="shared" si="24"/>
        <v>0</v>
      </c>
      <c r="H309" s="14"/>
      <c r="I309" s="15">
        <f t="shared" si="26"/>
        <v>3.75</v>
      </c>
      <c r="J309" s="14"/>
      <c r="K309" s="13"/>
    </row>
    <row r="310" spans="1:11" ht="12.6" customHeight="1" x14ac:dyDescent="0.2">
      <c r="A310" s="13"/>
      <c r="B310" s="19"/>
      <c r="C310" s="15"/>
      <c r="D310" s="14"/>
      <c r="E310" s="15">
        <f t="shared" si="25"/>
        <v>7.75</v>
      </c>
      <c r="F310" s="14"/>
      <c r="G310" s="15">
        <f t="shared" si="24"/>
        <v>0</v>
      </c>
      <c r="H310" s="14"/>
      <c r="I310" s="15">
        <f t="shared" si="26"/>
        <v>3.75</v>
      </c>
      <c r="J310" s="14"/>
      <c r="K310" s="13"/>
    </row>
    <row r="311" spans="1:11" ht="12.6" customHeight="1" x14ac:dyDescent="0.2">
      <c r="A311" s="13"/>
      <c r="B311" s="19"/>
      <c r="C311" s="15"/>
      <c r="D311" s="14"/>
      <c r="E311" s="15">
        <f t="shared" si="25"/>
        <v>7.75</v>
      </c>
      <c r="F311" s="14"/>
      <c r="G311" s="15">
        <f t="shared" si="24"/>
        <v>0</v>
      </c>
      <c r="H311" s="14"/>
      <c r="I311" s="15">
        <f t="shared" si="26"/>
        <v>3.75</v>
      </c>
      <c r="J311" s="14"/>
      <c r="K311" s="13"/>
    </row>
    <row r="312" spans="1:11" ht="12.6" customHeight="1" x14ac:dyDescent="0.2">
      <c r="A312" s="13"/>
      <c r="B312" s="19"/>
      <c r="C312" s="15"/>
      <c r="D312" s="14"/>
      <c r="E312" s="15">
        <f t="shared" si="25"/>
        <v>7.75</v>
      </c>
      <c r="F312" s="14"/>
      <c r="G312" s="15">
        <f t="shared" si="24"/>
        <v>0</v>
      </c>
      <c r="H312" s="14"/>
      <c r="I312" s="15">
        <f t="shared" si="26"/>
        <v>3.75</v>
      </c>
      <c r="J312" s="14"/>
      <c r="K312" s="16"/>
    </row>
    <row r="313" spans="1:11" ht="12.6" customHeight="1" x14ac:dyDescent="0.2">
      <c r="A313" s="13"/>
      <c r="B313" s="19"/>
      <c r="C313" s="15"/>
      <c r="D313" s="14"/>
      <c r="E313" s="15">
        <f t="shared" si="25"/>
        <v>7.75</v>
      </c>
      <c r="F313" s="14"/>
      <c r="G313" s="15">
        <f t="shared" si="24"/>
        <v>0</v>
      </c>
      <c r="H313" s="14"/>
      <c r="I313" s="15">
        <f t="shared" si="26"/>
        <v>3.75</v>
      </c>
      <c r="J313" s="14"/>
      <c r="K313" s="16"/>
    </row>
    <row r="314" spans="1:11" ht="12.6" customHeight="1" x14ac:dyDescent="0.2">
      <c r="A314" s="13"/>
      <c r="B314" s="19"/>
      <c r="C314" s="15"/>
      <c r="D314" s="14"/>
      <c r="E314" s="15">
        <f t="shared" si="25"/>
        <v>7.75</v>
      </c>
      <c r="F314" s="14"/>
      <c r="G314" s="15">
        <f t="shared" si="24"/>
        <v>0</v>
      </c>
      <c r="H314" s="14"/>
      <c r="I314" s="15">
        <f t="shared" si="26"/>
        <v>3.75</v>
      </c>
      <c r="J314" s="14"/>
      <c r="K314" s="16"/>
    </row>
    <row r="315" spans="1:11" ht="12.6" customHeight="1" x14ac:dyDescent="0.2">
      <c r="A315" s="13"/>
      <c r="B315" s="19"/>
      <c r="C315" s="15"/>
      <c r="D315" s="14"/>
      <c r="E315" s="15">
        <f t="shared" si="25"/>
        <v>7.75</v>
      </c>
      <c r="F315" s="14"/>
      <c r="G315" s="15">
        <f t="shared" si="24"/>
        <v>0</v>
      </c>
      <c r="H315" s="14"/>
      <c r="I315" s="15">
        <f t="shared" si="26"/>
        <v>3.75</v>
      </c>
      <c r="J315" s="14"/>
      <c r="K315" s="13"/>
    </row>
    <row r="316" spans="1:11" ht="12.6" customHeight="1" x14ac:dyDescent="0.2">
      <c r="A316" s="13"/>
      <c r="B316" s="19"/>
      <c r="C316" s="15"/>
      <c r="D316" s="14"/>
      <c r="E316" s="15">
        <f t="shared" si="25"/>
        <v>7.75</v>
      </c>
      <c r="F316" s="14"/>
      <c r="G316" s="15">
        <f t="shared" si="24"/>
        <v>0</v>
      </c>
      <c r="H316" s="14"/>
      <c r="I316" s="15">
        <f t="shared" si="26"/>
        <v>3.75</v>
      </c>
      <c r="J316" s="14"/>
      <c r="K316" s="13"/>
    </row>
    <row r="317" spans="1:11" ht="12.6" customHeight="1" x14ac:dyDescent="0.2">
      <c r="A317" s="13"/>
      <c r="B317" s="19"/>
      <c r="C317" s="15"/>
      <c r="D317" s="14"/>
      <c r="E317" s="15">
        <f t="shared" si="25"/>
        <v>7.75</v>
      </c>
      <c r="F317" s="14"/>
      <c r="G317" s="15">
        <f t="shared" si="24"/>
        <v>0</v>
      </c>
      <c r="H317" s="14"/>
      <c r="I317" s="15">
        <f t="shared" si="26"/>
        <v>3.75</v>
      </c>
      <c r="J317" s="14"/>
      <c r="K317" s="13"/>
    </row>
    <row r="318" spans="1:11" ht="12.6" customHeight="1" x14ac:dyDescent="0.2">
      <c r="A318" s="13"/>
      <c r="B318" s="19"/>
      <c r="C318" s="15"/>
      <c r="D318" s="14"/>
      <c r="E318" s="15">
        <f t="shared" si="25"/>
        <v>7.75</v>
      </c>
      <c r="F318" s="14"/>
      <c r="G318" s="15">
        <f t="shared" si="24"/>
        <v>0</v>
      </c>
      <c r="H318" s="14"/>
      <c r="I318" s="15">
        <f t="shared" si="26"/>
        <v>3.75</v>
      </c>
      <c r="J318" s="14"/>
      <c r="K318" s="13"/>
    </row>
    <row r="319" spans="1:11" ht="12.6" customHeight="1" x14ac:dyDescent="0.2">
      <c r="A319" s="13"/>
      <c r="B319" s="19"/>
      <c r="C319" s="15"/>
      <c r="D319" s="14"/>
      <c r="E319" s="15">
        <f t="shared" si="25"/>
        <v>7.75</v>
      </c>
      <c r="F319" s="14"/>
      <c r="G319" s="15">
        <f t="shared" si="24"/>
        <v>0</v>
      </c>
      <c r="H319" s="14"/>
      <c r="I319" s="15">
        <f t="shared" si="26"/>
        <v>3.75</v>
      </c>
      <c r="J319" s="14"/>
      <c r="K319" s="13"/>
    </row>
    <row r="320" spans="1:11" ht="12.6" customHeight="1" x14ac:dyDescent="0.2">
      <c r="A320" s="13"/>
      <c r="B320" s="19"/>
      <c r="C320" s="15"/>
      <c r="D320" s="14"/>
      <c r="E320" s="15">
        <f t="shared" si="25"/>
        <v>7.75</v>
      </c>
      <c r="F320" s="14"/>
      <c r="G320" s="15">
        <f t="shared" si="24"/>
        <v>0</v>
      </c>
      <c r="H320" s="14"/>
      <c r="I320" s="15">
        <f t="shared" si="26"/>
        <v>3.75</v>
      </c>
      <c r="J320" s="14"/>
      <c r="K320" s="13"/>
    </row>
    <row r="321" spans="1:11" ht="12.6" customHeight="1" x14ac:dyDescent="0.2">
      <c r="A321" s="13"/>
      <c r="B321" s="19"/>
      <c r="C321" s="15"/>
      <c r="D321" s="15"/>
      <c r="E321" s="15">
        <f t="shared" si="25"/>
        <v>7.75</v>
      </c>
      <c r="F321" s="14"/>
      <c r="G321" s="15">
        <f t="shared" si="24"/>
        <v>0</v>
      </c>
      <c r="H321" s="14"/>
      <c r="I321" s="15">
        <f t="shared" si="26"/>
        <v>3.75</v>
      </c>
      <c r="J321" s="14"/>
      <c r="K321" s="13"/>
    </row>
    <row r="322" spans="1:11" ht="12.6" customHeight="1" x14ac:dyDescent="0.2">
      <c r="A322" s="13"/>
      <c r="B322" s="19"/>
      <c r="C322" s="15"/>
      <c r="D322" s="14"/>
      <c r="E322" s="15">
        <f t="shared" si="25"/>
        <v>7.75</v>
      </c>
      <c r="F322" s="14"/>
      <c r="G322" s="15">
        <f t="shared" si="24"/>
        <v>0</v>
      </c>
      <c r="H322" s="14"/>
      <c r="I322" s="15">
        <f t="shared" si="26"/>
        <v>3.75</v>
      </c>
      <c r="J322" s="14"/>
      <c r="K322" s="16"/>
    </row>
    <row r="323" spans="1:11" ht="12.6" customHeight="1" x14ac:dyDescent="0.2">
      <c r="A323" s="16"/>
      <c r="B323" s="19"/>
      <c r="C323" s="15"/>
      <c r="D323" s="15"/>
      <c r="E323" s="15">
        <f t="shared" si="25"/>
        <v>7.75</v>
      </c>
      <c r="F323" s="14"/>
      <c r="G323" s="15">
        <f t="shared" si="24"/>
        <v>0</v>
      </c>
      <c r="H323" s="14"/>
      <c r="I323" s="15">
        <f t="shared" si="26"/>
        <v>3.75</v>
      </c>
      <c r="J323" s="14"/>
      <c r="K323" s="13"/>
    </row>
    <row r="324" spans="1:11" ht="12.6" customHeight="1" x14ac:dyDescent="0.2">
      <c r="A324" s="13"/>
      <c r="B324" s="19"/>
      <c r="C324" s="15"/>
      <c r="D324" s="14"/>
      <c r="E324" s="15">
        <f t="shared" si="25"/>
        <v>7.75</v>
      </c>
      <c r="F324" s="14"/>
      <c r="G324" s="15">
        <f t="shared" si="24"/>
        <v>0</v>
      </c>
      <c r="H324" s="14"/>
      <c r="I324" s="15">
        <f t="shared" si="26"/>
        <v>3.75</v>
      </c>
      <c r="J324" s="14"/>
      <c r="K324" s="16"/>
    </row>
    <row r="325" spans="1:11" ht="12.6" customHeight="1" x14ac:dyDescent="0.2">
      <c r="A325" s="13"/>
      <c r="B325" s="19"/>
      <c r="C325" s="15"/>
      <c r="D325" s="14"/>
      <c r="E325" s="15">
        <f t="shared" si="25"/>
        <v>7.75</v>
      </c>
      <c r="F325" s="14"/>
      <c r="G325" s="15">
        <f t="shared" si="24"/>
        <v>0</v>
      </c>
      <c r="H325" s="14"/>
      <c r="I325" s="15">
        <f t="shared" si="26"/>
        <v>3.75</v>
      </c>
      <c r="J325" s="14"/>
      <c r="K325" s="13"/>
    </row>
    <row r="326" spans="1:11" ht="12.6" customHeight="1" x14ac:dyDescent="0.2">
      <c r="A326" s="13"/>
      <c r="B326" s="19"/>
      <c r="C326" s="15"/>
      <c r="D326" s="14"/>
      <c r="E326" s="15">
        <f t="shared" si="25"/>
        <v>7.75</v>
      </c>
      <c r="F326" s="14"/>
      <c r="G326" s="15">
        <f t="shared" si="24"/>
        <v>0</v>
      </c>
      <c r="H326" s="14"/>
      <c r="I326" s="15">
        <f t="shared" si="26"/>
        <v>3.75</v>
      </c>
      <c r="J326" s="14"/>
      <c r="K326" s="13"/>
    </row>
    <row r="327" spans="1:11" ht="12.6" customHeight="1" x14ac:dyDescent="0.2">
      <c r="A327" s="13"/>
      <c r="B327" s="19"/>
      <c r="C327" s="15"/>
      <c r="D327" s="14"/>
      <c r="E327" s="15">
        <f t="shared" si="25"/>
        <v>7.75</v>
      </c>
      <c r="F327" s="14"/>
      <c r="G327" s="15">
        <f t="shared" si="24"/>
        <v>0</v>
      </c>
      <c r="H327" s="14"/>
      <c r="I327" s="15">
        <f t="shared" si="26"/>
        <v>3.75</v>
      </c>
      <c r="J327" s="14"/>
      <c r="K327" s="13"/>
    </row>
    <row r="328" spans="1:11" ht="12.6" customHeight="1" x14ac:dyDescent="0.2">
      <c r="A328" s="13"/>
      <c r="B328" s="19"/>
      <c r="C328" s="15"/>
      <c r="D328" s="14"/>
      <c r="E328" s="15">
        <f t="shared" si="25"/>
        <v>7.75</v>
      </c>
      <c r="F328" s="14"/>
      <c r="G328" s="15">
        <f t="shared" si="24"/>
        <v>0</v>
      </c>
      <c r="H328" s="14"/>
      <c r="I328" s="15">
        <f t="shared" si="26"/>
        <v>3.75</v>
      </c>
      <c r="J328" s="14"/>
      <c r="K328" s="13"/>
    </row>
    <row r="329" spans="1:11" ht="12.6" customHeight="1" x14ac:dyDescent="0.2">
      <c r="A329" s="13"/>
      <c r="B329" s="19"/>
      <c r="C329" s="15"/>
      <c r="D329" s="14"/>
      <c r="E329" s="15">
        <f t="shared" si="25"/>
        <v>7.75</v>
      </c>
      <c r="F329" s="14"/>
      <c r="G329" s="15">
        <f t="shared" si="24"/>
        <v>0</v>
      </c>
      <c r="H329" s="14"/>
      <c r="I329" s="15">
        <f t="shared" si="26"/>
        <v>3.75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0</v>
      </c>
      <c r="D330" s="36">
        <f>SUM(D304:D329)</f>
        <v>0</v>
      </c>
      <c r="E330" s="36"/>
      <c r="F330" s="37"/>
      <c r="G330" s="36">
        <f>SUM(G304:G329)</f>
        <v>0</v>
      </c>
      <c r="H330" s="36">
        <f>SUM(H304:H329)</f>
        <v>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 t="str">
        <f>A1</f>
        <v>STEPHANINE ANN C. TOLENTINO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 t="str">
        <f>K1</f>
        <v>3/25/2010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/>
      <c r="C339" s="15"/>
      <c r="D339" s="14"/>
      <c r="E339" s="15">
        <f>E329+C339-D339</f>
        <v>7.75</v>
      </c>
      <c r="F339" s="14"/>
      <c r="G339" s="15">
        <f>C339</f>
        <v>0</v>
      </c>
      <c r="H339" s="14"/>
      <c r="I339" s="15">
        <f>I329+G339-H339</f>
        <v>3.75</v>
      </c>
      <c r="J339" s="14"/>
      <c r="K339" s="16"/>
    </row>
    <row r="340" spans="1:11" ht="12.6" customHeight="1" x14ac:dyDescent="0.2">
      <c r="A340" s="13"/>
      <c r="B340" s="19"/>
      <c r="C340" s="15"/>
      <c r="D340" s="14"/>
      <c r="E340" s="15">
        <f>E339+C340-D340</f>
        <v>7.75</v>
      </c>
      <c r="F340" s="14"/>
      <c r="G340" s="15">
        <f t="shared" ref="G340:G364" si="27">C340</f>
        <v>0</v>
      </c>
      <c r="H340" s="14"/>
      <c r="I340" s="15">
        <f>I339+G340-H340</f>
        <v>3.75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7.75</v>
      </c>
      <c r="F341" s="14"/>
      <c r="G341" s="15">
        <f t="shared" si="27"/>
        <v>0</v>
      </c>
      <c r="H341" s="14"/>
      <c r="I341" s="15">
        <f t="shared" ref="I341:I364" si="29">I340+G341-H341</f>
        <v>3.75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7.75</v>
      </c>
      <c r="F342" s="14"/>
      <c r="G342" s="15">
        <f t="shared" si="27"/>
        <v>0</v>
      </c>
      <c r="H342" s="14"/>
      <c r="I342" s="15">
        <f t="shared" si="29"/>
        <v>3.75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7.75</v>
      </c>
      <c r="F343" s="14"/>
      <c r="G343" s="15">
        <f t="shared" si="27"/>
        <v>0</v>
      </c>
      <c r="H343" s="14"/>
      <c r="I343" s="15">
        <f t="shared" si="29"/>
        <v>3.75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7.75</v>
      </c>
      <c r="F344" s="14"/>
      <c r="G344" s="15">
        <f t="shared" si="27"/>
        <v>0</v>
      </c>
      <c r="H344" s="14"/>
      <c r="I344" s="15">
        <f t="shared" si="29"/>
        <v>3.75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7.75</v>
      </c>
      <c r="F345" s="14"/>
      <c r="G345" s="15">
        <f t="shared" si="27"/>
        <v>0</v>
      </c>
      <c r="H345" s="14"/>
      <c r="I345" s="15">
        <f t="shared" si="29"/>
        <v>3.75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7.75</v>
      </c>
      <c r="F346" s="14"/>
      <c r="G346" s="15">
        <f t="shared" si="27"/>
        <v>0</v>
      </c>
      <c r="H346" s="14"/>
      <c r="I346" s="15">
        <f t="shared" si="29"/>
        <v>3.75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7.75</v>
      </c>
      <c r="F347" s="14"/>
      <c r="G347" s="15">
        <f t="shared" si="27"/>
        <v>0</v>
      </c>
      <c r="H347" s="14"/>
      <c r="I347" s="15">
        <f t="shared" si="29"/>
        <v>3.75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7.75</v>
      </c>
      <c r="F348" s="14"/>
      <c r="G348" s="15">
        <f t="shared" si="27"/>
        <v>0</v>
      </c>
      <c r="H348" s="14"/>
      <c r="I348" s="15">
        <f t="shared" si="29"/>
        <v>3.75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7.75</v>
      </c>
      <c r="F349" s="14"/>
      <c r="G349" s="15">
        <f t="shared" si="27"/>
        <v>0</v>
      </c>
      <c r="H349" s="14"/>
      <c r="I349" s="15">
        <f t="shared" si="29"/>
        <v>3.75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7.75</v>
      </c>
      <c r="F350" s="14"/>
      <c r="G350" s="15">
        <f t="shared" si="27"/>
        <v>0</v>
      </c>
      <c r="H350" s="14"/>
      <c r="I350" s="15">
        <f t="shared" si="29"/>
        <v>3.75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7.75</v>
      </c>
      <c r="F351" s="14"/>
      <c r="G351" s="15">
        <f t="shared" si="27"/>
        <v>0</v>
      </c>
      <c r="H351" s="14"/>
      <c r="I351" s="15">
        <f t="shared" si="29"/>
        <v>3.75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7.75</v>
      </c>
      <c r="F352" s="14"/>
      <c r="G352" s="15">
        <f t="shared" si="27"/>
        <v>0</v>
      </c>
      <c r="H352" s="14"/>
      <c r="I352" s="15">
        <f t="shared" si="29"/>
        <v>3.75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7.75</v>
      </c>
      <c r="F353" s="14"/>
      <c r="G353" s="15">
        <f t="shared" si="27"/>
        <v>0</v>
      </c>
      <c r="H353" s="14"/>
      <c r="I353" s="15">
        <f t="shared" si="29"/>
        <v>3.75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7.75</v>
      </c>
      <c r="F354" s="14"/>
      <c r="G354" s="15">
        <f t="shared" si="27"/>
        <v>0</v>
      </c>
      <c r="H354" s="14"/>
      <c r="I354" s="15">
        <f t="shared" si="29"/>
        <v>3.75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7.75</v>
      </c>
      <c r="F355" s="14"/>
      <c r="G355" s="15">
        <f t="shared" si="27"/>
        <v>0</v>
      </c>
      <c r="H355" s="14"/>
      <c r="I355" s="15">
        <f t="shared" si="29"/>
        <v>3.75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7.75</v>
      </c>
      <c r="F356" s="14"/>
      <c r="G356" s="15">
        <f t="shared" si="27"/>
        <v>0</v>
      </c>
      <c r="H356" s="14"/>
      <c r="I356" s="15">
        <f t="shared" si="29"/>
        <v>3.75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7.75</v>
      </c>
      <c r="F357" s="14"/>
      <c r="G357" s="15">
        <f t="shared" si="27"/>
        <v>0</v>
      </c>
      <c r="H357" s="14"/>
      <c r="I357" s="15">
        <f t="shared" si="29"/>
        <v>3.75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7.75</v>
      </c>
      <c r="F358" s="14"/>
      <c r="G358" s="15">
        <f t="shared" si="27"/>
        <v>0</v>
      </c>
      <c r="H358" s="14"/>
      <c r="I358" s="15">
        <f t="shared" si="29"/>
        <v>3.75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7.75</v>
      </c>
      <c r="F359" s="14"/>
      <c r="G359" s="15">
        <f t="shared" si="27"/>
        <v>0</v>
      </c>
      <c r="H359" s="14"/>
      <c r="I359" s="15">
        <f t="shared" si="29"/>
        <v>3.75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7.75</v>
      </c>
      <c r="F360" s="14"/>
      <c r="G360" s="15">
        <f t="shared" si="27"/>
        <v>0</v>
      </c>
      <c r="H360" s="14"/>
      <c r="I360" s="15">
        <f t="shared" si="29"/>
        <v>3.75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7.75</v>
      </c>
      <c r="F361" s="14"/>
      <c r="G361" s="15">
        <f t="shared" si="27"/>
        <v>0</v>
      </c>
      <c r="H361" s="14"/>
      <c r="I361" s="15">
        <f t="shared" si="29"/>
        <v>3.75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7.75</v>
      </c>
      <c r="F362" s="14"/>
      <c r="G362" s="15">
        <f t="shared" si="27"/>
        <v>0</v>
      </c>
      <c r="H362" s="14"/>
      <c r="I362" s="15">
        <f t="shared" si="29"/>
        <v>3.75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7.75</v>
      </c>
      <c r="F363" s="14"/>
      <c r="G363" s="15">
        <f t="shared" si="27"/>
        <v>0</v>
      </c>
      <c r="H363" s="14"/>
      <c r="I363" s="15">
        <f t="shared" si="29"/>
        <v>3.75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7.75</v>
      </c>
      <c r="F364" s="14"/>
      <c r="G364" s="15">
        <f t="shared" si="27"/>
        <v>0</v>
      </c>
      <c r="H364" s="14"/>
      <c r="I364" s="15">
        <f t="shared" si="29"/>
        <v>3.75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0</v>
      </c>
      <c r="D365" s="36">
        <f>SUM(D339:D364)</f>
        <v>0</v>
      </c>
      <c r="E365" s="36"/>
      <c r="F365" s="37"/>
      <c r="G365" s="36">
        <f>SUM(G339:G364)</f>
        <v>0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 t="str">
        <f>A1</f>
        <v>STEPHANINE ANN C. TOLENTINO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 t="str">
        <f>K1</f>
        <v>3/25/2010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7.75</v>
      </c>
      <c r="F378" s="14"/>
      <c r="G378" s="15">
        <f>C378</f>
        <v>0</v>
      </c>
      <c r="H378" s="14"/>
      <c r="I378" s="15">
        <f>I364+G378-H378</f>
        <v>3.75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7.75</v>
      </c>
      <c r="F379" s="14"/>
      <c r="G379" s="15">
        <f t="shared" ref="G379:G403" si="30">C379</f>
        <v>0</v>
      </c>
      <c r="H379" s="14"/>
      <c r="I379" s="15">
        <f>I378+G379-H379</f>
        <v>3.75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7.75</v>
      </c>
      <c r="F380" s="14"/>
      <c r="G380" s="15">
        <f t="shared" si="30"/>
        <v>0</v>
      </c>
      <c r="H380" s="14"/>
      <c r="I380" s="15">
        <f t="shared" ref="I380:I403" si="32">I379+G380-H380</f>
        <v>3.75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7.75</v>
      </c>
      <c r="F381" s="14"/>
      <c r="G381" s="15">
        <f t="shared" si="30"/>
        <v>0</v>
      </c>
      <c r="H381" s="14"/>
      <c r="I381" s="15">
        <f t="shared" si="32"/>
        <v>3.75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7.75</v>
      </c>
      <c r="F382" s="14"/>
      <c r="G382" s="15">
        <f t="shared" si="30"/>
        <v>0</v>
      </c>
      <c r="H382" s="14"/>
      <c r="I382" s="15">
        <f t="shared" si="32"/>
        <v>3.75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7.75</v>
      </c>
      <c r="F383" s="14"/>
      <c r="G383" s="15">
        <f t="shared" si="30"/>
        <v>0</v>
      </c>
      <c r="H383" s="14"/>
      <c r="I383" s="15">
        <f t="shared" si="32"/>
        <v>3.75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7.75</v>
      </c>
      <c r="F384" s="14"/>
      <c r="G384" s="15">
        <f t="shared" si="30"/>
        <v>0</v>
      </c>
      <c r="H384" s="14"/>
      <c r="I384" s="15">
        <f t="shared" si="32"/>
        <v>3.75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7.75</v>
      </c>
      <c r="F385" s="14"/>
      <c r="G385" s="15">
        <f t="shared" si="30"/>
        <v>0</v>
      </c>
      <c r="H385" s="14"/>
      <c r="I385" s="15">
        <f t="shared" si="32"/>
        <v>3.75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7.75</v>
      </c>
      <c r="F386" s="14"/>
      <c r="G386" s="15">
        <f t="shared" si="30"/>
        <v>0</v>
      </c>
      <c r="H386" s="14"/>
      <c r="I386" s="15">
        <f t="shared" si="32"/>
        <v>3.75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7.75</v>
      </c>
      <c r="F387" s="14"/>
      <c r="G387" s="15">
        <f t="shared" si="30"/>
        <v>0</v>
      </c>
      <c r="H387" s="14"/>
      <c r="I387" s="15">
        <f t="shared" si="32"/>
        <v>3.75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7.75</v>
      </c>
      <c r="F388" s="14"/>
      <c r="G388" s="15">
        <f t="shared" si="30"/>
        <v>0</v>
      </c>
      <c r="H388" s="14"/>
      <c r="I388" s="15">
        <f t="shared" si="32"/>
        <v>3.75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7.75</v>
      </c>
      <c r="F389" s="14"/>
      <c r="G389" s="15">
        <f t="shared" si="30"/>
        <v>0</v>
      </c>
      <c r="H389" s="14"/>
      <c r="I389" s="15">
        <f t="shared" si="32"/>
        <v>3.75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7.75</v>
      </c>
      <c r="F390" s="14"/>
      <c r="G390" s="15">
        <f t="shared" si="30"/>
        <v>0</v>
      </c>
      <c r="H390" s="14"/>
      <c r="I390" s="15">
        <f t="shared" si="32"/>
        <v>3.75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7.75</v>
      </c>
      <c r="F391" s="14"/>
      <c r="G391" s="15">
        <f t="shared" si="30"/>
        <v>0</v>
      </c>
      <c r="H391" s="14"/>
      <c r="I391" s="15">
        <f t="shared" si="32"/>
        <v>3.75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7.75</v>
      </c>
      <c r="F392" s="14"/>
      <c r="G392" s="15">
        <f t="shared" si="30"/>
        <v>0</v>
      </c>
      <c r="H392" s="14"/>
      <c r="I392" s="15">
        <f t="shared" si="32"/>
        <v>3.75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7.75</v>
      </c>
      <c r="F393" s="14"/>
      <c r="G393" s="15">
        <f t="shared" si="30"/>
        <v>0</v>
      </c>
      <c r="H393" s="14"/>
      <c r="I393" s="15">
        <f t="shared" si="32"/>
        <v>3.75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7.75</v>
      </c>
      <c r="F394" s="14"/>
      <c r="G394" s="15">
        <f t="shared" si="30"/>
        <v>0</v>
      </c>
      <c r="H394" s="14"/>
      <c r="I394" s="15">
        <f t="shared" si="32"/>
        <v>3.75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7.75</v>
      </c>
      <c r="F395" s="14"/>
      <c r="G395" s="15">
        <f t="shared" si="30"/>
        <v>0</v>
      </c>
      <c r="H395" s="14"/>
      <c r="I395" s="15">
        <f t="shared" si="32"/>
        <v>3.75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7.75</v>
      </c>
      <c r="F396" s="14"/>
      <c r="G396" s="15">
        <f t="shared" si="30"/>
        <v>0</v>
      </c>
      <c r="H396" s="14"/>
      <c r="I396" s="15">
        <f t="shared" si="32"/>
        <v>3.75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7.75</v>
      </c>
      <c r="F397" s="14"/>
      <c r="G397" s="15">
        <f t="shared" si="30"/>
        <v>0</v>
      </c>
      <c r="H397" s="14"/>
      <c r="I397" s="15">
        <f t="shared" si="32"/>
        <v>3.75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7.75</v>
      </c>
      <c r="F398" s="14"/>
      <c r="G398" s="15">
        <f t="shared" si="30"/>
        <v>0</v>
      </c>
      <c r="H398" s="14"/>
      <c r="I398" s="15">
        <f t="shared" si="32"/>
        <v>3.75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7.75</v>
      </c>
      <c r="F399" s="14"/>
      <c r="G399" s="15">
        <f t="shared" si="30"/>
        <v>0</v>
      </c>
      <c r="H399" s="14"/>
      <c r="I399" s="15">
        <f t="shared" si="32"/>
        <v>3.75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7.75</v>
      </c>
      <c r="F400" s="14"/>
      <c r="G400" s="15">
        <f t="shared" si="30"/>
        <v>0</v>
      </c>
      <c r="H400" s="14"/>
      <c r="I400" s="15">
        <f t="shared" si="32"/>
        <v>3.75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7.75</v>
      </c>
      <c r="F401" s="14"/>
      <c r="G401" s="15">
        <f t="shared" si="30"/>
        <v>0</v>
      </c>
      <c r="H401" s="14"/>
      <c r="I401" s="15">
        <f t="shared" si="32"/>
        <v>3.75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7.75</v>
      </c>
      <c r="F402" s="14"/>
      <c r="G402" s="15">
        <f t="shared" si="30"/>
        <v>0</v>
      </c>
      <c r="H402" s="14"/>
      <c r="I402" s="15">
        <f t="shared" si="32"/>
        <v>3.75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7.75</v>
      </c>
      <c r="F403" s="14"/>
      <c r="G403" s="15">
        <f t="shared" si="30"/>
        <v>0</v>
      </c>
      <c r="H403" s="14"/>
      <c r="I403" s="15">
        <f t="shared" si="32"/>
        <v>3.75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 t="str">
        <f>A1</f>
        <v>STEPHANINE ANN C. TOLENTINO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 t="str">
        <f>K1</f>
        <v>3/25/2010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7.75</v>
      </c>
      <c r="F413" s="14"/>
      <c r="G413" s="15">
        <f>C413</f>
        <v>0</v>
      </c>
      <c r="H413" s="14"/>
      <c r="I413" s="15">
        <f>I403+G413-H413</f>
        <v>3.75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7.75</v>
      </c>
      <c r="F414" s="14"/>
      <c r="G414" s="15">
        <f t="shared" ref="G414:G438" si="33">C414</f>
        <v>0</v>
      </c>
      <c r="H414" s="14"/>
      <c r="I414" s="15">
        <f>I413+G414-H414</f>
        <v>3.75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7.75</v>
      </c>
      <c r="F415" s="14"/>
      <c r="G415" s="15">
        <f t="shared" si="33"/>
        <v>0</v>
      </c>
      <c r="H415" s="14"/>
      <c r="I415" s="15">
        <f t="shared" ref="I415:I438" si="35">I414+G415-H415</f>
        <v>3.75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7.75</v>
      </c>
      <c r="F416" s="14"/>
      <c r="G416" s="15">
        <f t="shared" si="33"/>
        <v>0</v>
      </c>
      <c r="H416" s="14"/>
      <c r="I416" s="15">
        <f t="shared" si="35"/>
        <v>3.75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7.75</v>
      </c>
      <c r="F417" s="14"/>
      <c r="G417" s="15">
        <f t="shared" si="33"/>
        <v>0</v>
      </c>
      <c r="H417" s="14"/>
      <c r="I417" s="15">
        <f t="shared" si="35"/>
        <v>3.75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7.75</v>
      </c>
      <c r="F418" s="14"/>
      <c r="G418" s="15">
        <f t="shared" si="33"/>
        <v>0</v>
      </c>
      <c r="H418" s="14"/>
      <c r="I418" s="15">
        <f t="shared" si="35"/>
        <v>3.75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7.75</v>
      </c>
      <c r="F419" s="14"/>
      <c r="G419" s="15">
        <f t="shared" si="33"/>
        <v>0</v>
      </c>
      <c r="H419" s="14"/>
      <c r="I419" s="15">
        <f t="shared" si="35"/>
        <v>3.75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7.75</v>
      </c>
      <c r="F420" s="14"/>
      <c r="G420" s="15">
        <f t="shared" si="33"/>
        <v>0</v>
      </c>
      <c r="H420" s="14"/>
      <c r="I420" s="15">
        <f t="shared" si="35"/>
        <v>3.75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7.75</v>
      </c>
      <c r="F421" s="14"/>
      <c r="G421" s="15">
        <f t="shared" si="33"/>
        <v>0</v>
      </c>
      <c r="H421" s="14"/>
      <c r="I421" s="15">
        <f t="shared" si="35"/>
        <v>3.75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7.75</v>
      </c>
      <c r="F422" s="14"/>
      <c r="G422" s="15">
        <f t="shared" si="33"/>
        <v>0</v>
      </c>
      <c r="H422" s="14"/>
      <c r="I422" s="15">
        <f t="shared" si="35"/>
        <v>3.75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7.75</v>
      </c>
      <c r="F423" s="14"/>
      <c r="G423" s="15">
        <f t="shared" si="33"/>
        <v>0</v>
      </c>
      <c r="H423" s="14"/>
      <c r="I423" s="15">
        <f t="shared" si="35"/>
        <v>3.75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7.75</v>
      </c>
      <c r="F424" s="14"/>
      <c r="G424" s="15">
        <f t="shared" si="33"/>
        <v>0</v>
      </c>
      <c r="H424" s="14"/>
      <c r="I424" s="15">
        <f t="shared" si="35"/>
        <v>3.75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7.75</v>
      </c>
      <c r="F425" s="14"/>
      <c r="G425" s="15">
        <f t="shared" si="33"/>
        <v>0</v>
      </c>
      <c r="H425" s="14"/>
      <c r="I425" s="15">
        <f t="shared" si="35"/>
        <v>3.75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7.75</v>
      </c>
      <c r="F426" s="14"/>
      <c r="G426" s="15">
        <f t="shared" si="33"/>
        <v>0</v>
      </c>
      <c r="H426" s="14"/>
      <c r="I426" s="15">
        <f t="shared" si="35"/>
        <v>3.75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7.75</v>
      </c>
      <c r="F427" s="14"/>
      <c r="G427" s="15">
        <f t="shared" si="33"/>
        <v>0</v>
      </c>
      <c r="H427" s="14"/>
      <c r="I427" s="15">
        <f t="shared" si="35"/>
        <v>3.75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7.75</v>
      </c>
      <c r="F428" s="14"/>
      <c r="G428" s="15">
        <f t="shared" si="33"/>
        <v>0</v>
      </c>
      <c r="H428" s="14"/>
      <c r="I428" s="15">
        <f t="shared" si="35"/>
        <v>3.75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7.75</v>
      </c>
      <c r="F429" s="14"/>
      <c r="G429" s="15">
        <f t="shared" si="33"/>
        <v>0</v>
      </c>
      <c r="H429" s="14"/>
      <c r="I429" s="15">
        <f t="shared" si="35"/>
        <v>3.75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7.75</v>
      </c>
      <c r="F430" s="14"/>
      <c r="G430" s="15">
        <f t="shared" si="33"/>
        <v>0</v>
      </c>
      <c r="H430" s="14"/>
      <c r="I430" s="15">
        <f t="shared" si="35"/>
        <v>3.75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7.75</v>
      </c>
      <c r="F431" s="14"/>
      <c r="G431" s="15">
        <f t="shared" si="33"/>
        <v>0</v>
      </c>
      <c r="H431" s="14"/>
      <c r="I431" s="15">
        <f t="shared" si="35"/>
        <v>3.75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7.75</v>
      </c>
      <c r="F432" s="14"/>
      <c r="G432" s="15">
        <f t="shared" si="33"/>
        <v>0</v>
      </c>
      <c r="H432" s="14"/>
      <c r="I432" s="15">
        <f t="shared" si="35"/>
        <v>3.75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7.75</v>
      </c>
      <c r="F433" s="14"/>
      <c r="G433" s="15">
        <f t="shared" si="33"/>
        <v>0</v>
      </c>
      <c r="H433" s="14"/>
      <c r="I433" s="15">
        <f t="shared" si="35"/>
        <v>3.75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7.75</v>
      </c>
      <c r="F434" s="14"/>
      <c r="G434" s="15">
        <f t="shared" si="33"/>
        <v>0</v>
      </c>
      <c r="H434" s="14"/>
      <c r="I434" s="15">
        <f t="shared" si="35"/>
        <v>3.75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7.75</v>
      </c>
      <c r="F435" s="14"/>
      <c r="G435" s="15">
        <f t="shared" si="33"/>
        <v>0</v>
      </c>
      <c r="H435" s="14"/>
      <c r="I435" s="15">
        <f t="shared" si="35"/>
        <v>3.75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7.75</v>
      </c>
      <c r="F436" s="14"/>
      <c r="G436" s="15">
        <f t="shared" si="33"/>
        <v>0</v>
      </c>
      <c r="H436" s="14"/>
      <c r="I436" s="15">
        <f t="shared" si="35"/>
        <v>3.75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7.75</v>
      </c>
      <c r="F437" s="14"/>
      <c r="G437" s="15">
        <f t="shared" si="33"/>
        <v>0</v>
      </c>
      <c r="H437" s="14"/>
      <c r="I437" s="15">
        <f t="shared" si="35"/>
        <v>3.75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7.75</v>
      </c>
      <c r="F438" s="14"/>
      <c r="G438" s="15">
        <f t="shared" si="33"/>
        <v>0</v>
      </c>
      <c r="H438" s="14"/>
      <c r="I438" s="15">
        <f t="shared" si="35"/>
        <v>3.75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 t="str">
        <f>A1</f>
        <v>STEPHANINE ANN C. TOLENTINO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 t="str">
        <f>K1</f>
        <v>3/25/2010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7.75</v>
      </c>
      <c r="F452" s="14"/>
      <c r="G452" s="15">
        <f>C452</f>
        <v>0</v>
      </c>
      <c r="H452" s="14"/>
      <c r="I452" s="15">
        <f>I438+G452-H452</f>
        <v>3.75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7.75</v>
      </c>
      <c r="F453" s="14"/>
      <c r="G453" s="15">
        <f t="shared" ref="G453:G477" si="36">C453</f>
        <v>0</v>
      </c>
      <c r="H453" s="14"/>
      <c r="I453" s="15">
        <f>I452+G453-H453</f>
        <v>3.75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7.75</v>
      </c>
      <c r="F454" s="14"/>
      <c r="G454" s="15">
        <f t="shared" si="36"/>
        <v>0</v>
      </c>
      <c r="H454" s="14"/>
      <c r="I454" s="15">
        <f t="shared" ref="I454:I477" si="38">I453+G454-H454</f>
        <v>3.75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7.75</v>
      </c>
      <c r="F455" s="14"/>
      <c r="G455" s="15">
        <f t="shared" si="36"/>
        <v>0</v>
      </c>
      <c r="H455" s="14"/>
      <c r="I455" s="15">
        <f t="shared" si="38"/>
        <v>3.75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7.75</v>
      </c>
      <c r="F456" s="14"/>
      <c r="G456" s="15">
        <f t="shared" si="36"/>
        <v>0</v>
      </c>
      <c r="H456" s="14"/>
      <c r="I456" s="15">
        <f t="shared" si="38"/>
        <v>3.75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7.75</v>
      </c>
      <c r="F457" s="14"/>
      <c r="G457" s="15">
        <f t="shared" si="36"/>
        <v>0</v>
      </c>
      <c r="H457" s="14"/>
      <c r="I457" s="15">
        <f t="shared" si="38"/>
        <v>3.75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7.75</v>
      </c>
      <c r="F458" s="14"/>
      <c r="G458" s="15">
        <f t="shared" si="36"/>
        <v>0</v>
      </c>
      <c r="H458" s="14"/>
      <c r="I458" s="15">
        <f t="shared" si="38"/>
        <v>3.75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7.75</v>
      </c>
      <c r="F459" s="14"/>
      <c r="G459" s="15">
        <f t="shared" si="36"/>
        <v>0</v>
      </c>
      <c r="H459" s="14"/>
      <c r="I459" s="15">
        <f t="shared" si="38"/>
        <v>3.75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7.75</v>
      </c>
      <c r="F460" s="14"/>
      <c r="G460" s="15">
        <f t="shared" si="36"/>
        <v>0</v>
      </c>
      <c r="H460" s="14"/>
      <c r="I460" s="15">
        <f t="shared" si="38"/>
        <v>3.75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7.75</v>
      </c>
      <c r="F461" s="14"/>
      <c r="G461" s="15">
        <f t="shared" si="36"/>
        <v>0</v>
      </c>
      <c r="H461" s="14"/>
      <c r="I461" s="15">
        <f t="shared" si="38"/>
        <v>3.75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7.75</v>
      </c>
      <c r="F462" s="14"/>
      <c r="G462" s="15">
        <f t="shared" si="36"/>
        <v>0</v>
      </c>
      <c r="H462" s="14"/>
      <c r="I462" s="15">
        <f t="shared" si="38"/>
        <v>3.75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7.75</v>
      </c>
      <c r="F463" s="14"/>
      <c r="G463" s="15">
        <f t="shared" si="36"/>
        <v>0</v>
      </c>
      <c r="H463" s="14"/>
      <c r="I463" s="15">
        <f t="shared" si="38"/>
        <v>3.75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7.75</v>
      </c>
      <c r="F464" s="14"/>
      <c r="G464" s="15">
        <f t="shared" si="36"/>
        <v>0</v>
      </c>
      <c r="H464" s="14"/>
      <c r="I464" s="15">
        <f t="shared" si="38"/>
        <v>3.75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7.75</v>
      </c>
      <c r="F465" s="14"/>
      <c r="G465" s="15">
        <f t="shared" si="36"/>
        <v>0</v>
      </c>
      <c r="H465" s="14"/>
      <c r="I465" s="15">
        <f t="shared" si="38"/>
        <v>3.75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7.75</v>
      </c>
      <c r="F466" s="14"/>
      <c r="G466" s="15">
        <f t="shared" si="36"/>
        <v>0</v>
      </c>
      <c r="H466" s="14"/>
      <c r="I466" s="15">
        <f t="shared" si="38"/>
        <v>3.75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7.75</v>
      </c>
      <c r="F467" s="14"/>
      <c r="G467" s="15">
        <f t="shared" si="36"/>
        <v>0</v>
      </c>
      <c r="H467" s="14"/>
      <c r="I467" s="15">
        <f t="shared" si="38"/>
        <v>3.75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7.75</v>
      </c>
      <c r="F468" s="14"/>
      <c r="G468" s="15">
        <f t="shared" si="36"/>
        <v>0</v>
      </c>
      <c r="H468" s="14"/>
      <c r="I468" s="15">
        <f t="shared" si="38"/>
        <v>3.75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7.75</v>
      </c>
      <c r="F469" s="14"/>
      <c r="G469" s="15">
        <f t="shared" si="36"/>
        <v>0</v>
      </c>
      <c r="H469" s="14"/>
      <c r="I469" s="15">
        <f t="shared" si="38"/>
        <v>3.75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7.75</v>
      </c>
      <c r="F470" s="14"/>
      <c r="G470" s="15">
        <f t="shared" si="36"/>
        <v>0</v>
      </c>
      <c r="H470" s="14"/>
      <c r="I470" s="15">
        <f t="shared" si="38"/>
        <v>3.75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7.75</v>
      </c>
      <c r="F471" s="14"/>
      <c r="G471" s="15">
        <f t="shared" si="36"/>
        <v>0</v>
      </c>
      <c r="H471" s="14"/>
      <c r="I471" s="15">
        <f t="shared" si="38"/>
        <v>3.75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7.75</v>
      </c>
      <c r="F472" s="14"/>
      <c r="G472" s="15">
        <f t="shared" si="36"/>
        <v>0</v>
      </c>
      <c r="H472" s="14"/>
      <c r="I472" s="15">
        <f t="shared" si="38"/>
        <v>3.75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7.75</v>
      </c>
      <c r="F473" s="14"/>
      <c r="G473" s="15">
        <f t="shared" si="36"/>
        <v>0</v>
      </c>
      <c r="H473" s="14"/>
      <c r="I473" s="15">
        <f t="shared" si="38"/>
        <v>3.75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7.75</v>
      </c>
      <c r="F474" s="14"/>
      <c r="G474" s="15">
        <f t="shared" si="36"/>
        <v>0</v>
      </c>
      <c r="H474" s="14"/>
      <c r="I474" s="15">
        <f t="shared" si="38"/>
        <v>3.75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7.75</v>
      </c>
      <c r="F475" s="14"/>
      <c r="G475" s="15">
        <f t="shared" si="36"/>
        <v>0</v>
      </c>
      <c r="H475" s="14"/>
      <c r="I475" s="15">
        <f t="shared" si="38"/>
        <v>3.75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7.75</v>
      </c>
      <c r="F476" s="14"/>
      <c r="G476" s="15">
        <f t="shared" si="36"/>
        <v>0</v>
      </c>
      <c r="H476" s="14"/>
      <c r="I476" s="15">
        <f t="shared" si="38"/>
        <v>3.75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7.75</v>
      </c>
      <c r="F477" s="14"/>
      <c r="G477" s="15">
        <f t="shared" si="36"/>
        <v>0</v>
      </c>
      <c r="H477" s="14"/>
      <c r="I477" s="15">
        <f t="shared" si="38"/>
        <v>3.75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 t="str">
        <f>A1</f>
        <v>STEPHANINE ANN C. TOLENTINO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 t="str">
        <f>K1</f>
        <v>3/25/2010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7.75</v>
      </c>
      <c r="F487" s="14"/>
      <c r="G487" s="15"/>
      <c r="H487" s="14"/>
      <c r="I487" s="15">
        <f>I477+G487-H487</f>
        <v>3.75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7.75</v>
      </c>
      <c r="F488" s="14"/>
      <c r="G488" s="15"/>
      <c r="H488" s="14"/>
      <c r="I488" s="15">
        <f>I487+G488-H488</f>
        <v>3.75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7.75</v>
      </c>
      <c r="F489" s="14"/>
      <c r="G489" s="15"/>
      <c r="H489" s="14"/>
      <c r="I489" s="15">
        <f t="shared" ref="I489:I512" si="40">I488+G489-H489</f>
        <v>3.75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7.75</v>
      </c>
      <c r="F490" s="14"/>
      <c r="G490" s="15"/>
      <c r="H490" s="14"/>
      <c r="I490" s="15">
        <f t="shared" si="40"/>
        <v>3.75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7.75</v>
      </c>
      <c r="F491" s="14"/>
      <c r="G491" s="15"/>
      <c r="H491" s="14"/>
      <c r="I491" s="15">
        <f t="shared" si="40"/>
        <v>3.75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7.75</v>
      </c>
      <c r="F492" s="14"/>
      <c r="G492" s="15"/>
      <c r="H492" s="14"/>
      <c r="I492" s="15">
        <f t="shared" si="40"/>
        <v>3.75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7.75</v>
      </c>
      <c r="F493" s="14"/>
      <c r="G493" s="15"/>
      <c r="H493" s="14"/>
      <c r="I493" s="15">
        <f t="shared" si="40"/>
        <v>3.75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7.75</v>
      </c>
      <c r="F494" s="14"/>
      <c r="G494" s="15"/>
      <c r="H494" s="14"/>
      <c r="I494" s="15">
        <f t="shared" si="40"/>
        <v>3.75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7.75</v>
      </c>
      <c r="F495" s="14"/>
      <c r="G495" s="15"/>
      <c r="H495" s="14"/>
      <c r="I495" s="15">
        <f t="shared" si="40"/>
        <v>3.75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7.75</v>
      </c>
      <c r="F496" s="14"/>
      <c r="G496" s="15"/>
      <c r="H496" s="14"/>
      <c r="I496" s="15">
        <f t="shared" si="40"/>
        <v>3.75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7.75</v>
      </c>
      <c r="F497" s="14"/>
      <c r="G497" s="15"/>
      <c r="H497" s="14"/>
      <c r="I497" s="15">
        <f t="shared" si="40"/>
        <v>3.75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7.75</v>
      </c>
      <c r="F498" s="14"/>
      <c r="G498" s="15"/>
      <c r="H498" s="14"/>
      <c r="I498" s="15">
        <f t="shared" si="40"/>
        <v>3.75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7.75</v>
      </c>
      <c r="F499" s="14"/>
      <c r="G499" s="15"/>
      <c r="H499" s="14"/>
      <c r="I499" s="15">
        <f t="shared" si="40"/>
        <v>3.75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7.75</v>
      </c>
      <c r="F500" s="14"/>
      <c r="G500" s="15"/>
      <c r="H500" s="14"/>
      <c r="I500" s="15">
        <f t="shared" si="40"/>
        <v>3.75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7.75</v>
      </c>
      <c r="F501" s="14"/>
      <c r="G501" s="15"/>
      <c r="H501" s="14"/>
      <c r="I501" s="15">
        <f t="shared" si="40"/>
        <v>3.75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7.75</v>
      </c>
      <c r="F502" s="14"/>
      <c r="G502" s="15"/>
      <c r="H502" s="14"/>
      <c r="I502" s="15">
        <f t="shared" si="40"/>
        <v>3.75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7.75</v>
      </c>
      <c r="F503" s="14"/>
      <c r="G503" s="15"/>
      <c r="H503" s="14"/>
      <c r="I503" s="15">
        <f t="shared" si="40"/>
        <v>3.75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7.75</v>
      </c>
      <c r="F504" s="14"/>
      <c r="G504" s="15"/>
      <c r="H504" s="14"/>
      <c r="I504" s="15">
        <f t="shared" si="40"/>
        <v>3.75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7.75</v>
      </c>
      <c r="F505" s="14"/>
      <c r="G505" s="15"/>
      <c r="H505" s="14"/>
      <c r="I505" s="15">
        <f t="shared" si="40"/>
        <v>3.75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7.75</v>
      </c>
      <c r="F506" s="14"/>
      <c r="G506" s="15"/>
      <c r="H506" s="14"/>
      <c r="I506" s="15">
        <f t="shared" si="40"/>
        <v>3.75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7.75</v>
      </c>
      <c r="F507" s="14"/>
      <c r="G507" s="15"/>
      <c r="H507" s="14"/>
      <c r="I507" s="15">
        <f t="shared" si="40"/>
        <v>3.75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7.75</v>
      </c>
      <c r="F508" s="14"/>
      <c r="G508" s="15"/>
      <c r="H508" s="14"/>
      <c r="I508" s="15">
        <f t="shared" si="40"/>
        <v>3.75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7.75</v>
      </c>
      <c r="F509" s="14"/>
      <c r="G509" s="15"/>
      <c r="H509" s="14"/>
      <c r="I509" s="15">
        <f t="shared" si="40"/>
        <v>3.75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7.75</v>
      </c>
      <c r="F510" s="14"/>
      <c r="G510" s="15"/>
      <c r="H510" s="14"/>
      <c r="I510" s="15">
        <f t="shared" si="40"/>
        <v>3.75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7.75</v>
      </c>
      <c r="F511" s="14"/>
      <c r="G511" s="15"/>
      <c r="H511" s="14"/>
      <c r="I511" s="15">
        <f t="shared" si="40"/>
        <v>3.75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7.75</v>
      </c>
      <c r="F512" s="14"/>
      <c r="G512" s="15"/>
      <c r="H512" s="14"/>
      <c r="I512" s="15">
        <f t="shared" si="40"/>
        <v>3.75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 t="str">
        <f>A1</f>
        <v>STEPHANINE ANN C. TOLENTINO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 t="str">
        <f>K1</f>
        <v>3/25/2010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7.75</v>
      </c>
      <c r="F526" s="14"/>
      <c r="G526" s="15"/>
      <c r="H526" s="14"/>
      <c r="I526" s="15">
        <f>I512+G526-H526</f>
        <v>3.75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7.75</v>
      </c>
      <c r="F527" s="14"/>
      <c r="G527" s="15"/>
      <c r="H527" s="14"/>
      <c r="I527" s="15">
        <f>I526+G527-H527</f>
        <v>3.75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7.75</v>
      </c>
      <c r="F528" s="14"/>
      <c r="G528" s="15"/>
      <c r="H528" s="14"/>
      <c r="I528" s="15">
        <f t="shared" ref="I528:I551" si="42">I527+G528-H528</f>
        <v>3.75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7.75</v>
      </c>
      <c r="F529" s="14"/>
      <c r="G529" s="15"/>
      <c r="H529" s="14"/>
      <c r="I529" s="15">
        <f t="shared" si="42"/>
        <v>3.75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7.75</v>
      </c>
      <c r="F530" s="14"/>
      <c r="G530" s="15"/>
      <c r="H530" s="14"/>
      <c r="I530" s="15">
        <f t="shared" si="42"/>
        <v>3.75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7.75</v>
      </c>
      <c r="F531" s="14"/>
      <c r="G531" s="15"/>
      <c r="H531" s="14"/>
      <c r="I531" s="15">
        <f t="shared" si="42"/>
        <v>3.75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7.75</v>
      </c>
      <c r="F532" s="14"/>
      <c r="G532" s="15"/>
      <c r="H532" s="14"/>
      <c r="I532" s="15">
        <f t="shared" si="42"/>
        <v>3.75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7.75</v>
      </c>
      <c r="F533" s="14"/>
      <c r="G533" s="15"/>
      <c r="H533" s="14"/>
      <c r="I533" s="15">
        <f t="shared" si="42"/>
        <v>3.75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7.75</v>
      </c>
      <c r="F534" s="14"/>
      <c r="G534" s="15"/>
      <c r="H534" s="14"/>
      <c r="I534" s="15">
        <f t="shared" si="42"/>
        <v>3.75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7.75</v>
      </c>
      <c r="F535" s="14"/>
      <c r="G535" s="15"/>
      <c r="H535" s="14"/>
      <c r="I535" s="15">
        <f t="shared" si="42"/>
        <v>3.75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7.75</v>
      </c>
      <c r="F536" s="14"/>
      <c r="G536" s="15"/>
      <c r="H536" s="14"/>
      <c r="I536" s="15">
        <f t="shared" si="42"/>
        <v>3.75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7.75</v>
      </c>
      <c r="F537" s="14"/>
      <c r="G537" s="15"/>
      <c r="H537" s="14"/>
      <c r="I537" s="15">
        <f t="shared" si="42"/>
        <v>3.75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7.75</v>
      </c>
      <c r="F538" s="14"/>
      <c r="G538" s="15"/>
      <c r="H538" s="14"/>
      <c r="I538" s="15">
        <f t="shared" si="42"/>
        <v>3.75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7.75</v>
      </c>
      <c r="F539" s="14"/>
      <c r="G539" s="15"/>
      <c r="H539" s="14"/>
      <c r="I539" s="15">
        <f t="shared" si="42"/>
        <v>3.75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7.75</v>
      </c>
      <c r="F540" s="14"/>
      <c r="G540" s="15"/>
      <c r="H540" s="14"/>
      <c r="I540" s="15">
        <f t="shared" si="42"/>
        <v>3.75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7.75</v>
      </c>
      <c r="F541" s="14"/>
      <c r="G541" s="15"/>
      <c r="H541" s="14"/>
      <c r="I541" s="15">
        <f t="shared" si="42"/>
        <v>3.75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7.75</v>
      </c>
      <c r="F542" s="14"/>
      <c r="G542" s="15"/>
      <c r="H542" s="14"/>
      <c r="I542" s="15">
        <f t="shared" si="42"/>
        <v>3.75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7.75</v>
      </c>
      <c r="F543" s="14"/>
      <c r="G543" s="15"/>
      <c r="H543" s="14"/>
      <c r="I543" s="15">
        <f t="shared" si="42"/>
        <v>3.75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7.75</v>
      </c>
      <c r="F544" s="14"/>
      <c r="G544" s="15"/>
      <c r="H544" s="14"/>
      <c r="I544" s="15">
        <f t="shared" si="42"/>
        <v>3.75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7.75</v>
      </c>
      <c r="F545" s="14"/>
      <c r="G545" s="15"/>
      <c r="H545" s="14"/>
      <c r="I545" s="15">
        <f t="shared" si="42"/>
        <v>3.75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7.75</v>
      </c>
      <c r="F546" s="14"/>
      <c r="G546" s="15"/>
      <c r="H546" s="14"/>
      <c r="I546" s="15">
        <f t="shared" si="42"/>
        <v>3.75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7.75</v>
      </c>
      <c r="F547" s="14"/>
      <c r="G547" s="15"/>
      <c r="H547" s="14"/>
      <c r="I547" s="15">
        <f t="shared" si="42"/>
        <v>3.75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7.75</v>
      </c>
      <c r="F548" s="14"/>
      <c r="G548" s="15"/>
      <c r="H548" s="14"/>
      <c r="I548" s="15">
        <f t="shared" si="42"/>
        <v>3.75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7.75</v>
      </c>
      <c r="F549" s="14"/>
      <c r="G549" s="15"/>
      <c r="H549" s="14"/>
      <c r="I549" s="15">
        <f t="shared" si="42"/>
        <v>3.75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7.75</v>
      </c>
      <c r="F550" s="14"/>
      <c r="G550" s="15"/>
      <c r="H550" s="14"/>
      <c r="I550" s="15">
        <f t="shared" si="42"/>
        <v>3.75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7.75</v>
      </c>
      <c r="F551" s="14"/>
      <c r="G551" s="15"/>
      <c r="H551" s="14"/>
      <c r="I551" s="15">
        <f t="shared" si="42"/>
        <v>3.75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7.75</v>
      </c>
      <c r="D556" s="46">
        <f>SUM(D552+D513+D478+D439+D404+D365+D330+D291+D256+D217+D182+D143+D108+D69+D34)</f>
        <v>0</v>
      </c>
      <c r="E556" s="46"/>
      <c r="G556" s="26">
        <f>SUM(G552+G513+G478+G439+G404+G365+G330+G291+G256+G217+G182+G143+G108+G69+G34)</f>
        <v>7.75</v>
      </c>
      <c r="H556" s="46">
        <f>SUM(H552+H513+H478+H439+H404+H365+H330+H291+H256+H217+H182+H143+H108+H69+H34)</f>
        <v>4</v>
      </c>
      <c r="I556" s="46"/>
      <c r="K556" s="28">
        <v>319.875</v>
      </c>
    </row>
    <row r="557" spans="1:11" ht="12.6" customHeight="1" x14ac:dyDescent="0.2">
      <c r="K557" s="47">
        <f>G556-K556</f>
        <v>-312.125</v>
      </c>
    </row>
    <row r="566" spans="2:11" ht="12.6" customHeight="1" x14ac:dyDescent="0.2">
      <c r="B566" s="3" t="s">
        <v>33</v>
      </c>
      <c r="E566" s="46"/>
      <c r="F566" s="48">
        <f>C556</f>
        <v>7.75</v>
      </c>
      <c r="H566" s="48">
        <f>F566</f>
        <v>7.75</v>
      </c>
    </row>
    <row r="567" spans="2:11" ht="12.6" customHeight="1" x14ac:dyDescent="0.2">
      <c r="B567" s="3" t="s">
        <v>34</v>
      </c>
      <c r="E567" s="46"/>
      <c r="F567" s="48">
        <f>D556</f>
        <v>0</v>
      </c>
      <c r="H567" s="48">
        <f>H556</f>
        <v>4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7.75</v>
      </c>
      <c r="G570" s="50"/>
      <c r="H570" s="53">
        <f>SUM(H566-H567)</f>
        <v>3.75</v>
      </c>
      <c r="I570" s="54">
        <f>SUM(H570+F570)</f>
        <v>11.5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11.5</v>
      </c>
      <c r="D573" s="97"/>
      <c r="E573" s="100">
        <v>4.8192699999999998E-2</v>
      </c>
      <c r="F573" s="100"/>
      <c r="H573" s="101">
        <f>B573*C573*E573</f>
        <v>8851.3845345499994</v>
      </c>
      <c r="I573" s="101"/>
      <c r="J573" s="101"/>
      <c r="K573" s="56"/>
    </row>
    <row r="574" spans="2:11" ht="12.6" customHeight="1" thickTop="1" x14ac:dyDescent="0.2"/>
  </sheetData>
  <mergeCells count="157"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74"/>
  <sheetViews>
    <sheetView zoomScale="114" zoomScaleNormal="200" workbookViewId="0">
      <selection activeCell="N20" sqref="N20"/>
    </sheetView>
  </sheetViews>
  <sheetFormatPr defaultColWidth="11" defaultRowHeight="10.199999999999999" x14ac:dyDescent="0.2"/>
  <cols>
    <col min="1" max="1" width="9" style="3" bestFit="1" customWidth="1"/>
    <col min="2" max="2" width="23.5546875" style="3" bestFit="1" customWidth="1"/>
    <col min="3" max="3" width="6.5546875" style="26" bestFit="1" customWidth="1"/>
    <col min="4" max="4" width="5.77734375" style="27" bestFit="1" customWidth="1"/>
    <col min="5" max="5" width="6.5546875" style="26" bestFit="1" customWidth="1"/>
    <col min="6" max="6" width="7.44140625" style="27" bestFit="1" customWidth="1"/>
    <col min="7" max="7" width="6.5546875" style="26" bestFit="1" customWidth="1"/>
    <col min="8" max="8" width="6.5546875" style="27" bestFit="1" customWidth="1"/>
    <col min="9" max="9" width="6.77734375" style="26" customWidth="1"/>
    <col min="10" max="10" width="6.21875" style="27" bestFit="1" customWidth="1"/>
    <col min="11" max="11" width="14.77734375" style="28" customWidth="1"/>
    <col min="12" max="16384" width="11" style="3"/>
  </cols>
  <sheetData>
    <row r="1" spans="1:11" ht="12.6" customHeight="1" x14ac:dyDescent="0.2">
      <c r="A1" s="102"/>
      <c r="B1" s="102"/>
      <c r="C1" s="102"/>
      <c r="D1" s="102"/>
      <c r="E1" s="102"/>
      <c r="F1" s="102"/>
      <c r="G1" s="102"/>
      <c r="H1" s="1"/>
      <c r="I1" s="103" t="s">
        <v>0</v>
      </c>
      <c r="J1" s="103"/>
      <c r="K1" s="2"/>
    </row>
    <row r="3" spans="1:11" ht="12.6" customHeight="1" x14ac:dyDescent="0.2">
      <c r="A3" s="104" t="s">
        <v>1</v>
      </c>
      <c r="B3" s="104" t="s">
        <v>2</v>
      </c>
      <c r="C3" s="107" t="s">
        <v>3</v>
      </c>
      <c r="D3" s="108"/>
      <c r="E3" s="108"/>
      <c r="F3" s="109"/>
      <c r="G3" s="107" t="s">
        <v>4</v>
      </c>
      <c r="H3" s="108"/>
      <c r="I3" s="108"/>
      <c r="J3" s="109"/>
      <c r="K3" s="4" t="s">
        <v>5</v>
      </c>
    </row>
    <row r="4" spans="1:11" ht="12.6" customHeight="1" x14ac:dyDescent="0.2">
      <c r="A4" s="105"/>
      <c r="B4" s="105"/>
      <c r="C4" s="94" t="s">
        <v>6</v>
      </c>
      <c r="D4" s="5" t="s">
        <v>7</v>
      </c>
      <c r="E4" s="94" t="s">
        <v>8</v>
      </c>
      <c r="F4" s="6" t="s">
        <v>7</v>
      </c>
      <c r="G4" s="94" t="s">
        <v>6</v>
      </c>
      <c r="H4" s="5" t="s">
        <v>7</v>
      </c>
      <c r="I4" s="94" t="s">
        <v>8</v>
      </c>
      <c r="J4" s="1" t="s">
        <v>7</v>
      </c>
      <c r="K4" s="7" t="s">
        <v>9</v>
      </c>
    </row>
    <row r="5" spans="1:11" ht="12.6" customHeight="1" x14ac:dyDescent="0.2">
      <c r="A5" s="105"/>
      <c r="B5" s="105"/>
      <c r="C5" s="95"/>
      <c r="D5" s="8" t="s">
        <v>10</v>
      </c>
      <c r="E5" s="95"/>
      <c r="F5" s="6" t="s">
        <v>10</v>
      </c>
      <c r="G5" s="95"/>
      <c r="H5" s="8" t="s">
        <v>10</v>
      </c>
      <c r="I5" s="95"/>
      <c r="J5" s="1" t="s">
        <v>10</v>
      </c>
      <c r="K5" s="7" t="s">
        <v>11</v>
      </c>
    </row>
    <row r="6" spans="1:11" ht="12.6" customHeight="1" x14ac:dyDescent="0.2">
      <c r="A6" s="106"/>
      <c r="B6" s="106"/>
      <c r="C6" s="96"/>
      <c r="D6" s="9" t="s">
        <v>12</v>
      </c>
      <c r="E6" s="96"/>
      <c r="F6" s="10" t="s">
        <v>13</v>
      </c>
      <c r="G6" s="96"/>
      <c r="H6" s="9" t="s">
        <v>12</v>
      </c>
      <c r="I6" s="96"/>
      <c r="J6" s="11" t="s">
        <v>13</v>
      </c>
      <c r="K6" s="12" t="s">
        <v>14</v>
      </c>
    </row>
    <row r="7" spans="1:11" ht="12.6" customHeight="1" x14ac:dyDescent="0.2">
      <c r="A7" s="13"/>
      <c r="B7" s="14"/>
      <c r="C7" s="15"/>
      <c r="D7" s="14"/>
      <c r="E7" s="15">
        <f>C7+D7</f>
        <v>0</v>
      </c>
      <c r="F7" s="14"/>
      <c r="G7" s="15">
        <f>C7</f>
        <v>0</v>
      </c>
      <c r="H7" s="14"/>
      <c r="I7" s="15">
        <f>G7+H7</f>
        <v>0</v>
      </c>
      <c r="J7" s="14"/>
      <c r="K7" s="16"/>
    </row>
    <row r="8" spans="1:11" ht="12.6" customHeight="1" x14ac:dyDescent="0.2">
      <c r="A8" s="13"/>
      <c r="B8" s="17"/>
      <c r="C8" s="15"/>
      <c r="D8" s="18"/>
      <c r="E8" s="15">
        <f>E7+C8-D8</f>
        <v>0</v>
      </c>
      <c r="F8" s="14"/>
      <c r="G8" s="15">
        <f t="shared" ref="G8:G33" si="0">C8</f>
        <v>0</v>
      </c>
      <c r="H8" s="14"/>
      <c r="I8" s="15">
        <f>I7+G8-H8</f>
        <v>0</v>
      </c>
      <c r="J8" s="14"/>
      <c r="K8" s="16"/>
    </row>
    <row r="9" spans="1:11" ht="12.6" customHeight="1" x14ac:dyDescent="0.2">
      <c r="A9" s="13"/>
      <c r="B9" s="17"/>
      <c r="C9" s="15"/>
      <c r="D9" s="14"/>
      <c r="E9" s="15">
        <f t="shared" ref="E9:E33" si="1">E8+C9-D9</f>
        <v>0</v>
      </c>
      <c r="F9" s="14"/>
      <c r="G9" s="15">
        <f t="shared" si="0"/>
        <v>0</v>
      </c>
      <c r="H9" s="14"/>
      <c r="I9" s="15">
        <f t="shared" ref="I9:I34" si="2">I8+G9-H9</f>
        <v>0</v>
      </c>
      <c r="J9" s="14"/>
      <c r="K9" s="16"/>
    </row>
    <row r="10" spans="1:11" ht="12.6" customHeight="1" x14ac:dyDescent="0.2">
      <c r="A10" s="13"/>
      <c r="B10" s="19"/>
      <c r="C10" s="15"/>
      <c r="D10" s="14"/>
      <c r="E10" s="15">
        <f t="shared" si="1"/>
        <v>0</v>
      </c>
      <c r="F10" s="14"/>
      <c r="G10" s="15">
        <f t="shared" si="0"/>
        <v>0</v>
      </c>
      <c r="H10" s="14"/>
      <c r="I10" s="15">
        <f t="shared" si="2"/>
        <v>0</v>
      </c>
      <c r="J10" s="14"/>
      <c r="K10" s="13"/>
    </row>
    <row r="11" spans="1:11" ht="12.6" customHeight="1" x14ac:dyDescent="0.2">
      <c r="A11" s="13"/>
      <c r="B11" s="17"/>
      <c r="C11" s="15"/>
      <c r="D11" s="14"/>
      <c r="E11" s="15">
        <f t="shared" si="1"/>
        <v>0</v>
      </c>
      <c r="F11" s="14"/>
      <c r="G11" s="15">
        <f t="shared" si="0"/>
        <v>0</v>
      </c>
      <c r="H11" s="14"/>
      <c r="I11" s="15">
        <f t="shared" si="2"/>
        <v>0</v>
      </c>
      <c r="J11" s="14"/>
      <c r="K11" s="20"/>
    </row>
    <row r="12" spans="1:11" ht="12.6" customHeight="1" x14ac:dyDescent="0.2">
      <c r="A12" s="13"/>
      <c r="B12" s="19"/>
      <c r="C12" s="15"/>
      <c r="D12" s="14"/>
      <c r="E12" s="15">
        <f t="shared" si="1"/>
        <v>0</v>
      </c>
      <c r="F12" s="14"/>
      <c r="G12" s="15">
        <f t="shared" si="0"/>
        <v>0</v>
      </c>
      <c r="H12" s="14"/>
      <c r="I12" s="15">
        <f t="shared" si="2"/>
        <v>0</v>
      </c>
      <c r="J12" s="14"/>
      <c r="K12" s="13"/>
    </row>
    <row r="13" spans="1:11" ht="12.6" customHeight="1" x14ac:dyDescent="0.2">
      <c r="A13" s="13"/>
      <c r="B13" s="17"/>
      <c r="C13" s="15"/>
      <c r="D13" s="14"/>
      <c r="E13" s="15">
        <f t="shared" si="1"/>
        <v>0</v>
      </c>
      <c r="F13" s="14"/>
      <c r="G13" s="15">
        <f t="shared" si="0"/>
        <v>0</v>
      </c>
      <c r="H13" s="14"/>
      <c r="I13" s="15">
        <f t="shared" si="2"/>
        <v>0</v>
      </c>
      <c r="J13" s="14"/>
      <c r="K13" s="13"/>
    </row>
    <row r="14" spans="1:11" ht="12.6" customHeight="1" x14ac:dyDescent="0.2">
      <c r="A14" s="13"/>
      <c r="B14" s="17"/>
      <c r="C14" s="15"/>
      <c r="D14" s="14"/>
      <c r="E14" s="15">
        <f t="shared" si="1"/>
        <v>0</v>
      </c>
      <c r="F14" s="14"/>
      <c r="G14" s="15">
        <f t="shared" si="0"/>
        <v>0</v>
      </c>
      <c r="H14" s="14"/>
      <c r="I14" s="15">
        <f t="shared" si="2"/>
        <v>0</v>
      </c>
      <c r="J14" s="14"/>
      <c r="K14" s="13"/>
    </row>
    <row r="15" spans="1:11" ht="12.6" customHeight="1" x14ac:dyDescent="0.2">
      <c r="A15" s="13"/>
      <c r="B15" s="17"/>
      <c r="C15" s="15"/>
      <c r="D15" s="14"/>
      <c r="E15" s="15">
        <f t="shared" si="1"/>
        <v>0</v>
      </c>
      <c r="F15" s="14"/>
      <c r="G15" s="15">
        <f t="shared" si="0"/>
        <v>0</v>
      </c>
      <c r="H15" s="14"/>
      <c r="I15" s="15">
        <f t="shared" si="2"/>
        <v>0</v>
      </c>
      <c r="J15" s="14"/>
      <c r="K15" s="13"/>
    </row>
    <row r="16" spans="1:11" ht="12.6" customHeight="1" x14ac:dyDescent="0.2">
      <c r="A16" s="13"/>
      <c r="B16" s="19"/>
      <c r="C16" s="15"/>
      <c r="D16" s="14"/>
      <c r="E16" s="15">
        <f t="shared" si="1"/>
        <v>0</v>
      </c>
      <c r="F16" s="14"/>
      <c r="G16" s="15">
        <f t="shared" si="0"/>
        <v>0</v>
      </c>
      <c r="H16" s="14"/>
      <c r="I16" s="15">
        <f t="shared" si="2"/>
        <v>0</v>
      </c>
      <c r="J16" s="14"/>
      <c r="K16" s="13"/>
    </row>
    <row r="17" spans="1:11" ht="12.6" customHeight="1" x14ac:dyDescent="0.2">
      <c r="A17" s="13"/>
      <c r="B17" s="17"/>
      <c r="C17" s="15"/>
      <c r="D17" s="14"/>
      <c r="E17" s="15">
        <f t="shared" si="1"/>
        <v>0</v>
      </c>
      <c r="F17" s="14"/>
      <c r="G17" s="15">
        <f t="shared" si="0"/>
        <v>0</v>
      </c>
      <c r="H17" s="14"/>
      <c r="I17" s="15">
        <f t="shared" si="2"/>
        <v>0</v>
      </c>
      <c r="J17" s="14"/>
      <c r="K17" s="13"/>
    </row>
    <row r="18" spans="1:11" ht="12.6" customHeight="1" x14ac:dyDescent="0.2">
      <c r="A18" s="13"/>
      <c r="B18" s="17"/>
      <c r="C18" s="15"/>
      <c r="D18" s="14"/>
      <c r="E18" s="15">
        <f t="shared" si="1"/>
        <v>0</v>
      </c>
      <c r="F18" s="14"/>
      <c r="G18" s="15">
        <f t="shared" si="0"/>
        <v>0</v>
      </c>
      <c r="H18" s="14"/>
      <c r="I18" s="15">
        <f t="shared" si="2"/>
        <v>0</v>
      </c>
      <c r="J18" s="14"/>
      <c r="K18" s="13"/>
    </row>
    <row r="19" spans="1:11" ht="12.6" customHeight="1" x14ac:dyDescent="0.2">
      <c r="A19" s="13"/>
      <c r="B19" s="17"/>
      <c r="C19" s="15"/>
      <c r="D19" s="14"/>
      <c r="E19" s="15">
        <f t="shared" si="1"/>
        <v>0</v>
      </c>
      <c r="F19" s="14"/>
      <c r="G19" s="15">
        <f t="shared" si="0"/>
        <v>0</v>
      </c>
      <c r="H19" s="14"/>
      <c r="I19" s="15">
        <f t="shared" si="2"/>
        <v>0</v>
      </c>
      <c r="J19" s="14"/>
      <c r="K19" s="13"/>
    </row>
    <row r="20" spans="1:11" ht="12.6" customHeight="1" x14ac:dyDescent="0.2">
      <c r="A20" s="13"/>
      <c r="B20" s="17"/>
      <c r="C20" s="15"/>
      <c r="D20" s="21"/>
      <c r="E20" s="15">
        <f t="shared" si="1"/>
        <v>0</v>
      </c>
      <c r="F20" s="14"/>
      <c r="G20" s="15">
        <f t="shared" si="0"/>
        <v>0</v>
      </c>
      <c r="H20" s="14"/>
      <c r="I20" s="15">
        <f t="shared" si="2"/>
        <v>0</v>
      </c>
      <c r="J20" s="14"/>
      <c r="K20" s="13"/>
    </row>
    <row r="21" spans="1:11" ht="12.6" customHeight="1" x14ac:dyDescent="0.2">
      <c r="A21" s="13"/>
      <c r="B21" s="17"/>
      <c r="C21" s="15"/>
      <c r="D21" s="14"/>
      <c r="E21" s="15">
        <f t="shared" si="1"/>
        <v>0</v>
      </c>
      <c r="F21" s="14"/>
      <c r="G21" s="15">
        <f t="shared" si="0"/>
        <v>0</v>
      </c>
      <c r="H21" s="14"/>
      <c r="I21" s="15">
        <f t="shared" si="2"/>
        <v>0</v>
      </c>
      <c r="J21" s="14"/>
      <c r="K21" s="13"/>
    </row>
    <row r="22" spans="1:11" ht="12.6" customHeight="1" x14ac:dyDescent="0.2">
      <c r="A22" s="13"/>
      <c r="B22" s="17"/>
      <c r="C22" s="15"/>
      <c r="D22" s="14"/>
      <c r="E22" s="15">
        <f t="shared" si="1"/>
        <v>0</v>
      </c>
      <c r="F22" s="14"/>
      <c r="G22" s="15">
        <f t="shared" si="0"/>
        <v>0</v>
      </c>
      <c r="H22" s="14"/>
      <c r="I22" s="15">
        <f t="shared" si="2"/>
        <v>0</v>
      </c>
      <c r="J22" s="14"/>
      <c r="K22" s="13"/>
    </row>
    <row r="23" spans="1:11" ht="12.6" customHeight="1" x14ac:dyDescent="0.2">
      <c r="A23" s="13"/>
      <c r="B23" s="17"/>
      <c r="C23" s="15"/>
      <c r="D23" s="14"/>
      <c r="E23" s="15">
        <f t="shared" si="1"/>
        <v>0</v>
      </c>
      <c r="F23" s="14"/>
      <c r="G23" s="15">
        <f t="shared" si="0"/>
        <v>0</v>
      </c>
      <c r="H23" s="14"/>
      <c r="I23" s="15">
        <f t="shared" si="2"/>
        <v>0</v>
      </c>
      <c r="J23" s="14"/>
      <c r="K23" s="13"/>
    </row>
    <row r="24" spans="1:11" ht="12.6" customHeight="1" x14ac:dyDescent="0.2">
      <c r="A24" s="13"/>
      <c r="B24" s="19"/>
      <c r="C24" s="15"/>
      <c r="D24" s="14"/>
      <c r="E24" s="15">
        <f t="shared" si="1"/>
        <v>0</v>
      </c>
      <c r="F24" s="14"/>
      <c r="G24" s="15">
        <f t="shared" si="0"/>
        <v>0</v>
      </c>
      <c r="H24" s="14"/>
      <c r="I24" s="15">
        <f t="shared" si="2"/>
        <v>0</v>
      </c>
      <c r="J24" s="14"/>
      <c r="K24" s="13"/>
    </row>
    <row r="25" spans="1:11" ht="12.6" customHeight="1" x14ac:dyDescent="0.2">
      <c r="A25" s="13"/>
      <c r="B25" s="17"/>
      <c r="C25" s="15"/>
      <c r="D25" s="14"/>
      <c r="E25" s="15">
        <f t="shared" si="1"/>
        <v>0</v>
      </c>
      <c r="F25" s="14"/>
      <c r="G25" s="15">
        <f t="shared" si="0"/>
        <v>0</v>
      </c>
      <c r="H25" s="14"/>
      <c r="I25" s="15">
        <f t="shared" si="2"/>
        <v>0</v>
      </c>
      <c r="J25" s="14"/>
      <c r="K25" s="13"/>
    </row>
    <row r="26" spans="1:11" ht="12.6" customHeight="1" x14ac:dyDescent="0.2">
      <c r="A26" s="13"/>
      <c r="B26" s="19"/>
      <c r="C26" s="15"/>
      <c r="D26" s="14"/>
      <c r="E26" s="15">
        <f t="shared" si="1"/>
        <v>0</v>
      </c>
      <c r="F26" s="14"/>
      <c r="G26" s="15">
        <f t="shared" si="0"/>
        <v>0</v>
      </c>
      <c r="H26" s="14"/>
      <c r="I26" s="15">
        <f t="shared" si="2"/>
        <v>0</v>
      </c>
      <c r="J26" s="14"/>
      <c r="K26" s="13"/>
    </row>
    <row r="27" spans="1:11" ht="12.6" customHeight="1" x14ac:dyDescent="0.2">
      <c r="A27" s="13"/>
      <c r="B27" s="17"/>
      <c r="C27" s="15"/>
      <c r="D27" s="14"/>
      <c r="E27" s="15">
        <f t="shared" si="1"/>
        <v>0</v>
      </c>
      <c r="F27" s="14"/>
      <c r="G27" s="15">
        <f t="shared" si="0"/>
        <v>0</v>
      </c>
      <c r="H27" s="14"/>
      <c r="I27" s="15">
        <f t="shared" si="2"/>
        <v>0</v>
      </c>
      <c r="J27" s="14"/>
      <c r="K27" s="13"/>
    </row>
    <row r="28" spans="1:11" ht="12.6" customHeight="1" x14ac:dyDescent="0.2">
      <c r="A28" s="13"/>
      <c r="B28" s="19"/>
      <c r="C28" s="15"/>
      <c r="D28" s="14"/>
      <c r="E28" s="15">
        <f t="shared" si="1"/>
        <v>0</v>
      </c>
      <c r="F28" s="14"/>
      <c r="G28" s="15">
        <f t="shared" si="0"/>
        <v>0</v>
      </c>
      <c r="H28" s="14"/>
      <c r="I28" s="15">
        <f t="shared" si="2"/>
        <v>0</v>
      </c>
      <c r="J28" s="14"/>
      <c r="K28" s="13"/>
    </row>
    <row r="29" spans="1:11" ht="12.6" customHeight="1" x14ac:dyDescent="0.2">
      <c r="A29" s="13"/>
      <c r="B29" s="19"/>
      <c r="C29" s="15"/>
      <c r="D29" s="14"/>
      <c r="E29" s="15">
        <f t="shared" si="1"/>
        <v>0</v>
      </c>
      <c r="F29" s="14"/>
      <c r="G29" s="15">
        <f t="shared" si="0"/>
        <v>0</v>
      </c>
      <c r="H29" s="14"/>
      <c r="I29" s="15">
        <f t="shared" si="2"/>
        <v>0</v>
      </c>
      <c r="J29" s="14"/>
      <c r="K29" s="13"/>
    </row>
    <row r="30" spans="1:11" ht="12.6" customHeight="1" x14ac:dyDescent="0.2">
      <c r="A30" s="13"/>
      <c r="B30" s="19"/>
      <c r="C30" s="15"/>
      <c r="D30" s="14"/>
      <c r="E30" s="15">
        <f t="shared" si="1"/>
        <v>0</v>
      </c>
      <c r="F30" s="14"/>
      <c r="G30" s="15">
        <f t="shared" si="0"/>
        <v>0</v>
      </c>
      <c r="H30" s="14"/>
      <c r="I30" s="15">
        <f t="shared" si="2"/>
        <v>0</v>
      </c>
      <c r="J30" s="14"/>
      <c r="K30" s="16"/>
    </row>
    <row r="31" spans="1:11" ht="12.6" customHeight="1" x14ac:dyDescent="0.2">
      <c r="A31" s="13"/>
      <c r="B31" s="19"/>
      <c r="C31" s="15"/>
      <c r="D31" s="14"/>
      <c r="E31" s="15">
        <f t="shared" si="1"/>
        <v>0</v>
      </c>
      <c r="F31" s="22"/>
      <c r="G31" s="15">
        <f t="shared" si="0"/>
        <v>0</v>
      </c>
      <c r="H31" s="22"/>
      <c r="I31" s="15">
        <f t="shared" si="2"/>
        <v>0</v>
      </c>
      <c r="J31" s="22"/>
      <c r="K31" s="23"/>
    </row>
    <row r="32" spans="1:11" ht="12.6" customHeight="1" x14ac:dyDescent="0.2">
      <c r="A32" s="13"/>
      <c r="B32" s="17"/>
      <c r="C32" s="15"/>
      <c r="D32" s="14"/>
      <c r="E32" s="15">
        <f t="shared" si="1"/>
        <v>0</v>
      </c>
      <c r="F32" s="22"/>
      <c r="G32" s="15">
        <f t="shared" si="0"/>
        <v>0</v>
      </c>
      <c r="H32" s="22"/>
      <c r="I32" s="15">
        <f t="shared" si="2"/>
        <v>0</v>
      </c>
      <c r="J32" s="22"/>
      <c r="K32" s="23"/>
    </row>
    <row r="33" spans="1:11" ht="12.6" customHeight="1" x14ac:dyDescent="0.2">
      <c r="A33" s="13"/>
      <c r="B33" s="17"/>
      <c r="C33" s="15"/>
      <c r="D33" s="14"/>
      <c r="E33" s="15">
        <f t="shared" si="1"/>
        <v>0</v>
      </c>
      <c r="F33" s="22"/>
      <c r="G33" s="15">
        <f t="shared" si="0"/>
        <v>0</v>
      </c>
      <c r="H33" s="22"/>
      <c r="I33" s="15">
        <f t="shared" si="2"/>
        <v>0</v>
      </c>
      <c r="J33" s="22"/>
      <c r="K33" s="16"/>
    </row>
    <row r="34" spans="1:11" ht="12.6" customHeight="1" x14ac:dyDescent="0.2">
      <c r="A34" s="24" t="s">
        <v>15</v>
      </c>
      <c r="B34" s="24"/>
      <c r="C34" s="25">
        <f>SUM(C7:C33)</f>
        <v>0</v>
      </c>
      <c r="D34" s="25">
        <f>SUM(D9:D33)</f>
        <v>0</v>
      </c>
      <c r="E34" s="25"/>
      <c r="F34" s="22"/>
      <c r="G34" s="25">
        <f>SUM(G7:G33)</f>
        <v>0</v>
      </c>
      <c r="H34" s="25">
        <f>SUM(H7:H33)</f>
        <v>0</v>
      </c>
      <c r="I34" s="15">
        <f t="shared" si="2"/>
        <v>0</v>
      </c>
      <c r="J34" s="22"/>
      <c r="K34" s="23"/>
    </row>
    <row r="35" spans="1:11" ht="12.6" customHeight="1" x14ac:dyDescent="0.2">
      <c r="D35" s="1"/>
      <c r="J35" s="27" t="s">
        <v>16</v>
      </c>
    </row>
    <row r="36" spans="1:11" ht="12.6" customHeight="1" x14ac:dyDescent="0.2">
      <c r="D36" s="1"/>
    </row>
    <row r="37" spans="1:11" ht="12.6" customHeight="1" x14ac:dyDescent="0.2">
      <c r="A37" s="102">
        <f>A1</f>
        <v>0</v>
      </c>
      <c r="B37" s="102"/>
      <c r="C37" s="102"/>
      <c r="D37" s="102"/>
      <c r="E37" s="102"/>
      <c r="F37" s="102"/>
      <c r="G37" s="102"/>
      <c r="H37" s="1"/>
      <c r="I37" s="103" t="s">
        <v>0</v>
      </c>
      <c r="J37" s="103"/>
      <c r="K37" s="2">
        <f>K1</f>
        <v>0</v>
      </c>
    </row>
    <row r="39" spans="1:11" ht="12.6" customHeight="1" x14ac:dyDescent="0.2">
      <c r="A39" s="104" t="s">
        <v>1</v>
      </c>
      <c r="B39" s="104" t="s">
        <v>2</v>
      </c>
      <c r="C39" s="107" t="s">
        <v>3</v>
      </c>
      <c r="D39" s="108"/>
      <c r="E39" s="108"/>
      <c r="F39" s="109"/>
      <c r="G39" s="107" t="s">
        <v>4</v>
      </c>
      <c r="H39" s="108"/>
      <c r="I39" s="108"/>
      <c r="J39" s="109"/>
      <c r="K39" s="4" t="s">
        <v>5</v>
      </c>
    </row>
    <row r="40" spans="1:11" ht="12.6" customHeight="1" x14ac:dyDescent="0.2">
      <c r="A40" s="105"/>
      <c r="B40" s="105"/>
      <c r="C40" s="94" t="s">
        <v>6</v>
      </c>
      <c r="D40" s="5" t="s">
        <v>7</v>
      </c>
      <c r="E40" s="94" t="s">
        <v>8</v>
      </c>
      <c r="F40" s="6" t="s">
        <v>7</v>
      </c>
      <c r="G40" s="94" t="s">
        <v>6</v>
      </c>
      <c r="H40" s="5" t="s">
        <v>7</v>
      </c>
      <c r="I40" s="94" t="s">
        <v>8</v>
      </c>
      <c r="J40" s="1" t="s">
        <v>7</v>
      </c>
      <c r="K40" s="7" t="s">
        <v>9</v>
      </c>
    </row>
    <row r="41" spans="1:11" ht="12.6" customHeight="1" x14ac:dyDescent="0.2">
      <c r="A41" s="105"/>
      <c r="B41" s="105"/>
      <c r="C41" s="95"/>
      <c r="D41" s="8" t="s">
        <v>10</v>
      </c>
      <c r="E41" s="95"/>
      <c r="F41" s="6" t="s">
        <v>10</v>
      </c>
      <c r="G41" s="95"/>
      <c r="H41" s="8" t="s">
        <v>10</v>
      </c>
      <c r="I41" s="95"/>
      <c r="J41" s="1" t="s">
        <v>10</v>
      </c>
      <c r="K41" s="7" t="s">
        <v>11</v>
      </c>
    </row>
    <row r="42" spans="1:11" ht="12.6" customHeight="1" x14ac:dyDescent="0.2">
      <c r="A42" s="106"/>
      <c r="B42" s="106"/>
      <c r="C42" s="96"/>
      <c r="D42" s="9" t="s">
        <v>12</v>
      </c>
      <c r="E42" s="96"/>
      <c r="F42" s="10" t="s">
        <v>13</v>
      </c>
      <c r="G42" s="96"/>
      <c r="H42" s="9" t="s">
        <v>12</v>
      </c>
      <c r="I42" s="96"/>
      <c r="J42" s="11" t="s">
        <v>13</v>
      </c>
      <c r="K42" s="12" t="s">
        <v>14</v>
      </c>
    </row>
    <row r="43" spans="1:11" ht="12.6" customHeight="1" x14ac:dyDescent="0.2">
      <c r="A43" s="13"/>
      <c r="B43" s="17"/>
      <c r="C43" s="15"/>
      <c r="D43" s="14"/>
      <c r="E43" s="15">
        <f>E33+C43-D43</f>
        <v>0</v>
      </c>
      <c r="F43" s="14"/>
      <c r="G43" s="15">
        <f>C43</f>
        <v>0</v>
      </c>
      <c r="H43" s="14"/>
      <c r="I43" s="15">
        <f>I33+G43-H43</f>
        <v>0</v>
      </c>
      <c r="J43" s="14"/>
      <c r="K43" s="13"/>
    </row>
    <row r="44" spans="1:11" ht="12.6" customHeight="1" x14ac:dyDescent="0.2">
      <c r="A44" s="13"/>
      <c r="B44" s="17"/>
      <c r="C44" s="15"/>
      <c r="D44" s="14"/>
      <c r="E44" s="15">
        <f>E43+C44-D44</f>
        <v>0</v>
      </c>
      <c r="F44" s="14"/>
      <c r="G44" s="15">
        <f t="shared" ref="G44:G68" si="3">C44</f>
        <v>0</v>
      </c>
      <c r="H44" s="14"/>
      <c r="I44" s="15">
        <f>I43+G44-H44</f>
        <v>0</v>
      </c>
      <c r="J44" s="14"/>
      <c r="K44" s="13"/>
    </row>
    <row r="45" spans="1:11" ht="12.6" customHeight="1" x14ac:dyDescent="0.2">
      <c r="A45" s="13"/>
      <c r="B45" s="19"/>
      <c r="C45" s="15"/>
      <c r="D45" s="14"/>
      <c r="E45" s="15">
        <f t="shared" ref="E45:E68" si="4">E44+C45-D45</f>
        <v>0</v>
      </c>
      <c r="F45" s="14"/>
      <c r="G45" s="15">
        <f t="shared" si="3"/>
        <v>0</v>
      </c>
      <c r="H45" s="14"/>
      <c r="I45" s="15">
        <f t="shared" ref="I45:I68" si="5">I44+G45-H45</f>
        <v>0</v>
      </c>
      <c r="J45" s="14"/>
      <c r="K45" s="13"/>
    </row>
    <row r="46" spans="1:11" ht="12.6" customHeight="1" x14ac:dyDescent="0.2">
      <c r="A46" s="13"/>
      <c r="B46" s="17"/>
      <c r="C46" s="15"/>
      <c r="D46" s="14"/>
      <c r="E46" s="15">
        <f t="shared" si="4"/>
        <v>0</v>
      </c>
      <c r="F46" s="14"/>
      <c r="G46" s="15">
        <f t="shared" si="3"/>
        <v>0</v>
      </c>
      <c r="H46" s="14"/>
      <c r="I46" s="15">
        <f t="shared" si="5"/>
        <v>0</v>
      </c>
      <c r="J46" s="14"/>
      <c r="K46" s="13"/>
    </row>
    <row r="47" spans="1:11" ht="12.6" customHeight="1" x14ac:dyDescent="0.2">
      <c r="A47" s="13"/>
      <c r="B47" s="19"/>
      <c r="C47" s="15"/>
      <c r="D47" s="14"/>
      <c r="E47" s="15">
        <f t="shared" si="4"/>
        <v>0</v>
      </c>
      <c r="F47" s="14"/>
      <c r="G47" s="15">
        <f t="shared" si="3"/>
        <v>0</v>
      </c>
      <c r="H47" s="14"/>
      <c r="I47" s="15">
        <f t="shared" si="5"/>
        <v>0</v>
      </c>
      <c r="J47" s="14"/>
      <c r="K47" s="13"/>
    </row>
    <row r="48" spans="1:11" ht="12.6" customHeight="1" x14ac:dyDescent="0.2">
      <c r="A48" s="13"/>
      <c r="B48" s="17"/>
      <c r="C48" s="15"/>
      <c r="D48" s="14"/>
      <c r="E48" s="15">
        <f t="shared" si="4"/>
        <v>0</v>
      </c>
      <c r="F48" s="14"/>
      <c r="G48" s="15">
        <f t="shared" si="3"/>
        <v>0</v>
      </c>
      <c r="H48" s="14"/>
      <c r="I48" s="15">
        <f t="shared" si="5"/>
        <v>0</v>
      </c>
      <c r="J48" s="14"/>
      <c r="K48" s="13"/>
    </row>
    <row r="49" spans="1:11" ht="12.6" customHeight="1" x14ac:dyDescent="0.2">
      <c r="A49" s="13"/>
      <c r="B49" s="19"/>
      <c r="C49" s="15"/>
      <c r="D49" s="14"/>
      <c r="E49" s="15">
        <f t="shared" si="4"/>
        <v>0</v>
      </c>
      <c r="F49" s="14"/>
      <c r="G49" s="15">
        <f t="shared" si="3"/>
        <v>0</v>
      </c>
      <c r="H49" s="14"/>
      <c r="I49" s="15">
        <f t="shared" si="5"/>
        <v>0</v>
      </c>
      <c r="J49" s="14"/>
      <c r="K49" s="13"/>
    </row>
    <row r="50" spans="1:11" ht="12.6" customHeight="1" x14ac:dyDescent="0.2">
      <c r="A50" s="13"/>
      <c r="B50" s="19"/>
      <c r="C50" s="15"/>
      <c r="D50" s="14"/>
      <c r="E50" s="15">
        <f t="shared" si="4"/>
        <v>0</v>
      </c>
      <c r="F50" s="14"/>
      <c r="G50" s="15">
        <f t="shared" si="3"/>
        <v>0</v>
      </c>
      <c r="H50" s="14"/>
      <c r="I50" s="15">
        <f t="shared" si="5"/>
        <v>0</v>
      </c>
      <c r="J50" s="14"/>
      <c r="K50" s="13"/>
    </row>
    <row r="51" spans="1:11" ht="12.6" customHeight="1" x14ac:dyDescent="0.2">
      <c r="A51" s="13"/>
      <c r="B51" s="17"/>
      <c r="C51" s="15"/>
      <c r="D51" s="14"/>
      <c r="E51" s="15">
        <f t="shared" si="4"/>
        <v>0</v>
      </c>
      <c r="F51" s="14"/>
      <c r="G51" s="15">
        <f t="shared" si="3"/>
        <v>0</v>
      </c>
      <c r="H51" s="14"/>
      <c r="I51" s="15">
        <f t="shared" si="5"/>
        <v>0</v>
      </c>
      <c r="J51" s="14"/>
      <c r="K51" s="16"/>
    </row>
    <row r="52" spans="1:11" ht="12.6" customHeight="1" x14ac:dyDescent="0.2">
      <c r="A52" s="13"/>
      <c r="B52" s="19"/>
      <c r="C52" s="15"/>
      <c r="D52" s="14"/>
      <c r="E52" s="15">
        <f t="shared" si="4"/>
        <v>0</v>
      </c>
      <c r="F52" s="14"/>
      <c r="G52" s="15">
        <f t="shared" si="3"/>
        <v>0</v>
      </c>
      <c r="H52" s="14"/>
      <c r="I52" s="15">
        <f t="shared" si="5"/>
        <v>0</v>
      </c>
      <c r="J52" s="14"/>
      <c r="K52" s="13"/>
    </row>
    <row r="53" spans="1:11" ht="12.6" customHeight="1" x14ac:dyDescent="0.2">
      <c r="A53" s="13"/>
      <c r="B53" s="19"/>
      <c r="C53" s="15"/>
      <c r="D53" s="14"/>
      <c r="E53" s="15">
        <f t="shared" si="4"/>
        <v>0</v>
      </c>
      <c r="F53" s="14"/>
      <c r="G53" s="15">
        <f t="shared" si="3"/>
        <v>0</v>
      </c>
      <c r="H53" s="14"/>
      <c r="I53" s="15">
        <f t="shared" si="5"/>
        <v>0</v>
      </c>
      <c r="J53" s="14"/>
      <c r="K53" s="13"/>
    </row>
    <row r="54" spans="1:11" ht="12.6" customHeight="1" x14ac:dyDescent="0.2">
      <c r="A54" s="13"/>
      <c r="B54" s="19"/>
      <c r="C54" s="15"/>
      <c r="D54" s="14"/>
      <c r="E54" s="15">
        <f t="shared" si="4"/>
        <v>0</v>
      </c>
      <c r="F54" s="14"/>
      <c r="G54" s="15">
        <f t="shared" si="3"/>
        <v>0</v>
      </c>
      <c r="H54" s="14"/>
      <c r="I54" s="15">
        <f t="shared" si="5"/>
        <v>0</v>
      </c>
      <c r="J54" s="14"/>
      <c r="K54" s="13"/>
    </row>
    <row r="55" spans="1:11" ht="12.6" customHeight="1" x14ac:dyDescent="0.2">
      <c r="A55" s="13"/>
      <c r="B55" s="19"/>
      <c r="C55" s="15"/>
      <c r="D55" s="14"/>
      <c r="E55" s="15">
        <f t="shared" si="4"/>
        <v>0</v>
      </c>
      <c r="F55" s="14"/>
      <c r="G55" s="15">
        <f t="shared" si="3"/>
        <v>0</v>
      </c>
      <c r="H55" s="14"/>
      <c r="I55" s="15">
        <f t="shared" si="5"/>
        <v>0</v>
      </c>
      <c r="J55" s="14"/>
      <c r="K55" s="13"/>
    </row>
    <row r="56" spans="1:11" ht="12.6" customHeight="1" x14ac:dyDescent="0.2">
      <c r="A56" s="13"/>
      <c r="B56" s="19"/>
      <c r="C56" s="15"/>
      <c r="D56" s="14"/>
      <c r="E56" s="15">
        <f t="shared" si="4"/>
        <v>0</v>
      </c>
      <c r="F56" s="14"/>
      <c r="G56" s="15">
        <f t="shared" si="3"/>
        <v>0</v>
      </c>
      <c r="H56" s="14"/>
      <c r="I56" s="15">
        <f t="shared" si="5"/>
        <v>0</v>
      </c>
      <c r="J56" s="14"/>
      <c r="K56" s="16"/>
    </row>
    <row r="57" spans="1:11" ht="12.6" customHeight="1" x14ac:dyDescent="0.2">
      <c r="A57" s="13"/>
      <c r="B57" s="19"/>
      <c r="C57" s="15"/>
      <c r="D57" s="14"/>
      <c r="E57" s="15">
        <f t="shared" si="4"/>
        <v>0</v>
      </c>
      <c r="F57" s="14"/>
      <c r="G57" s="15">
        <f t="shared" si="3"/>
        <v>0</v>
      </c>
      <c r="H57" s="14"/>
      <c r="I57" s="15">
        <f t="shared" si="5"/>
        <v>0</v>
      </c>
      <c r="J57" s="14"/>
      <c r="K57" s="13"/>
    </row>
    <row r="58" spans="1:11" ht="12.6" customHeight="1" x14ac:dyDescent="0.2">
      <c r="A58" s="13"/>
      <c r="B58" s="17"/>
      <c r="C58" s="15"/>
      <c r="D58" s="14"/>
      <c r="E58" s="15">
        <f t="shared" si="4"/>
        <v>0</v>
      </c>
      <c r="F58" s="14"/>
      <c r="G58" s="15">
        <f t="shared" si="3"/>
        <v>0</v>
      </c>
      <c r="H58" s="14"/>
      <c r="I58" s="15">
        <f t="shared" si="5"/>
        <v>0</v>
      </c>
      <c r="J58" s="14"/>
      <c r="K58" s="13"/>
    </row>
    <row r="59" spans="1:11" ht="12.6" customHeight="1" x14ac:dyDescent="0.2">
      <c r="A59" s="13"/>
      <c r="B59" s="19"/>
      <c r="C59" s="15"/>
      <c r="D59" s="14"/>
      <c r="E59" s="15">
        <f t="shared" si="4"/>
        <v>0</v>
      </c>
      <c r="F59" s="14"/>
      <c r="G59" s="15">
        <f t="shared" si="3"/>
        <v>0</v>
      </c>
      <c r="H59" s="14"/>
      <c r="I59" s="15">
        <f t="shared" si="5"/>
        <v>0</v>
      </c>
      <c r="J59" s="14"/>
      <c r="K59" s="13"/>
    </row>
    <row r="60" spans="1:11" ht="12.6" customHeight="1" x14ac:dyDescent="0.2">
      <c r="A60" s="13"/>
      <c r="B60" s="19"/>
      <c r="C60" s="15"/>
      <c r="D60" s="14"/>
      <c r="E60" s="15">
        <f t="shared" si="4"/>
        <v>0</v>
      </c>
      <c r="F60" s="14"/>
      <c r="G60" s="15">
        <f t="shared" si="3"/>
        <v>0</v>
      </c>
      <c r="H60" s="14"/>
      <c r="I60" s="15">
        <f t="shared" si="5"/>
        <v>0</v>
      </c>
      <c r="J60" s="14"/>
      <c r="K60" s="13"/>
    </row>
    <row r="61" spans="1:11" ht="12.6" customHeight="1" x14ac:dyDescent="0.2">
      <c r="A61" s="13"/>
      <c r="B61" s="19"/>
      <c r="C61" s="15"/>
      <c r="D61" s="14"/>
      <c r="E61" s="15">
        <f t="shared" si="4"/>
        <v>0</v>
      </c>
      <c r="F61" s="14"/>
      <c r="G61" s="15">
        <f t="shared" si="3"/>
        <v>0</v>
      </c>
      <c r="H61" s="14"/>
      <c r="I61" s="15">
        <f t="shared" si="5"/>
        <v>0</v>
      </c>
      <c r="J61" s="14"/>
      <c r="K61" s="13"/>
    </row>
    <row r="62" spans="1:11" ht="12.6" customHeight="1" x14ac:dyDescent="0.2">
      <c r="A62" s="13"/>
      <c r="B62" s="17"/>
      <c r="C62" s="15"/>
      <c r="D62" s="14"/>
      <c r="E62" s="15">
        <f t="shared" si="4"/>
        <v>0</v>
      </c>
      <c r="F62" s="14"/>
      <c r="G62" s="15">
        <f t="shared" si="3"/>
        <v>0</v>
      </c>
      <c r="H62" s="14"/>
      <c r="I62" s="15">
        <f t="shared" si="5"/>
        <v>0</v>
      </c>
      <c r="J62" s="14"/>
      <c r="K62" s="16"/>
    </row>
    <row r="63" spans="1:11" ht="12.6" customHeight="1" x14ac:dyDescent="0.2">
      <c r="A63" s="13"/>
      <c r="B63" s="19"/>
      <c r="C63" s="15"/>
      <c r="D63" s="14"/>
      <c r="E63" s="15">
        <f t="shared" si="4"/>
        <v>0</v>
      </c>
      <c r="F63" s="14"/>
      <c r="G63" s="15">
        <f t="shared" si="3"/>
        <v>0</v>
      </c>
      <c r="H63" s="14"/>
      <c r="I63" s="15">
        <f t="shared" si="5"/>
        <v>0</v>
      </c>
      <c r="J63" s="14"/>
      <c r="K63" s="13"/>
    </row>
    <row r="64" spans="1:11" ht="12.6" customHeight="1" x14ac:dyDescent="0.2">
      <c r="A64" s="29"/>
      <c r="B64" s="17"/>
      <c r="C64" s="15"/>
      <c r="D64" s="14"/>
      <c r="E64" s="15">
        <f t="shared" si="4"/>
        <v>0</v>
      </c>
      <c r="F64" s="14"/>
      <c r="G64" s="15">
        <f>C64</f>
        <v>0</v>
      </c>
      <c r="H64" s="14"/>
      <c r="I64" s="15">
        <f t="shared" si="5"/>
        <v>0</v>
      </c>
      <c r="J64" s="14"/>
      <c r="K64" s="29"/>
    </row>
    <row r="65" spans="1:11" ht="12.6" customHeight="1" x14ac:dyDescent="0.2">
      <c r="A65" s="13"/>
      <c r="B65" s="19"/>
      <c r="C65" s="15"/>
      <c r="D65" s="21"/>
      <c r="E65" s="15">
        <f t="shared" si="4"/>
        <v>0</v>
      </c>
      <c r="F65" s="14"/>
      <c r="G65" s="15">
        <f t="shared" si="3"/>
        <v>0</v>
      </c>
      <c r="H65" s="14"/>
      <c r="I65" s="15">
        <f t="shared" si="5"/>
        <v>0</v>
      </c>
      <c r="J65" s="14"/>
      <c r="K65" s="13"/>
    </row>
    <row r="66" spans="1:11" ht="12.6" customHeight="1" x14ac:dyDescent="0.2">
      <c r="A66" s="13"/>
      <c r="B66" s="19"/>
      <c r="C66" s="15"/>
      <c r="D66" s="14"/>
      <c r="E66" s="15">
        <f t="shared" si="4"/>
        <v>0</v>
      </c>
      <c r="F66" s="14"/>
      <c r="G66" s="15">
        <f t="shared" si="3"/>
        <v>0</v>
      </c>
      <c r="H66" s="14"/>
      <c r="I66" s="15">
        <f t="shared" si="5"/>
        <v>0</v>
      </c>
      <c r="J66" s="14"/>
      <c r="K66" s="13"/>
    </row>
    <row r="67" spans="1:11" ht="12.6" customHeight="1" x14ac:dyDescent="0.2">
      <c r="A67" s="30"/>
      <c r="B67" s="19"/>
      <c r="C67" s="15"/>
      <c r="D67" s="14"/>
      <c r="E67" s="15">
        <f t="shared" si="4"/>
        <v>0</v>
      </c>
      <c r="F67" s="14"/>
      <c r="G67" s="15">
        <f t="shared" si="3"/>
        <v>0</v>
      </c>
      <c r="H67" s="31"/>
      <c r="I67" s="15">
        <f t="shared" si="5"/>
        <v>0</v>
      </c>
      <c r="J67" s="31"/>
      <c r="K67" s="30"/>
    </row>
    <row r="68" spans="1:11" ht="12.6" customHeight="1" x14ac:dyDescent="0.2">
      <c r="A68" s="13"/>
      <c r="B68" s="19"/>
      <c r="C68" s="15"/>
      <c r="D68" s="14"/>
      <c r="E68" s="15">
        <f t="shared" si="4"/>
        <v>0</v>
      </c>
      <c r="F68" s="14"/>
      <c r="G68" s="15">
        <f t="shared" si="3"/>
        <v>0</v>
      </c>
      <c r="H68" s="14"/>
      <c r="I68" s="15">
        <f t="shared" si="5"/>
        <v>0</v>
      </c>
      <c r="J68" s="14"/>
      <c r="K68" s="13"/>
    </row>
    <row r="69" spans="1:11" ht="12.6" customHeight="1" x14ac:dyDescent="0.2">
      <c r="A69" s="24" t="s">
        <v>15</v>
      </c>
      <c r="B69" s="19"/>
      <c r="C69" s="15">
        <f>SUM(C43:C68)</f>
        <v>0</v>
      </c>
      <c r="D69" s="15">
        <f>SUM(D43:D68)</f>
        <v>0</v>
      </c>
      <c r="E69" s="15" t="s">
        <v>17</v>
      </c>
      <c r="F69" s="32"/>
      <c r="G69" s="15">
        <f>SUM(G43:G68)</f>
        <v>0</v>
      </c>
      <c r="H69" s="15">
        <f>SUM(H43:H68)</f>
        <v>0</v>
      </c>
      <c r="I69" s="15"/>
      <c r="J69" s="14"/>
      <c r="K69" s="16"/>
    </row>
    <row r="70" spans="1:11" ht="12.6" customHeight="1" x14ac:dyDescent="0.2">
      <c r="J70" s="27" t="s">
        <v>18</v>
      </c>
    </row>
    <row r="71" spans="1:11" ht="12.6" customHeight="1" x14ac:dyDescent="0.2"/>
    <row r="72" spans="1:11" ht="12.6" customHeight="1" x14ac:dyDescent="0.2"/>
    <row r="73" spans="1:11" ht="12.6" customHeight="1" x14ac:dyDescent="0.2"/>
    <row r="74" spans="1:11" ht="12.6" customHeight="1" x14ac:dyDescent="0.2"/>
    <row r="75" spans="1:11" ht="12.6" customHeight="1" x14ac:dyDescent="0.2"/>
    <row r="76" spans="1:11" ht="12.6" customHeight="1" x14ac:dyDescent="0.2">
      <c r="A76" s="102">
        <f>A1</f>
        <v>0</v>
      </c>
      <c r="B76" s="102"/>
      <c r="C76" s="102"/>
      <c r="D76" s="102"/>
      <c r="E76" s="102"/>
      <c r="F76" s="102"/>
      <c r="G76" s="102"/>
      <c r="H76" s="1"/>
      <c r="I76" s="103" t="s">
        <v>0</v>
      </c>
      <c r="J76" s="103"/>
      <c r="K76" s="2">
        <f>K1</f>
        <v>0</v>
      </c>
    </row>
    <row r="78" spans="1:11" ht="12.6" customHeight="1" x14ac:dyDescent="0.2">
      <c r="A78" s="104" t="s">
        <v>1</v>
      </c>
      <c r="B78" s="104" t="s">
        <v>2</v>
      </c>
      <c r="C78" s="107" t="s">
        <v>3</v>
      </c>
      <c r="D78" s="108"/>
      <c r="E78" s="108"/>
      <c r="F78" s="109"/>
      <c r="G78" s="107" t="s">
        <v>4</v>
      </c>
      <c r="H78" s="108"/>
      <c r="I78" s="108"/>
      <c r="J78" s="109"/>
      <c r="K78" s="4" t="s">
        <v>5</v>
      </c>
    </row>
    <row r="79" spans="1:11" ht="12.6" customHeight="1" x14ac:dyDescent="0.2">
      <c r="A79" s="105"/>
      <c r="B79" s="105"/>
      <c r="C79" s="94" t="s">
        <v>6</v>
      </c>
      <c r="D79" s="5" t="s">
        <v>7</v>
      </c>
      <c r="E79" s="94" t="s">
        <v>8</v>
      </c>
      <c r="F79" s="6" t="s">
        <v>7</v>
      </c>
      <c r="G79" s="94" t="s">
        <v>6</v>
      </c>
      <c r="H79" s="5" t="s">
        <v>7</v>
      </c>
      <c r="I79" s="94" t="s">
        <v>8</v>
      </c>
      <c r="J79" s="1" t="s">
        <v>7</v>
      </c>
      <c r="K79" s="7" t="s">
        <v>9</v>
      </c>
    </row>
    <row r="80" spans="1:11" ht="12.6" customHeight="1" x14ac:dyDescent="0.2">
      <c r="A80" s="105"/>
      <c r="B80" s="105"/>
      <c r="C80" s="95"/>
      <c r="D80" s="8" t="s">
        <v>10</v>
      </c>
      <c r="E80" s="95"/>
      <c r="F80" s="6" t="s">
        <v>10</v>
      </c>
      <c r="G80" s="95"/>
      <c r="H80" s="8" t="s">
        <v>10</v>
      </c>
      <c r="I80" s="95"/>
      <c r="J80" s="1" t="s">
        <v>10</v>
      </c>
      <c r="K80" s="7" t="s">
        <v>11</v>
      </c>
    </row>
    <row r="81" spans="1:11" ht="12.6" customHeight="1" x14ac:dyDescent="0.2">
      <c r="A81" s="106"/>
      <c r="B81" s="106"/>
      <c r="C81" s="96"/>
      <c r="D81" s="9" t="s">
        <v>12</v>
      </c>
      <c r="E81" s="96"/>
      <c r="F81" s="10" t="s">
        <v>13</v>
      </c>
      <c r="G81" s="96"/>
      <c r="H81" s="9" t="s">
        <v>12</v>
      </c>
      <c r="I81" s="96"/>
      <c r="J81" s="11" t="s">
        <v>13</v>
      </c>
      <c r="K81" s="12" t="s">
        <v>14</v>
      </c>
    </row>
    <row r="82" spans="1:11" ht="12.6" customHeight="1" x14ac:dyDescent="0.2">
      <c r="A82" s="13"/>
      <c r="B82" s="19"/>
      <c r="C82" s="15"/>
      <c r="D82" s="14"/>
      <c r="E82" s="15">
        <f>E68+C82-D82</f>
        <v>0</v>
      </c>
      <c r="F82" s="14"/>
      <c r="G82" s="15">
        <f>C82</f>
        <v>0</v>
      </c>
      <c r="H82" s="14"/>
      <c r="I82" s="15">
        <f>I68+G82-H82</f>
        <v>0</v>
      </c>
      <c r="J82" s="14"/>
      <c r="K82" s="13"/>
    </row>
    <row r="83" spans="1:11" ht="12.6" customHeight="1" x14ac:dyDescent="0.2">
      <c r="A83" s="13"/>
      <c r="B83" s="17"/>
      <c r="C83" s="15"/>
      <c r="D83" s="14"/>
      <c r="E83" s="15">
        <f>E82+C83-D83</f>
        <v>0</v>
      </c>
      <c r="F83" s="14"/>
      <c r="G83" s="15">
        <f t="shared" ref="G83:G107" si="6">C83</f>
        <v>0</v>
      </c>
      <c r="H83" s="14"/>
      <c r="I83" s="15">
        <f>I82+G83-H83</f>
        <v>0</v>
      </c>
      <c r="J83" s="22"/>
      <c r="K83" s="23"/>
    </row>
    <row r="84" spans="1:11" ht="12.6" customHeight="1" x14ac:dyDescent="0.2">
      <c r="A84" s="13"/>
      <c r="B84" s="19"/>
      <c r="C84" s="15"/>
      <c r="D84" s="14"/>
      <c r="E84" s="15">
        <f t="shared" ref="E84:E107" si="7">E83+C84-D84</f>
        <v>0</v>
      </c>
      <c r="F84" s="14"/>
      <c r="G84" s="15">
        <f t="shared" si="6"/>
        <v>0</v>
      </c>
      <c r="H84" s="14"/>
      <c r="I84" s="15">
        <f t="shared" ref="I84:I107" si="8">I83+G84-H84</f>
        <v>0</v>
      </c>
      <c r="J84" s="14"/>
      <c r="K84" s="16"/>
    </row>
    <row r="85" spans="1:11" ht="12.6" customHeight="1" x14ac:dyDescent="0.2">
      <c r="A85" s="13"/>
      <c r="B85" s="19"/>
      <c r="C85" s="15"/>
      <c r="D85" s="14"/>
      <c r="E85" s="15">
        <f t="shared" si="7"/>
        <v>0</v>
      </c>
      <c r="F85" s="14"/>
      <c r="G85" s="15">
        <f t="shared" si="6"/>
        <v>0</v>
      </c>
      <c r="H85" s="14"/>
      <c r="I85" s="15">
        <f t="shared" si="8"/>
        <v>0</v>
      </c>
      <c r="J85" s="14"/>
      <c r="K85" s="13"/>
    </row>
    <row r="86" spans="1:11" ht="12.6" customHeight="1" x14ac:dyDescent="0.2">
      <c r="A86" s="29"/>
      <c r="B86" s="19"/>
      <c r="C86" s="15"/>
      <c r="D86" s="14"/>
      <c r="E86" s="15">
        <f t="shared" si="7"/>
        <v>0</v>
      </c>
      <c r="F86" s="14"/>
      <c r="G86" s="15">
        <f t="shared" si="6"/>
        <v>0</v>
      </c>
      <c r="H86" s="14"/>
      <c r="I86" s="15">
        <f t="shared" si="8"/>
        <v>0</v>
      </c>
      <c r="J86" s="14"/>
      <c r="K86" s="13"/>
    </row>
    <row r="87" spans="1:11" ht="12.6" customHeight="1" x14ac:dyDescent="0.2">
      <c r="A87" s="13"/>
      <c r="B87" s="19"/>
      <c r="C87" s="15"/>
      <c r="D87" s="14"/>
      <c r="E87" s="15">
        <f t="shared" si="7"/>
        <v>0</v>
      </c>
      <c r="F87" s="14"/>
      <c r="G87" s="15">
        <f t="shared" si="6"/>
        <v>0</v>
      </c>
      <c r="H87" s="14"/>
      <c r="I87" s="15">
        <f t="shared" si="8"/>
        <v>0</v>
      </c>
      <c r="J87" s="14"/>
      <c r="K87" s="13"/>
    </row>
    <row r="88" spans="1:11" ht="12.6" customHeight="1" x14ac:dyDescent="0.2">
      <c r="A88" s="13"/>
      <c r="B88" s="17"/>
      <c r="C88" s="15"/>
      <c r="D88" s="14"/>
      <c r="E88" s="15">
        <f t="shared" si="7"/>
        <v>0</v>
      </c>
      <c r="F88" s="14"/>
      <c r="G88" s="15">
        <f t="shared" si="6"/>
        <v>0</v>
      </c>
      <c r="H88" s="14"/>
      <c r="I88" s="15">
        <f t="shared" si="8"/>
        <v>0</v>
      </c>
      <c r="J88" s="14"/>
      <c r="K88" s="13"/>
    </row>
    <row r="89" spans="1:11" ht="12.6" customHeight="1" x14ac:dyDescent="0.2">
      <c r="A89" s="13"/>
      <c r="B89" s="19"/>
      <c r="C89" s="15"/>
      <c r="D89" s="14"/>
      <c r="E89" s="15">
        <f t="shared" si="7"/>
        <v>0</v>
      </c>
      <c r="F89" s="14"/>
      <c r="G89" s="15">
        <f t="shared" si="6"/>
        <v>0</v>
      </c>
      <c r="H89" s="14"/>
      <c r="I89" s="15">
        <f t="shared" si="8"/>
        <v>0</v>
      </c>
      <c r="J89" s="14"/>
      <c r="K89" s="16"/>
    </row>
    <row r="90" spans="1:11" ht="12.6" customHeight="1" x14ac:dyDescent="0.2">
      <c r="A90" s="13"/>
      <c r="B90" s="17"/>
      <c r="C90" s="15"/>
      <c r="D90" s="14"/>
      <c r="E90" s="15">
        <f t="shared" si="7"/>
        <v>0</v>
      </c>
      <c r="F90" s="14"/>
      <c r="G90" s="15">
        <f t="shared" si="6"/>
        <v>0</v>
      </c>
      <c r="H90" s="14"/>
      <c r="I90" s="15">
        <f t="shared" si="8"/>
        <v>0</v>
      </c>
      <c r="J90" s="14"/>
      <c r="K90" s="16"/>
    </row>
    <row r="91" spans="1:11" ht="12.6" customHeight="1" x14ac:dyDescent="0.2">
      <c r="A91" s="13"/>
      <c r="B91" s="17"/>
      <c r="C91" s="15"/>
      <c r="D91" s="14"/>
      <c r="E91" s="15">
        <f t="shared" si="7"/>
        <v>0</v>
      </c>
      <c r="F91" s="14"/>
      <c r="G91" s="15">
        <f t="shared" si="6"/>
        <v>0</v>
      </c>
      <c r="H91" s="14"/>
      <c r="I91" s="15">
        <f t="shared" si="8"/>
        <v>0</v>
      </c>
      <c r="J91" s="14"/>
      <c r="K91" s="16"/>
    </row>
    <row r="92" spans="1:11" ht="12.6" customHeight="1" x14ac:dyDescent="0.2">
      <c r="A92" s="13"/>
      <c r="B92" s="19"/>
      <c r="C92" s="15"/>
      <c r="D92" s="14"/>
      <c r="E92" s="15">
        <f t="shared" si="7"/>
        <v>0</v>
      </c>
      <c r="F92" s="14"/>
      <c r="G92" s="15">
        <f t="shared" si="6"/>
        <v>0</v>
      </c>
      <c r="H92" s="14"/>
      <c r="I92" s="15">
        <f t="shared" si="8"/>
        <v>0</v>
      </c>
      <c r="J92" s="14"/>
      <c r="K92" s="13"/>
    </row>
    <row r="93" spans="1:11" ht="12.6" customHeight="1" x14ac:dyDescent="0.2">
      <c r="A93" s="13"/>
      <c r="B93" s="17"/>
      <c r="C93" s="15"/>
      <c r="D93" s="14"/>
      <c r="E93" s="15">
        <f t="shared" si="7"/>
        <v>0</v>
      </c>
      <c r="F93" s="14"/>
      <c r="G93" s="15">
        <f t="shared" si="6"/>
        <v>0</v>
      </c>
      <c r="H93" s="14"/>
      <c r="I93" s="15">
        <f t="shared" si="8"/>
        <v>0</v>
      </c>
      <c r="J93" s="14"/>
      <c r="K93" s="13"/>
    </row>
    <row r="94" spans="1:11" ht="12.6" customHeight="1" x14ac:dyDescent="0.2">
      <c r="A94" s="13"/>
      <c r="B94" s="19"/>
      <c r="C94" s="15"/>
      <c r="D94" s="14"/>
      <c r="E94" s="15">
        <f t="shared" si="7"/>
        <v>0</v>
      </c>
      <c r="F94" s="14"/>
      <c r="G94" s="15">
        <f t="shared" si="6"/>
        <v>0</v>
      </c>
      <c r="H94" s="14"/>
      <c r="I94" s="15">
        <f t="shared" si="8"/>
        <v>0</v>
      </c>
      <c r="J94" s="14"/>
      <c r="K94" s="13"/>
    </row>
    <row r="95" spans="1:11" ht="12.6" customHeight="1" x14ac:dyDescent="0.2">
      <c r="A95" s="13"/>
      <c r="B95" s="19"/>
      <c r="C95" s="15"/>
      <c r="D95" s="14"/>
      <c r="E95" s="15">
        <f t="shared" si="7"/>
        <v>0</v>
      </c>
      <c r="F95" s="14"/>
      <c r="G95" s="15">
        <f t="shared" si="6"/>
        <v>0</v>
      </c>
      <c r="H95" s="14"/>
      <c r="I95" s="15">
        <f t="shared" si="8"/>
        <v>0</v>
      </c>
      <c r="J95" s="14"/>
      <c r="K95" s="13"/>
    </row>
    <row r="96" spans="1:11" ht="12.6" customHeight="1" x14ac:dyDescent="0.2">
      <c r="A96" s="13"/>
      <c r="B96" s="19"/>
      <c r="C96" s="15"/>
      <c r="D96" s="14"/>
      <c r="E96" s="15">
        <f t="shared" si="7"/>
        <v>0</v>
      </c>
      <c r="F96" s="14"/>
      <c r="G96" s="15">
        <f t="shared" si="6"/>
        <v>0</v>
      </c>
      <c r="H96" s="14"/>
      <c r="I96" s="15">
        <f t="shared" si="8"/>
        <v>0</v>
      </c>
      <c r="J96" s="14"/>
      <c r="K96" s="33"/>
    </row>
    <row r="97" spans="1:11" ht="12.6" customHeight="1" x14ac:dyDescent="0.2">
      <c r="A97" s="13"/>
      <c r="B97" s="19"/>
      <c r="C97" s="15"/>
      <c r="D97" s="14"/>
      <c r="E97" s="15">
        <f t="shared" si="7"/>
        <v>0</v>
      </c>
      <c r="F97" s="14"/>
      <c r="G97" s="15">
        <f t="shared" si="6"/>
        <v>0</v>
      </c>
      <c r="H97" s="14"/>
      <c r="I97" s="15">
        <f t="shared" si="8"/>
        <v>0</v>
      </c>
      <c r="J97" s="14"/>
      <c r="K97" s="13"/>
    </row>
    <row r="98" spans="1:11" ht="12.6" customHeight="1" x14ac:dyDescent="0.2">
      <c r="A98" s="13"/>
      <c r="B98" s="19"/>
      <c r="C98" s="15"/>
      <c r="D98" s="14"/>
      <c r="E98" s="15">
        <f t="shared" si="7"/>
        <v>0</v>
      </c>
      <c r="F98" s="14"/>
      <c r="G98" s="15">
        <f t="shared" si="6"/>
        <v>0</v>
      </c>
      <c r="H98" s="14"/>
      <c r="I98" s="15">
        <f t="shared" si="8"/>
        <v>0</v>
      </c>
      <c r="J98" s="14"/>
      <c r="K98" s="16"/>
    </row>
    <row r="99" spans="1:11" ht="12.6" customHeight="1" x14ac:dyDescent="0.2">
      <c r="A99" s="13"/>
      <c r="B99" s="19"/>
      <c r="C99" s="15"/>
      <c r="D99" s="14"/>
      <c r="E99" s="15">
        <f t="shared" si="7"/>
        <v>0</v>
      </c>
      <c r="F99" s="14"/>
      <c r="G99" s="15">
        <f t="shared" si="6"/>
        <v>0</v>
      </c>
      <c r="H99" s="14"/>
      <c r="I99" s="15">
        <f t="shared" si="8"/>
        <v>0</v>
      </c>
      <c r="J99" s="14"/>
      <c r="K99" s="13"/>
    </row>
    <row r="100" spans="1:11" ht="12.6" customHeight="1" x14ac:dyDescent="0.2">
      <c r="A100" s="13"/>
      <c r="B100" s="19"/>
      <c r="C100" s="15"/>
      <c r="D100" s="14"/>
      <c r="E100" s="15">
        <f t="shared" si="7"/>
        <v>0</v>
      </c>
      <c r="F100" s="14"/>
      <c r="G100" s="15">
        <f t="shared" si="6"/>
        <v>0</v>
      </c>
      <c r="H100" s="14"/>
      <c r="I100" s="15">
        <f t="shared" si="8"/>
        <v>0</v>
      </c>
      <c r="J100" s="14"/>
      <c r="K100" s="13"/>
    </row>
    <row r="101" spans="1:11" ht="12.6" customHeight="1" x14ac:dyDescent="0.2">
      <c r="A101" s="13"/>
      <c r="B101" s="19"/>
      <c r="C101" s="15"/>
      <c r="D101" s="14"/>
      <c r="E101" s="15">
        <f t="shared" si="7"/>
        <v>0</v>
      </c>
      <c r="F101" s="14"/>
      <c r="G101" s="15">
        <f t="shared" si="6"/>
        <v>0</v>
      </c>
      <c r="H101" s="14"/>
      <c r="I101" s="15">
        <f t="shared" si="8"/>
        <v>0</v>
      </c>
      <c r="J101" s="14"/>
      <c r="K101" s="13"/>
    </row>
    <row r="102" spans="1:11" ht="12.6" customHeight="1" x14ac:dyDescent="0.2">
      <c r="A102" s="13"/>
      <c r="B102" s="19"/>
      <c r="C102" s="15"/>
      <c r="D102" s="14"/>
      <c r="E102" s="15">
        <f t="shared" si="7"/>
        <v>0</v>
      </c>
      <c r="F102" s="14"/>
      <c r="G102" s="15">
        <f t="shared" si="6"/>
        <v>0</v>
      </c>
      <c r="H102" s="14"/>
      <c r="I102" s="15">
        <f t="shared" si="8"/>
        <v>0</v>
      </c>
      <c r="J102" s="14"/>
      <c r="K102" s="13"/>
    </row>
    <row r="103" spans="1:11" ht="12.6" customHeight="1" x14ac:dyDescent="0.2">
      <c r="A103" s="13"/>
      <c r="B103" s="19"/>
      <c r="C103" s="15"/>
      <c r="D103" s="14"/>
      <c r="E103" s="15">
        <f t="shared" si="7"/>
        <v>0</v>
      </c>
      <c r="F103" s="14"/>
      <c r="G103" s="15">
        <f t="shared" si="6"/>
        <v>0</v>
      </c>
      <c r="H103" s="14"/>
      <c r="I103" s="15">
        <f t="shared" si="8"/>
        <v>0</v>
      </c>
      <c r="J103" s="14"/>
      <c r="K103" s="19"/>
    </row>
    <row r="104" spans="1:11" ht="12.6" customHeight="1" x14ac:dyDescent="0.2">
      <c r="A104" s="13"/>
      <c r="B104" s="19"/>
      <c r="C104" s="15"/>
      <c r="D104" s="14"/>
      <c r="E104" s="15">
        <f t="shared" si="7"/>
        <v>0</v>
      </c>
      <c r="F104" s="14"/>
      <c r="G104" s="15">
        <f t="shared" si="6"/>
        <v>0</v>
      </c>
      <c r="H104" s="14"/>
      <c r="I104" s="15">
        <f t="shared" si="8"/>
        <v>0</v>
      </c>
      <c r="J104" s="14"/>
      <c r="K104" s="13"/>
    </row>
    <row r="105" spans="1:11" ht="12.6" customHeight="1" x14ac:dyDescent="0.2">
      <c r="A105" s="13"/>
      <c r="B105" s="19"/>
      <c r="C105" s="15"/>
      <c r="D105" s="14"/>
      <c r="E105" s="15">
        <f t="shared" si="7"/>
        <v>0</v>
      </c>
      <c r="F105" s="14"/>
      <c r="G105" s="15">
        <f t="shared" si="6"/>
        <v>0</v>
      </c>
      <c r="H105" s="14"/>
      <c r="I105" s="15">
        <f t="shared" si="8"/>
        <v>0</v>
      </c>
      <c r="J105" s="14"/>
      <c r="K105" s="13"/>
    </row>
    <row r="106" spans="1:11" ht="12.6" customHeight="1" x14ac:dyDescent="0.2">
      <c r="A106" s="13"/>
      <c r="B106" s="19"/>
      <c r="C106" s="15"/>
      <c r="D106" s="14"/>
      <c r="E106" s="15">
        <f t="shared" si="7"/>
        <v>0</v>
      </c>
      <c r="F106" s="14"/>
      <c r="G106" s="15">
        <f t="shared" si="6"/>
        <v>0</v>
      </c>
      <c r="H106" s="14"/>
      <c r="I106" s="15">
        <f t="shared" si="8"/>
        <v>0</v>
      </c>
      <c r="J106" s="14"/>
      <c r="K106" s="13"/>
    </row>
    <row r="107" spans="1:11" ht="12.6" customHeight="1" x14ac:dyDescent="0.2">
      <c r="A107" s="13"/>
      <c r="B107" s="19"/>
      <c r="C107" s="15"/>
      <c r="D107" s="14"/>
      <c r="E107" s="15">
        <f t="shared" si="7"/>
        <v>0</v>
      </c>
      <c r="F107" s="14"/>
      <c r="G107" s="15">
        <f t="shared" si="6"/>
        <v>0</v>
      </c>
      <c r="H107" s="14"/>
      <c r="I107" s="15">
        <f t="shared" si="8"/>
        <v>0</v>
      </c>
      <c r="J107" s="14"/>
      <c r="K107" s="16"/>
    </row>
    <row r="108" spans="1:11" ht="12.6" customHeight="1" x14ac:dyDescent="0.2">
      <c r="A108" s="19"/>
      <c r="B108" s="19"/>
      <c r="C108" s="15">
        <f>SUM(C82:C107)</f>
        <v>0</v>
      </c>
      <c r="D108" s="15">
        <f>SUM(D82:D107)</f>
        <v>0</v>
      </c>
      <c r="E108" s="15"/>
      <c r="F108" s="14"/>
      <c r="G108" s="15">
        <f>SUM(G82:G107)</f>
        <v>0</v>
      </c>
      <c r="H108" s="15">
        <f>SUM(H82:H107)</f>
        <v>0</v>
      </c>
      <c r="I108" s="15"/>
      <c r="J108" s="14"/>
      <c r="K108" s="16"/>
    </row>
    <row r="109" spans="1:11" ht="12.6" customHeight="1" x14ac:dyDescent="0.2">
      <c r="J109" s="27" t="s">
        <v>19</v>
      </c>
    </row>
    <row r="110" spans="1:11" ht="12.6" customHeight="1" x14ac:dyDescent="0.2"/>
    <row r="111" spans="1:11" ht="12.6" customHeight="1" x14ac:dyDescent="0.2">
      <c r="A111" s="102">
        <f>A1</f>
        <v>0</v>
      </c>
      <c r="B111" s="102"/>
      <c r="C111" s="102"/>
      <c r="D111" s="102"/>
      <c r="E111" s="102"/>
      <c r="F111" s="102"/>
      <c r="G111" s="102"/>
      <c r="H111" s="1"/>
      <c r="I111" s="103" t="s">
        <v>0</v>
      </c>
      <c r="J111" s="103"/>
      <c r="K111" s="2">
        <f>K1</f>
        <v>0</v>
      </c>
    </row>
    <row r="113" spans="1:11" ht="12.6" customHeight="1" x14ac:dyDescent="0.2">
      <c r="A113" s="104" t="s">
        <v>1</v>
      </c>
      <c r="B113" s="104" t="s">
        <v>2</v>
      </c>
      <c r="C113" s="107" t="s">
        <v>3</v>
      </c>
      <c r="D113" s="108"/>
      <c r="E113" s="108"/>
      <c r="F113" s="109"/>
      <c r="G113" s="107" t="s">
        <v>4</v>
      </c>
      <c r="H113" s="108"/>
      <c r="I113" s="108"/>
      <c r="J113" s="109"/>
      <c r="K113" s="4" t="s">
        <v>5</v>
      </c>
    </row>
    <row r="114" spans="1:11" ht="12.6" customHeight="1" x14ac:dyDescent="0.2">
      <c r="A114" s="105"/>
      <c r="B114" s="105"/>
      <c r="C114" s="94" t="s">
        <v>6</v>
      </c>
      <c r="D114" s="5" t="s">
        <v>7</v>
      </c>
      <c r="E114" s="94" t="s">
        <v>8</v>
      </c>
      <c r="F114" s="6" t="s">
        <v>7</v>
      </c>
      <c r="G114" s="94" t="s">
        <v>6</v>
      </c>
      <c r="H114" s="5" t="s">
        <v>7</v>
      </c>
      <c r="I114" s="94" t="s">
        <v>8</v>
      </c>
      <c r="J114" s="1" t="s">
        <v>7</v>
      </c>
      <c r="K114" s="7" t="s">
        <v>9</v>
      </c>
    </row>
    <row r="115" spans="1:11" ht="12.6" customHeight="1" x14ac:dyDescent="0.2">
      <c r="A115" s="105"/>
      <c r="B115" s="105"/>
      <c r="C115" s="95"/>
      <c r="D115" s="8" t="s">
        <v>10</v>
      </c>
      <c r="E115" s="95"/>
      <c r="F115" s="6" t="s">
        <v>10</v>
      </c>
      <c r="G115" s="95"/>
      <c r="H115" s="8" t="s">
        <v>10</v>
      </c>
      <c r="I115" s="95"/>
      <c r="J115" s="1" t="s">
        <v>10</v>
      </c>
      <c r="K115" s="7" t="s">
        <v>11</v>
      </c>
    </row>
    <row r="116" spans="1:11" ht="12.6" customHeight="1" x14ac:dyDescent="0.2">
      <c r="A116" s="106"/>
      <c r="B116" s="106"/>
      <c r="C116" s="96"/>
      <c r="D116" s="9" t="s">
        <v>12</v>
      </c>
      <c r="E116" s="96"/>
      <c r="F116" s="10" t="s">
        <v>13</v>
      </c>
      <c r="G116" s="96"/>
      <c r="H116" s="9" t="s">
        <v>12</v>
      </c>
      <c r="I116" s="96"/>
      <c r="J116" s="11" t="s">
        <v>13</v>
      </c>
      <c r="K116" s="12" t="s">
        <v>14</v>
      </c>
    </row>
    <row r="117" spans="1:11" ht="12.6" customHeight="1" x14ac:dyDescent="0.2">
      <c r="A117" s="13"/>
      <c r="B117" s="19"/>
      <c r="C117" s="15"/>
      <c r="D117" s="14"/>
      <c r="E117" s="15">
        <f>E107+C117-D117</f>
        <v>0</v>
      </c>
      <c r="F117" s="14"/>
      <c r="G117" s="15">
        <f>C117</f>
        <v>0</v>
      </c>
      <c r="H117" s="14"/>
      <c r="I117" s="15">
        <f>I107+G117-H117</f>
        <v>0</v>
      </c>
      <c r="J117" s="14"/>
      <c r="K117" s="13"/>
    </row>
    <row r="118" spans="1:11" ht="12.6" customHeight="1" x14ac:dyDescent="0.2">
      <c r="A118" s="13"/>
      <c r="B118" s="17"/>
      <c r="C118" s="15"/>
      <c r="D118" s="14"/>
      <c r="E118" s="15">
        <f>E117+C118-D118</f>
        <v>0</v>
      </c>
      <c r="F118" s="14"/>
      <c r="G118" s="15">
        <f t="shared" ref="G118:G142" si="9">C118</f>
        <v>0</v>
      </c>
      <c r="H118" s="14"/>
      <c r="I118" s="15">
        <f>I117+G118-H118</f>
        <v>0</v>
      </c>
      <c r="J118" s="22"/>
      <c r="K118" s="23"/>
    </row>
    <row r="119" spans="1:11" ht="12.6" customHeight="1" x14ac:dyDescent="0.2">
      <c r="A119" s="13"/>
      <c r="B119" s="19"/>
      <c r="C119" s="15"/>
      <c r="D119" s="14"/>
      <c r="E119" s="15">
        <f t="shared" ref="E119:E142" si="10">E118+C119-D119</f>
        <v>0</v>
      </c>
      <c r="F119" s="14"/>
      <c r="G119" s="15">
        <f t="shared" si="9"/>
        <v>0</v>
      </c>
      <c r="H119" s="14"/>
      <c r="I119" s="15">
        <f t="shared" ref="I119:I142" si="11">I118+G119-H119</f>
        <v>0</v>
      </c>
      <c r="J119" s="14"/>
      <c r="K119" s="16"/>
    </row>
    <row r="120" spans="1:11" ht="12.6" customHeight="1" x14ac:dyDescent="0.2">
      <c r="A120" s="13"/>
      <c r="B120" s="19"/>
      <c r="C120" s="15"/>
      <c r="D120" s="14"/>
      <c r="E120" s="15">
        <f t="shared" si="10"/>
        <v>0</v>
      </c>
      <c r="F120" s="14"/>
      <c r="G120" s="15">
        <f t="shared" si="9"/>
        <v>0</v>
      </c>
      <c r="H120" s="14"/>
      <c r="I120" s="15">
        <f t="shared" si="11"/>
        <v>0</v>
      </c>
      <c r="J120" s="14"/>
      <c r="K120" s="13"/>
    </row>
    <row r="121" spans="1:11" ht="12.6" customHeight="1" x14ac:dyDescent="0.2">
      <c r="A121" s="29"/>
      <c r="B121" s="19"/>
      <c r="C121" s="15"/>
      <c r="D121" s="14"/>
      <c r="E121" s="15">
        <f t="shared" si="10"/>
        <v>0</v>
      </c>
      <c r="F121" s="14"/>
      <c r="G121" s="15">
        <f t="shared" si="9"/>
        <v>0</v>
      </c>
      <c r="H121" s="14"/>
      <c r="I121" s="15">
        <f t="shared" si="11"/>
        <v>0</v>
      </c>
      <c r="J121" s="14"/>
      <c r="K121" s="13"/>
    </row>
    <row r="122" spans="1:11" ht="12.6" customHeight="1" x14ac:dyDescent="0.2">
      <c r="A122" s="13"/>
      <c r="B122" s="19"/>
      <c r="C122" s="15"/>
      <c r="D122" s="14"/>
      <c r="E122" s="15">
        <f t="shared" si="10"/>
        <v>0</v>
      </c>
      <c r="F122" s="14"/>
      <c r="G122" s="15">
        <f t="shared" si="9"/>
        <v>0</v>
      </c>
      <c r="H122" s="14"/>
      <c r="I122" s="15">
        <f t="shared" si="11"/>
        <v>0</v>
      </c>
      <c r="J122" s="14"/>
      <c r="K122" s="13"/>
    </row>
    <row r="123" spans="1:11" ht="12.6" customHeight="1" x14ac:dyDescent="0.2">
      <c r="A123" s="13"/>
      <c r="B123" s="17"/>
      <c r="C123" s="15"/>
      <c r="D123" s="14"/>
      <c r="E123" s="15">
        <f t="shared" si="10"/>
        <v>0</v>
      </c>
      <c r="F123" s="14"/>
      <c r="G123" s="15">
        <f t="shared" si="9"/>
        <v>0</v>
      </c>
      <c r="H123" s="14"/>
      <c r="I123" s="15">
        <f t="shared" si="11"/>
        <v>0</v>
      </c>
      <c r="J123" s="14"/>
      <c r="K123" s="13"/>
    </row>
    <row r="124" spans="1:11" ht="12.6" customHeight="1" x14ac:dyDescent="0.2">
      <c r="A124" s="13"/>
      <c r="B124" s="19"/>
      <c r="C124" s="15"/>
      <c r="D124" s="14"/>
      <c r="E124" s="15">
        <f t="shared" si="10"/>
        <v>0</v>
      </c>
      <c r="F124" s="14"/>
      <c r="G124" s="15">
        <f t="shared" si="9"/>
        <v>0</v>
      </c>
      <c r="H124" s="14"/>
      <c r="I124" s="15">
        <f t="shared" si="11"/>
        <v>0</v>
      </c>
      <c r="J124" s="14"/>
      <c r="K124" s="16"/>
    </row>
    <row r="125" spans="1:11" ht="12.6" customHeight="1" x14ac:dyDescent="0.2">
      <c r="A125" s="13"/>
      <c r="B125" s="17"/>
      <c r="C125" s="15"/>
      <c r="D125" s="14"/>
      <c r="E125" s="15">
        <f t="shared" si="10"/>
        <v>0</v>
      </c>
      <c r="F125" s="14"/>
      <c r="G125" s="15">
        <f t="shared" si="9"/>
        <v>0</v>
      </c>
      <c r="H125" s="14"/>
      <c r="I125" s="15">
        <f t="shared" si="11"/>
        <v>0</v>
      </c>
      <c r="J125" s="14"/>
      <c r="K125" s="16"/>
    </row>
    <row r="126" spans="1:11" ht="12.6" customHeight="1" x14ac:dyDescent="0.2">
      <c r="A126" s="13"/>
      <c r="B126" s="17"/>
      <c r="C126" s="15"/>
      <c r="D126" s="14"/>
      <c r="E126" s="15">
        <f t="shared" si="10"/>
        <v>0</v>
      </c>
      <c r="F126" s="14"/>
      <c r="G126" s="15">
        <f t="shared" si="9"/>
        <v>0</v>
      </c>
      <c r="H126" s="14"/>
      <c r="I126" s="15">
        <f t="shared" si="11"/>
        <v>0</v>
      </c>
      <c r="J126" s="14"/>
      <c r="K126" s="16"/>
    </row>
    <row r="127" spans="1:11" ht="12.6" customHeight="1" x14ac:dyDescent="0.2">
      <c r="A127" s="13"/>
      <c r="B127" s="19"/>
      <c r="C127" s="15"/>
      <c r="D127" s="14"/>
      <c r="E127" s="15">
        <f t="shared" si="10"/>
        <v>0</v>
      </c>
      <c r="F127" s="14"/>
      <c r="G127" s="15">
        <f t="shared" si="9"/>
        <v>0</v>
      </c>
      <c r="H127" s="14"/>
      <c r="I127" s="15">
        <f t="shared" si="11"/>
        <v>0</v>
      </c>
      <c r="J127" s="14"/>
      <c r="K127" s="13"/>
    </row>
    <row r="128" spans="1:11" ht="12.6" customHeight="1" x14ac:dyDescent="0.2">
      <c r="A128" s="13"/>
      <c r="B128" s="17"/>
      <c r="C128" s="15"/>
      <c r="D128" s="14"/>
      <c r="E128" s="15">
        <f t="shared" si="10"/>
        <v>0</v>
      </c>
      <c r="F128" s="14"/>
      <c r="G128" s="15">
        <f t="shared" si="9"/>
        <v>0</v>
      </c>
      <c r="H128" s="14"/>
      <c r="I128" s="15">
        <f t="shared" si="11"/>
        <v>0</v>
      </c>
      <c r="J128" s="14"/>
      <c r="K128" s="13"/>
    </row>
    <row r="129" spans="1:11" ht="12.6" customHeight="1" x14ac:dyDescent="0.2">
      <c r="A129" s="13"/>
      <c r="B129" s="19"/>
      <c r="C129" s="15"/>
      <c r="D129" s="14"/>
      <c r="E129" s="15">
        <f t="shared" si="10"/>
        <v>0</v>
      </c>
      <c r="F129" s="14"/>
      <c r="G129" s="15">
        <f t="shared" si="9"/>
        <v>0</v>
      </c>
      <c r="H129" s="14"/>
      <c r="I129" s="15">
        <f t="shared" si="11"/>
        <v>0</v>
      </c>
      <c r="J129" s="14"/>
      <c r="K129" s="13"/>
    </row>
    <row r="130" spans="1:11" ht="12.6" customHeight="1" x14ac:dyDescent="0.2">
      <c r="A130" s="13"/>
      <c r="B130" s="19"/>
      <c r="C130" s="15"/>
      <c r="D130" s="14"/>
      <c r="E130" s="15">
        <f t="shared" si="10"/>
        <v>0</v>
      </c>
      <c r="F130" s="14"/>
      <c r="G130" s="15">
        <f t="shared" si="9"/>
        <v>0</v>
      </c>
      <c r="H130" s="14"/>
      <c r="I130" s="15">
        <f t="shared" si="11"/>
        <v>0</v>
      </c>
      <c r="J130" s="14"/>
      <c r="K130" s="13"/>
    </row>
    <row r="131" spans="1:11" ht="12.6" customHeight="1" x14ac:dyDescent="0.2">
      <c r="A131" s="13"/>
      <c r="B131" s="19"/>
      <c r="C131" s="15"/>
      <c r="D131" s="14"/>
      <c r="E131" s="15">
        <f t="shared" si="10"/>
        <v>0</v>
      </c>
      <c r="F131" s="14"/>
      <c r="G131" s="15">
        <f t="shared" si="9"/>
        <v>0</v>
      </c>
      <c r="H131" s="14"/>
      <c r="I131" s="15">
        <f t="shared" si="11"/>
        <v>0</v>
      </c>
      <c r="J131" s="14"/>
      <c r="K131" s="33"/>
    </row>
    <row r="132" spans="1:11" ht="12.6" customHeight="1" x14ac:dyDescent="0.2">
      <c r="A132" s="13"/>
      <c r="B132" s="19"/>
      <c r="C132" s="15"/>
      <c r="D132" s="14"/>
      <c r="E132" s="15">
        <f t="shared" si="10"/>
        <v>0</v>
      </c>
      <c r="F132" s="14"/>
      <c r="G132" s="15">
        <f t="shared" si="9"/>
        <v>0</v>
      </c>
      <c r="H132" s="14"/>
      <c r="I132" s="15">
        <f t="shared" si="11"/>
        <v>0</v>
      </c>
      <c r="J132" s="14"/>
      <c r="K132" s="13"/>
    </row>
    <row r="133" spans="1:11" ht="12.6" customHeight="1" x14ac:dyDescent="0.2">
      <c r="A133" s="13"/>
      <c r="B133" s="19"/>
      <c r="C133" s="15"/>
      <c r="D133" s="14"/>
      <c r="E133" s="15">
        <f t="shared" si="10"/>
        <v>0</v>
      </c>
      <c r="F133" s="14"/>
      <c r="G133" s="15">
        <f t="shared" si="9"/>
        <v>0</v>
      </c>
      <c r="H133" s="14"/>
      <c r="I133" s="15">
        <f t="shared" si="11"/>
        <v>0</v>
      </c>
      <c r="J133" s="14"/>
      <c r="K133" s="16"/>
    </row>
    <row r="134" spans="1:11" ht="12.6" customHeight="1" x14ac:dyDescent="0.2">
      <c r="A134" s="13"/>
      <c r="B134" s="19"/>
      <c r="C134" s="15"/>
      <c r="D134" s="14"/>
      <c r="E134" s="15">
        <f t="shared" si="10"/>
        <v>0</v>
      </c>
      <c r="F134" s="14"/>
      <c r="G134" s="15">
        <f t="shared" si="9"/>
        <v>0</v>
      </c>
      <c r="H134" s="14"/>
      <c r="I134" s="15">
        <f t="shared" si="11"/>
        <v>0</v>
      </c>
      <c r="J134" s="14"/>
      <c r="K134" s="13"/>
    </row>
    <row r="135" spans="1:11" ht="12.6" customHeight="1" x14ac:dyDescent="0.2">
      <c r="A135" s="13"/>
      <c r="B135" s="19"/>
      <c r="C135" s="15"/>
      <c r="D135" s="14"/>
      <c r="E135" s="15">
        <f t="shared" si="10"/>
        <v>0</v>
      </c>
      <c r="F135" s="14"/>
      <c r="G135" s="15">
        <f t="shared" si="9"/>
        <v>0</v>
      </c>
      <c r="H135" s="14"/>
      <c r="I135" s="15">
        <f t="shared" si="11"/>
        <v>0</v>
      </c>
      <c r="J135" s="14"/>
      <c r="K135" s="13"/>
    </row>
    <row r="136" spans="1:11" ht="12.6" customHeight="1" x14ac:dyDescent="0.2">
      <c r="A136" s="13"/>
      <c r="B136" s="19"/>
      <c r="C136" s="15"/>
      <c r="D136" s="14"/>
      <c r="E136" s="15">
        <f t="shared" si="10"/>
        <v>0</v>
      </c>
      <c r="F136" s="14"/>
      <c r="G136" s="15">
        <f t="shared" si="9"/>
        <v>0</v>
      </c>
      <c r="H136" s="14"/>
      <c r="I136" s="15">
        <f t="shared" si="11"/>
        <v>0</v>
      </c>
      <c r="J136" s="14"/>
      <c r="K136" s="13"/>
    </row>
    <row r="137" spans="1:11" ht="12.6" customHeight="1" x14ac:dyDescent="0.2">
      <c r="A137" s="13"/>
      <c r="B137" s="19"/>
      <c r="C137" s="15"/>
      <c r="D137" s="14"/>
      <c r="E137" s="15">
        <f t="shared" si="10"/>
        <v>0</v>
      </c>
      <c r="F137" s="14"/>
      <c r="G137" s="15">
        <f t="shared" si="9"/>
        <v>0</v>
      </c>
      <c r="H137" s="14"/>
      <c r="I137" s="15">
        <f t="shared" si="11"/>
        <v>0</v>
      </c>
      <c r="J137" s="14"/>
      <c r="K137" s="13"/>
    </row>
    <row r="138" spans="1:11" ht="12.6" customHeight="1" x14ac:dyDescent="0.2">
      <c r="A138" s="13"/>
      <c r="B138" s="19"/>
      <c r="C138" s="15"/>
      <c r="D138" s="14"/>
      <c r="E138" s="15">
        <f t="shared" si="10"/>
        <v>0</v>
      </c>
      <c r="F138" s="14"/>
      <c r="G138" s="15">
        <f t="shared" si="9"/>
        <v>0</v>
      </c>
      <c r="H138" s="14"/>
      <c r="I138" s="15">
        <f t="shared" si="11"/>
        <v>0</v>
      </c>
      <c r="J138" s="14"/>
      <c r="K138" s="19"/>
    </row>
    <row r="139" spans="1:11" ht="12.6" customHeight="1" x14ac:dyDescent="0.2">
      <c r="A139" s="13"/>
      <c r="B139" s="19"/>
      <c r="C139" s="15"/>
      <c r="D139" s="14"/>
      <c r="E139" s="15">
        <f t="shared" si="10"/>
        <v>0</v>
      </c>
      <c r="F139" s="14"/>
      <c r="G139" s="15">
        <f t="shared" si="9"/>
        <v>0</v>
      </c>
      <c r="H139" s="14"/>
      <c r="I139" s="15">
        <f t="shared" si="11"/>
        <v>0</v>
      </c>
      <c r="J139" s="14"/>
      <c r="K139" s="13"/>
    </row>
    <row r="140" spans="1:11" ht="12.6" customHeight="1" x14ac:dyDescent="0.2">
      <c r="A140" s="13"/>
      <c r="B140" s="19"/>
      <c r="C140" s="15"/>
      <c r="D140" s="14"/>
      <c r="E140" s="15">
        <f t="shared" si="10"/>
        <v>0</v>
      </c>
      <c r="F140" s="14"/>
      <c r="G140" s="15">
        <f t="shared" si="9"/>
        <v>0</v>
      </c>
      <c r="H140" s="14"/>
      <c r="I140" s="15">
        <f t="shared" si="11"/>
        <v>0</v>
      </c>
      <c r="J140" s="14"/>
      <c r="K140" s="13"/>
    </row>
    <row r="141" spans="1:11" ht="12.6" customHeight="1" x14ac:dyDescent="0.2">
      <c r="A141" s="13"/>
      <c r="B141" s="19"/>
      <c r="C141" s="15"/>
      <c r="D141" s="14"/>
      <c r="E141" s="15">
        <f t="shared" si="10"/>
        <v>0</v>
      </c>
      <c r="F141" s="14"/>
      <c r="G141" s="15">
        <f t="shared" si="9"/>
        <v>0</v>
      </c>
      <c r="H141" s="14"/>
      <c r="I141" s="15">
        <f t="shared" si="11"/>
        <v>0</v>
      </c>
      <c r="J141" s="14"/>
      <c r="K141" s="13"/>
    </row>
    <row r="142" spans="1:11" ht="12.6" customHeight="1" x14ac:dyDescent="0.2">
      <c r="A142" s="13"/>
      <c r="B142" s="19"/>
      <c r="C142" s="15"/>
      <c r="D142" s="14"/>
      <c r="E142" s="15">
        <f t="shared" si="10"/>
        <v>0</v>
      </c>
      <c r="F142" s="14"/>
      <c r="G142" s="15">
        <f t="shared" si="9"/>
        <v>0</v>
      </c>
      <c r="H142" s="14"/>
      <c r="I142" s="15">
        <f t="shared" si="11"/>
        <v>0</v>
      </c>
      <c r="J142" s="14"/>
      <c r="K142" s="16"/>
    </row>
    <row r="143" spans="1:11" ht="12.6" customHeight="1" x14ac:dyDescent="0.2">
      <c r="A143" s="19"/>
      <c r="B143" s="19"/>
      <c r="C143" s="15">
        <f>SUM(C117:C142)</f>
        <v>0</v>
      </c>
      <c r="D143" s="15">
        <f>SUM(D117:D142)</f>
        <v>0</v>
      </c>
      <c r="E143" s="15"/>
      <c r="F143" s="14"/>
      <c r="G143" s="15">
        <f>SUM(G117:G142)</f>
        <v>0</v>
      </c>
      <c r="H143" s="15">
        <f>SUM(H117:H142)</f>
        <v>0</v>
      </c>
      <c r="I143" s="15"/>
      <c r="J143" s="14"/>
      <c r="K143" s="16"/>
    </row>
    <row r="144" spans="1:11" ht="12.6" customHeight="1" x14ac:dyDescent="0.2">
      <c r="J144" s="27" t="s">
        <v>20</v>
      </c>
    </row>
    <row r="145" spans="1:11" ht="12.6" customHeight="1" x14ac:dyDescent="0.2"/>
    <row r="146" spans="1:11" ht="12.6" customHeight="1" x14ac:dyDescent="0.2"/>
    <row r="147" spans="1:11" ht="12.6" customHeight="1" x14ac:dyDescent="0.2"/>
    <row r="148" spans="1:11" ht="12.6" customHeight="1" x14ac:dyDescent="0.2"/>
    <row r="149" spans="1:11" ht="12.6" customHeight="1" x14ac:dyDescent="0.2"/>
    <row r="150" spans="1:11" ht="12.6" customHeight="1" x14ac:dyDescent="0.2">
      <c r="A150" s="102">
        <f>A1</f>
        <v>0</v>
      </c>
      <c r="B150" s="102"/>
      <c r="C150" s="102"/>
      <c r="D150" s="102"/>
      <c r="E150" s="102"/>
      <c r="F150" s="102"/>
      <c r="G150" s="102"/>
      <c r="H150" s="1"/>
      <c r="I150" s="103" t="s">
        <v>0</v>
      </c>
      <c r="J150" s="103"/>
      <c r="K150" s="2">
        <f>K1</f>
        <v>0</v>
      </c>
    </row>
    <row r="152" spans="1:11" ht="12.6" customHeight="1" x14ac:dyDescent="0.2">
      <c r="A152" s="104" t="s">
        <v>1</v>
      </c>
      <c r="B152" s="104" t="s">
        <v>2</v>
      </c>
      <c r="C152" s="107" t="s">
        <v>3</v>
      </c>
      <c r="D152" s="108"/>
      <c r="E152" s="108"/>
      <c r="F152" s="109"/>
      <c r="G152" s="107" t="s">
        <v>4</v>
      </c>
      <c r="H152" s="108"/>
      <c r="I152" s="108"/>
      <c r="J152" s="109"/>
      <c r="K152" s="4" t="s">
        <v>5</v>
      </c>
    </row>
    <row r="153" spans="1:11" ht="12.6" customHeight="1" x14ac:dyDescent="0.2">
      <c r="A153" s="105"/>
      <c r="B153" s="105"/>
      <c r="C153" s="94" t="s">
        <v>6</v>
      </c>
      <c r="D153" s="5" t="s">
        <v>7</v>
      </c>
      <c r="E153" s="94" t="s">
        <v>8</v>
      </c>
      <c r="F153" s="6" t="s">
        <v>7</v>
      </c>
      <c r="G153" s="94" t="s">
        <v>6</v>
      </c>
      <c r="H153" s="5" t="s">
        <v>7</v>
      </c>
      <c r="I153" s="94" t="s">
        <v>8</v>
      </c>
      <c r="J153" s="1" t="s">
        <v>7</v>
      </c>
      <c r="K153" s="7" t="s">
        <v>9</v>
      </c>
    </row>
    <row r="154" spans="1:11" ht="12.6" customHeight="1" x14ac:dyDescent="0.2">
      <c r="A154" s="105"/>
      <c r="B154" s="105"/>
      <c r="C154" s="95"/>
      <c r="D154" s="8" t="s">
        <v>10</v>
      </c>
      <c r="E154" s="95"/>
      <c r="F154" s="6" t="s">
        <v>10</v>
      </c>
      <c r="G154" s="95"/>
      <c r="H154" s="8" t="s">
        <v>10</v>
      </c>
      <c r="I154" s="95"/>
      <c r="J154" s="1" t="s">
        <v>10</v>
      </c>
      <c r="K154" s="7" t="s">
        <v>11</v>
      </c>
    </row>
    <row r="155" spans="1:11" ht="12.6" customHeight="1" x14ac:dyDescent="0.2">
      <c r="A155" s="106"/>
      <c r="B155" s="106"/>
      <c r="C155" s="96"/>
      <c r="D155" s="9" t="s">
        <v>12</v>
      </c>
      <c r="E155" s="96"/>
      <c r="F155" s="10" t="s">
        <v>13</v>
      </c>
      <c r="G155" s="96"/>
      <c r="H155" s="9" t="s">
        <v>12</v>
      </c>
      <c r="I155" s="96"/>
      <c r="J155" s="11" t="s">
        <v>13</v>
      </c>
      <c r="K155" s="12" t="s">
        <v>14</v>
      </c>
    </row>
    <row r="156" spans="1:11" ht="12.6" customHeight="1" x14ac:dyDescent="0.2">
      <c r="A156" s="13"/>
      <c r="B156" s="19"/>
      <c r="C156" s="15"/>
      <c r="D156" s="14"/>
      <c r="E156" s="15">
        <f>E142+C156-D156</f>
        <v>0</v>
      </c>
      <c r="F156" s="14"/>
      <c r="G156" s="15">
        <f>C156</f>
        <v>0</v>
      </c>
      <c r="H156" s="14"/>
      <c r="I156" s="15">
        <f>I142+G156-H156</f>
        <v>0</v>
      </c>
      <c r="J156" s="14"/>
      <c r="K156" s="13"/>
    </row>
    <row r="157" spans="1:11" ht="12.6" customHeight="1" x14ac:dyDescent="0.2">
      <c r="A157" s="13"/>
      <c r="B157" s="19"/>
      <c r="C157" s="15"/>
      <c r="D157" s="14"/>
      <c r="E157" s="15">
        <f>E156+C157-D157</f>
        <v>0</v>
      </c>
      <c r="F157" s="14"/>
      <c r="G157" s="15">
        <f t="shared" ref="G157:G181" si="12">C157</f>
        <v>0</v>
      </c>
      <c r="H157" s="14"/>
      <c r="I157" s="15">
        <f>I156+G157-H157</f>
        <v>0</v>
      </c>
      <c r="J157" s="14"/>
      <c r="K157" s="13"/>
    </row>
    <row r="158" spans="1:11" ht="12.6" customHeight="1" x14ac:dyDescent="0.2">
      <c r="A158" s="13"/>
      <c r="B158" s="19"/>
      <c r="C158" s="15"/>
      <c r="D158" s="14"/>
      <c r="E158" s="15">
        <f t="shared" ref="E158:E181" si="13">E157+C158-D158</f>
        <v>0</v>
      </c>
      <c r="F158" s="22"/>
      <c r="G158" s="15">
        <f t="shared" si="12"/>
        <v>0</v>
      </c>
      <c r="H158" s="34"/>
      <c r="I158" s="15">
        <f t="shared" ref="I158:I181" si="14">I157+G158-H158</f>
        <v>0</v>
      </c>
      <c r="J158" s="14"/>
      <c r="K158" s="13"/>
    </row>
    <row r="159" spans="1:11" ht="12.6" customHeight="1" x14ac:dyDescent="0.2">
      <c r="A159" s="13"/>
      <c r="B159" s="19"/>
      <c r="C159" s="15"/>
      <c r="D159" s="14"/>
      <c r="E159" s="15">
        <f t="shared" si="13"/>
        <v>0</v>
      </c>
      <c r="F159" s="14"/>
      <c r="G159" s="15">
        <f t="shared" si="12"/>
        <v>0</v>
      </c>
      <c r="H159" s="34"/>
      <c r="I159" s="15">
        <f t="shared" si="14"/>
        <v>0</v>
      </c>
      <c r="J159" s="14"/>
      <c r="K159" s="13"/>
    </row>
    <row r="160" spans="1:11" ht="12.6" customHeight="1" x14ac:dyDescent="0.2">
      <c r="A160" s="13"/>
      <c r="B160" s="19"/>
      <c r="C160" s="15"/>
      <c r="D160" s="14"/>
      <c r="E160" s="15">
        <f t="shared" si="13"/>
        <v>0</v>
      </c>
      <c r="F160" s="14"/>
      <c r="G160" s="15">
        <f t="shared" si="12"/>
        <v>0</v>
      </c>
      <c r="H160" s="34"/>
      <c r="I160" s="15">
        <f t="shared" si="14"/>
        <v>0</v>
      </c>
      <c r="J160" s="14"/>
      <c r="K160" s="16"/>
    </row>
    <row r="161" spans="1:11" ht="12.6" customHeight="1" x14ac:dyDescent="0.2">
      <c r="A161" s="13"/>
      <c r="B161" s="19"/>
      <c r="C161" s="15"/>
      <c r="D161" s="14"/>
      <c r="E161" s="15">
        <f t="shared" si="13"/>
        <v>0</v>
      </c>
      <c r="F161" s="14"/>
      <c r="G161" s="15">
        <f t="shared" si="12"/>
        <v>0</v>
      </c>
      <c r="H161" s="34"/>
      <c r="I161" s="15">
        <f t="shared" si="14"/>
        <v>0</v>
      </c>
      <c r="J161" s="14"/>
      <c r="K161" s="13"/>
    </row>
    <row r="162" spans="1:11" ht="12.6" customHeight="1" x14ac:dyDescent="0.2">
      <c r="A162" s="13"/>
      <c r="B162" s="19"/>
      <c r="C162" s="15"/>
      <c r="D162" s="14"/>
      <c r="E162" s="15">
        <f t="shared" si="13"/>
        <v>0</v>
      </c>
      <c r="F162" s="14"/>
      <c r="G162" s="15">
        <f t="shared" si="12"/>
        <v>0</v>
      </c>
      <c r="H162" s="34"/>
      <c r="I162" s="15">
        <f t="shared" si="14"/>
        <v>0</v>
      </c>
      <c r="J162" s="14"/>
      <c r="K162" s="16"/>
    </row>
    <row r="163" spans="1:11" ht="12.6" customHeight="1" x14ac:dyDescent="0.2">
      <c r="A163" s="13"/>
      <c r="B163" s="19"/>
      <c r="C163" s="15"/>
      <c r="D163" s="22"/>
      <c r="E163" s="15">
        <f t="shared" si="13"/>
        <v>0</v>
      </c>
      <c r="F163" s="22"/>
      <c r="G163" s="15">
        <f t="shared" si="12"/>
        <v>0</v>
      </c>
      <c r="H163" s="14"/>
      <c r="I163" s="15">
        <f t="shared" si="14"/>
        <v>0</v>
      </c>
      <c r="J163" s="14"/>
      <c r="K163" s="13"/>
    </row>
    <row r="164" spans="1:11" ht="12.6" customHeight="1" x14ac:dyDescent="0.2">
      <c r="A164" s="13"/>
      <c r="B164" s="19"/>
      <c r="C164" s="15"/>
      <c r="D164" s="22"/>
      <c r="E164" s="15">
        <f t="shared" si="13"/>
        <v>0</v>
      </c>
      <c r="F164" s="14"/>
      <c r="G164" s="15">
        <f t="shared" si="12"/>
        <v>0</v>
      </c>
      <c r="H164" s="34"/>
      <c r="I164" s="15">
        <f t="shared" si="14"/>
        <v>0</v>
      </c>
      <c r="J164" s="14"/>
      <c r="K164" s="13"/>
    </row>
    <row r="165" spans="1:11" ht="12.6" customHeight="1" x14ac:dyDescent="0.2">
      <c r="A165" s="13"/>
      <c r="B165" s="19"/>
      <c r="C165" s="15"/>
      <c r="D165" s="14"/>
      <c r="E165" s="15">
        <f t="shared" si="13"/>
        <v>0</v>
      </c>
      <c r="F165" s="14"/>
      <c r="G165" s="15">
        <f t="shared" si="12"/>
        <v>0</v>
      </c>
      <c r="H165" s="34"/>
      <c r="I165" s="15">
        <f t="shared" si="14"/>
        <v>0</v>
      </c>
      <c r="J165" s="14"/>
      <c r="K165" s="13"/>
    </row>
    <row r="166" spans="1:11" ht="12.6" customHeight="1" x14ac:dyDescent="0.2">
      <c r="A166" s="13"/>
      <c r="B166" s="19"/>
      <c r="C166" s="15"/>
      <c r="D166" s="14"/>
      <c r="E166" s="15">
        <f t="shared" si="13"/>
        <v>0</v>
      </c>
      <c r="F166" s="22"/>
      <c r="G166" s="15">
        <f t="shared" si="12"/>
        <v>0</v>
      </c>
      <c r="H166" s="34"/>
      <c r="I166" s="15">
        <f t="shared" si="14"/>
        <v>0</v>
      </c>
      <c r="J166" s="14"/>
      <c r="K166" s="13"/>
    </row>
    <row r="167" spans="1:11" ht="12.6" customHeight="1" x14ac:dyDescent="0.2">
      <c r="A167" s="13"/>
      <c r="B167" s="19"/>
      <c r="C167" s="15"/>
      <c r="D167" s="14"/>
      <c r="E167" s="15">
        <f t="shared" si="13"/>
        <v>0</v>
      </c>
      <c r="F167" s="22"/>
      <c r="G167" s="15">
        <f t="shared" si="12"/>
        <v>0</v>
      </c>
      <c r="H167" s="35"/>
      <c r="I167" s="15">
        <f t="shared" si="14"/>
        <v>0</v>
      </c>
      <c r="J167" s="14"/>
      <c r="K167" s="16"/>
    </row>
    <row r="168" spans="1:11" ht="12.6" customHeight="1" x14ac:dyDescent="0.2">
      <c r="A168" s="13"/>
      <c r="B168" s="19"/>
      <c r="C168" s="15"/>
      <c r="D168" s="14"/>
      <c r="E168" s="15">
        <f t="shared" si="13"/>
        <v>0</v>
      </c>
      <c r="F168" s="14"/>
      <c r="G168" s="15">
        <f t="shared" si="12"/>
        <v>0</v>
      </c>
      <c r="H168" s="32"/>
      <c r="I168" s="15">
        <f t="shared" si="14"/>
        <v>0</v>
      </c>
      <c r="J168" s="14"/>
      <c r="K168" s="13"/>
    </row>
    <row r="169" spans="1:11" ht="12.6" customHeight="1" x14ac:dyDescent="0.2">
      <c r="A169" s="13"/>
      <c r="B169" s="19"/>
      <c r="C169" s="15"/>
      <c r="D169" s="14"/>
      <c r="E169" s="15">
        <f t="shared" si="13"/>
        <v>0</v>
      </c>
      <c r="F169" s="22"/>
      <c r="G169" s="15">
        <f t="shared" si="12"/>
        <v>0</v>
      </c>
      <c r="H169" s="34"/>
      <c r="I169" s="15">
        <f t="shared" si="14"/>
        <v>0</v>
      </c>
      <c r="J169" s="14"/>
      <c r="K169" s="13"/>
    </row>
    <row r="170" spans="1:11" ht="12.6" customHeight="1" x14ac:dyDescent="0.2">
      <c r="A170" s="13"/>
      <c r="B170" s="19"/>
      <c r="C170" s="15"/>
      <c r="D170" s="14"/>
      <c r="E170" s="15">
        <f t="shared" si="13"/>
        <v>0</v>
      </c>
      <c r="F170" s="14"/>
      <c r="G170" s="15">
        <f t="shared" si="12"/>
        <v>0</v>
      </c>
      <c r="H170" s="14"/>
      <c r="I170" s="15">
        <f t="shared" si="14"/>
        <v>0</v>
      </c>
      <c r="J170" s="14"/>
      <c r="K170" s="13"/>
    </row>
    <row r="171" spans="1:11" ht="12.6" customHeight="1" x14ac:dyDescent="0.2">
      <c r="A171" s="13"/>
      <c r="B171" s="19"/>
      <c r="C171" s="15"/>
      <c r="D171" s="14"/>
      <c r="E171" s="15">
        <f t="shared" si="13"/>
        <v>0</v>
      </c>
      <c r="F171" s="14"/>
      <c r="G171" s="15">
        <f t="shared" si="12"/>
        <v>0</v>
      </c>
      <c r="H171" s="34"/>
      <c r="I171" s="15">
        <f t="shared" si="14"/>
        <v>0</v>
      </c>
      <c r="J171" s="14"/>
      <c r="K171" s="16"/>
    </row>
    <row r="172" spans="1:11" ht="12.6" customHeight="1" x14ac:dyDescent="0.2">
      <c r="A172" s="13"/>
      <c r="B172" s="19"/>
      <c r="C172" s="15"/>
      <c r="D172" s="14"/>
      <c r="E172" s="15">
        <f t="shared" si="13"/>
        <v>0</v>
      </c>
      <c r="F172" s="14"/>
      <c r="G172" s="15">
        <f t="shared" si="12"/>
        <v>0</v>
      </c>
      <c r="H172" s="34"/>
      <c r="I172" s="15">
        <f t="shared" si="14"/>
        <v>0</v>
      </c>
      <c r="J172" s="14"/>
      <c r="K172" s="13"/>
    </row>
    <row r="173" spans="1:11" ht="12.6" customHeight="1" x14ac:dyDescent="0.2">
      <c r="A173" s="13"/>
      <c r="B173" s="19"/>
      <c r="C173" s="15"/>
      <c r="D173" s="14"/>
      <c r="E173" s="15">
        <f t="shared" si="13"/>
        <v>0</v>
      </c>
      <c r="F173" s="14"/>
      <c r="G173" s="15">
        <f t="shared" si="12"/>
        <v>0</v>
      </c>
      <c r="H173" s="35"/>
      <c r="I173" s="15">
        <f t="shared" si="14"/>
        <v>0</v>
      </c>
      <c r="J173" s="14"/>
      <c r="K173" s="13"/>
    </row>
    <row r="174" spans="1:11" ht="12.6" customHeight="1" x14ac:dyDescent="0.2">
      <c r="A174" s="13"/>
      <c r="B174" s="19"/>
      <c r="C174" s="15"/>
      <c r="D174" s="14"/>
      <c r="E174" s="15">
        <f t="shared" si="13"/>
        <v>0</v>
      </c>
      <c r="F174" s="22"/>
      <c r="G174" s="15">
        <f t="shared" si="12"/>
        <v>0</v>
      </c>
      <c r="H174" s="14"/>
      <c r="I174" s="15">
        <f t="shared" si="14"/>
        <v>0</v>
      </c>
      <c r="J174" s="14"/>
      <c r="K174" s="13"/>
    </row>
    <row r="175" spans="1:11" ht="12.6" customHeight="1" x14ac:dyDescent="0.2">
      <c r="A175" s="13"/>
      <c r="B175" s="19"/>
      <c r="C175" s="15"/>
      <c r="D175" s="14"/>
      <c r="E175" s="15">
        <f t="shared" si="13"/>
        <v>0</v>
      </c>
      <c r="F175" s="22"/>
      <c r="G175" s="15">
        <f t="shared" si="12"/>
        <v>0</v>
      </c>
      <c r="H175" s="34"/>
      <c r="I175" s="15">
        <f t="shared" si="14"/>
        <v>0</v>
      </c>
      <c r="J175" s="14"/>
      <c r="K175" s="13"/>
    </row>
    <row r="176" spans="1:11" ht="12.6" customHeight="1" x14ac:dyDescent="0.2">
      <c r="A176" s="13"/>
      <c r="B176" s="19"/>
      <c r="C176" s="15"/>
      <c r="D176" s="14"/>
      <c r="E176" s="15">
        <f t="shared" si="13"/>
        <v>0</v>
      </c>
      <c r="F176" s="14"/>
      <c r="G176" s="15">
        <f t="shared" si="12"/>
        <v>0</v>
      </c>
      <c r="H176" s="32"/>
      <c r="I176" s="15">
        <f t="shared" si="14"/>
        <v>0</v>
      </c>
      <c r="J176" s="14"/>
      <c r="K176" s="16"/>
    </row>
    <row r="177" spans="1:11" ht="12.6" customHeight="1" x14ac:dyDescent="0.2">
      <c r="A177" s="13"/>
      <c r="B177" s="19"/>
      <c r="C177" s="15"/>
      <c r="D177" s="14"/>
      <c r="E177" s="15">
        <f t="shared" si="13"/>
        <v>0</v>
      </c>
      <c r="F177" s="14"/>
      <c r="G177" s="15">
        <f t="shared" si="12"/>
        <v>0</v>
      </c>
      <c r="H177" s="34"/>
      <c r="I177" s="15">
        <f t="shared" si="14"/>
        <v>0</v>
      </c>
      <c r="J177" s="14"/>
      <c r="K177" s="16"/>
    </row>
    <row r="178" spans="1:11" ht="12.6" customHeight="1" x14ac:dyDescent="0.2">
      <c r="A178" s="13"/>
      <c r="B178" s="19"/>
      <c r="C178" s="15"/>
      <c r="D178" s="14"/>
      <c r="E178" s="15">
        <f t="shared" si="13"/>
        <v>0</v>
      </c>
      <c r="F178" s="14"/>
      <c r="G178" s="15">
        <f t="shared" si="12"/>
        <v>0</v>
      </c>
      <c r="H178" s="34"/>
      <c r="I178" s="15">
        <f t="shared" si="14"/>
        <v>0</v>
      </c>
      <c r="J178" s="14"/>
      <c r="K178" s="13"/>
    </row>
    <row r="179" spans="1:11" ht="12.6" customHeight="1" x14ac:dyDescent="0.2">
      <c r="A179" s="13"/>
      <c r="B179" s="19"/>
      <c r="C179" s="15"/>
      <c r="D179" s="14"/>
      <c r="E179" s="15">
        <f t="shared" si="13"/>
        <v>0</v>
      </c>
      <c r="F179" s="14"/>
      <c r="G179" s="15">
        <f t="shared" si="12"/>
        <v>0</v>
      </c>
      <c r="H179" s="34"/>
      <c r="I179" s="15">
        <f t="shared" si="14"/>
        <v>0</v>
      </c>
      <c r="J179" s="14"/>
      <c r="K179" s="16"/>
    </row>
    <row r="180" spans="1:11" ht="12.6" customHeight="1" x14ac:dyDescent="0.2">
      <c r="A180" s="13"/>
      <c r="B180" s="19"/>
      <c r="C180" s="15"/>
      <c r="D180" s="14"/>
      <c r="E180" s="15">
        <f t="shared" si="13"/>
        <v>0</v>
      </c>
      <c r="F180" s="14"/>
      <c r="G180" s="15">
        <f t="shared" si="12"/>
        <v>0</v>
      </c>
      <c r="H180" s="34"/>
      <c r="I180" s="15">
        <f t="shared" si="14"/>
        <v>0</v>
      </c>
      <c r="J180" s="14"/>
      <c r="K180" s="13"/>
    </row>
    <row r="181" spans="1:11" ht="12.6" customHeight="1" x14ac:dyDescent="0.2">
      <c r="A181" s="13"/>
      <c r="B181" s="19"/>
      <c r="C181" s="15"/>
      <c r="D181" s="14"/>
      <c r="E181" s="15">
        <f t="shared" si="13"/>
        <v>0</v>
      </c>
      <c r="F181" s="14"/>
      <c r="G181" s="15">
        <f t="shared" si="12"/>
        <v>0</v>
      </c>
      <c r="H181" s="34"/>
      <c r="I181" s="15">
        <f t="shared" si="14"/>
        <v>0</v>
      </c>
      <c r="J181" s="14"/>
      <c r="K181" s="13"/>
    </row>
    <row r="182" spans="1:11" ht="12.6" customHeight="1" x14ac:dyDescent="0.2">
      <c r="A182" s="19"/>
      <c r="B182" s="19"/>
      <c r="C182" s="15">
        <f>SUM(C156:C181)</f>
        <v>0</v>
      </c>
      <c r="D182" s="15">
        <f>SUM(D156:D181)</f>
        <v>0</v>
      </c>
      <c r="E182" s="36"/>
      <c r="F182" s="37"/>
      <c r="G182" s="15">
        <f>SUM(G156:G181)</f>
        <v>0</v>
      </c>
      <c r="H182" s="15">
        <f>SUM(H156:H181)</f>
        <v>0</v>
      </c>
      <c r="I182" s="15"/>
      <c r="J182" s="14"/>
      <c r="K182" s="16"/>
    </row>
    <row r="183" spans="1:11" ht="12.6" customHeight="1" x14ac:dyDescent="0.2">
      <c r="J183" s="27" t="s">
        <v>21</v>
      </c>
    </row>
    <row r="184" spans="1:11" ht="12.6" customHeight="1" x14ac:dyDescent="0.2"/>
    <row r="185" spans="1:11" ht="12.6" customHeight="1" x14ac:dyDescent="0.2">
      <c r="A185" s="102">
        <f>A1</f>
        <v>0</v>
      </c>
      <c r="B185" s="102"/>
      <c r="C185" s="102"/>
      <c r="D185" s="102"/>
      <c r="E185" s="102"/>
      <c r="F185" s="102"/>
      <c r="G185" s="102"/>
      <c r="H185" s="1"/>
      <c r="I185" s="103" t="s">
        <v>0</v>
      </c>
      <c r="J185" s="103"/>
      <c r="K185" s="2">
        <f>K1</f>
        <v>0</v>
      </c>
    </row>
    <row r="187" spans="1:11" ht="12.6" customHeight="1" x14ac:dyDescent="0.2">
      <c r="A187" s="104" t="s">
        <v>1</v>
      </c>
      <c r="B187" s="104" t="s">
        <v>2</v>
      </c>
      <c r="C187" s="107" t="s">
        <v>3</v>
      </c>
      <c r="D187" s="108"/>
      <c r="E187" s="108"/>
      <c r="F187" s="109"/>
      <c r="G187" s="107" t="s">
        <v>4</v>
      </c>
      <c r="H187" s="108"/>
      <c r="I187" s="108"/>
      <c r="J187" s="109"/>
      <c r="K187" s="4" t="s">
        <v>5</v>
      </c>
    </row>
    <row r="188" spans="1:11" ht="12.6" customHeight="1" x14ac:dyDescent="0.2">
      <c r="A188" s="105"/>
      <c r="B188" s="105"/>
      <c r="C188" s="94" t="s">
        <v>6</v>
      </c>
      <c r="D188" s="5" t="s">
        <v>7</v>
      </c>
      <c r="E188" s="94" t="s">
        <v>8</v>
      </c>
      <c r="F188" s="6" t="s">
        <v>7</v>
      </c>
      <c r="G188" s="94" t="s">
        <v>6</v>
      </c>
      <c r="H188" s="5" t="s">
        <v>7</v>
      </c>
      <c r="I188" s="94" t="s">
        <v>8</v>
      </c>
      <c r="J188" s="1" t="s">
        <v>7</v>
      </c>
      <c r="K188" s="7" t="s">
        <v>9</v>
      </c>
    </row>
    <row r="189" spans="1:11" ht="12.6" customHeight="1" x14ac:dyDescent="0.2">
      <c r="A189" s="105"/>
      <c r="B189" s="105"/>
      <c r="C189" s="95"/>
      <c r="D189" s="8" t="s">
        <v>10</v>
      </c>
      <c r="E189" s="95"/>
      <c r="F189" s="6" t="s">
        <v>10</v>
      </c>
      <c r="G189" s="95"/>
      <c r="H189" s="8" t="s">
        <v>10</v>
      </c>
      <c r="I189" s="95"/>
      <c r="J189" s="1" t="s">
        <v>10</v>
      </c>
      <c r="K189" s="7" t="s">
        <v>11</v>
      </c>
    </row>
    <row r="190" spans="1:11" ht="12.6" customHeight="1" x14ac:dyDescent="0.2">
      <c r="A190" s="106"/>
      <c r="B190" s="106"/>
      <c r="C190" s="96"/>
      <c r="D190" s="9" t="s">
        <v>12</v>
      </c>
      <c r="E190" s="96"/>
      <c r="F190" s="10" t="s">
        <v>13</v>
      </c>
      <c r="G190" s="96"/>
      <c r="H190" s="9" t="s">
        <v>12</v>
      </c>
      <c r="I190" s="96"/>
      <c r="J190" s="11" t="s">
        <v>13</v>
      </c>
      <c r="K190" s="12" t="s">
        <v>14</v>
      </c>
    </row>
    <row r="191" spans="1:11" ht="12.6" customHeight="1" x14ac:dyDescent="0.2">
      <c r="A191" s="13"/>
      <c r="B191" s="19"/>
      <c r="C191" s="15"/>
      <c r="D191" s="14"/>
      <c r="E191" s="15">
        <f>E181+C191-D191</f>
        <v>0</v>
      </c>
      <c r="F191" s="14"/>
      <c r="G191" s="15">
        <f>C191</f>
        <v>0</v>
      </c>
      <c r="H191" s="34"/>
      <c r="I191" s="15">
        <f>I181+G191-H191</f>
        <v>0</v>
      </c>
      <c r="J191" s="14"/>
      <c r="K191" s="13"/>
    </row>
    <row r="192" spans="1:11" ht="12.6" customHeight="1" x14ac:dyDescent="0.2">
      <c r="A192" s="13"/>
      <c r="B192" s="19"/>
      <c r="C192" s="15"/>
      <c r="D192" s="14"/>
      <c r="E192" s="15">
        <f>E191+C192-D192</f>
        <v>0</v>
      </c>
      <c r="F192" s="14"/>
      <c r="G192" s="15">
        <f t="shared" ref="G192:G216" si="15">C192</f>
        <v>0</v>
      </c>
      <c r="H192" s="34"/>
      <c r="I192" s="15">
        <f>I191+G192-H192</f>
        <v>0</v>
      </c>
      <c r="J192" s="14"/>
      <c r="K192" s="13"/>
    </row>
    <row r="193" spans="1:11" ht="12.6" customHeight="1" x14ac:dyDescent="0.2">
      <c r="A193" s="13"/>
      <c r="B193" s="19"/>
      <c r="C193" s="15"/>
      <c r="D193" s="14"/>
      <c r="E193" s="15">
        <f t="shared" ref="E193:E216" si="16">E192+C193-D193</f>
        <v>0</v>
      </c>
      <c r="F193" s="22"/>
      <c r="G193" s="15">
        <f t="shared" si="15"/>
        <v>0</v>
      </c>
      <c r="H193" s="34"/>
      <c r="I193" s="15">
        <f t="shared" ref="I193:I216" si="17">I192+G193-H193</f>
        <v>0</v>
      </c>
      <c r="J193" s="14"/>
      <c r="K193" s="38"/>
    </row>
    <row r="194" spans="1:11" ht="12.6" customHeight="1" x14ac:dyDescent="0.2">
      <c r="A194" s="13"/>
      <c r="B194" s="19"/>
      <c r="C194" s="15"/>
      <c r="D194" s="14"/>
      <c r="E194" s="15">
        <f t="shared" si="16"/>
        <v>0</v>
      </c>
      <c r="F194" s="14"/>
      <c r="G194" s="15">
        <f t="shared" si="15"/>
        <v>0</v>
      </c>
      <c r="H194" s="34"/>
      <c r="I194" s="15">
        <f t="shared" si="17"/>
        <v>0</v>
      </c>
      <c r="J194" s="14"/>
      <c r="K194" s="13"/>
    </row>
    <row r="195" spans="1:11" ht="12.6" customHeight="1" x14ac:dyDescent="0.2">
      <c r="A195" s="13"/>
      <c r="B195" s="19"/>
      <c r="C195" s="15"/>
      <c r="D195" s="14"/>
      <c r="E195" s="15">
        <f t="shared" si="16"/>
        <v>0</v>
      </c>
      <c r="F195" s="14"/>
      <c r="G195" s="15">
        <f t="shared" si="15"/>
        <v>0</v>
      </c>
      <c r="H195" s="34"/>
      <c r="I195" s="15">
        <f t="shared" si="17"/>
        <v>0</v>
      </c>
      <c r="J195" s="14"/>
      <c r="K195" s="13"/>
    </row>
    <row r="196" spans="1:11" ht="12.6" customHeight="1" x14ac:dyDescent="0.2">
      <c r="A196" s="13"/>
      <c r="B196" s="19"/>
      <c r="C196" s="15"/>
      <c r="D196" s="14"/>
      <c r="E196" s="15">
        <f t="shared" si="16"/>
        <v>0</v>
      </c>
      <c r="F196" s="14"/>
      <c r="G196" s="15">
        <f t="shared" si="15"/>
        <v>0</v>
      </c>
      <c r="H196" s="34"/>
      <c r="I196" s="15">
        <f t="shared" si="17"/>
        <v>0</v>
      </c>
      <c r="J196" s="14"/>
      <c r="K196" s="13"/>
    </row>
    <row r="197" spans="1:11" ht="12.6" customHeight="1" x14ac:dyDescent="0.2">
      <c r="A197" s="13"/>
      <c r="B197" s="19"/>
      <c r="C197" s="15"/>
      <c r="D197" s="14"/>
      <c r="E197" s="15">
        <f t="shared" si="16"/>
        <v>0</v>
      </c>
      <c r="F197" s="14"/>
      <c r="G197" s="15">
        <f t="shared" si="15"/>
        <v>0</v>
      </c>
      <c r="H197" s="34"/>
      <c r="I197" s="15">
        <f t="shared" si="17"/>
        <v>0</v>
      </c>
      <c r="J197" s="14"/>
      <c r="K197" s="13"/>
    </row>
    <row r="198" spans="1:11" ht="12.6" customHeight="1" x14ac:dyDescent="0.2">
      <c r="A198" s="13"/>
      <c r="B198" s="19"/>
      <c r="C198" s="15"/>
      <c r="D198" s="22"/>
      <c r="E198" s="15">
        <f t="shared" si="16"/>
        <v>0</v>
      </c>
      <c r="F198" s="22"/>
      <c r="G198" s="15">
        <f t="shared" si="15"/>
        <v>0</v>
      </c>
      <c r="H198" s="34"/>
      <c r="I198" s="15">
        <f t="shared" si="17"/>
        <v>0</v>
      </c>
      <c r="J198" s="14"/>
      <c r="K198" s="16"/>
    </row>
    <row r="199" spans="1:11" ht="12.6" customHeight="1" x14ac:dyDescent="0.2">
      <c r="A199" s="13"/>
      <c r="B199" s="19"/>
      <c r="C199" s="15"/>
      <c r="D199" s="22"/>
      <c r="E199" s="15">
        <f t="shared" si="16"/>
        <v>0</v>
      </c>
      <c r="F199" s="14"/>
      <c r="G199" s="15">
        <f t="shared" si="15"/>
        <v>0</v>
      </c>
      <c r="H199" s="34"/>
      <c r="I199" s="15">
        <f t="shared" si="17"/>
        <v>0</v>
      </c>
      <c r="J199" s="14"/>
      <c r="K199" s="16"/>
    </row>
    <row r="200" spans="1:11" ht="12.6" customHeight="1" x14ac:dyDescent="0.2">
      <c r="A200" s="13"/>
      <c r="B200" s="19"/>
      <c r="C200" s="15"/>
      <c r="D200" s="14"/>
      <c r="E200" s="15">
        <f t="shared" si="16"/>
        <v>0</v>
      </c>
      <c r="F200" s="14"/>
      <c r="G200" s="15">
        <f t="shared" si="15"/>
        <v>0</v>
      </c>
      <c r="H200" s="34"/>
      <c r="I200" s="15">
        <f t="shared" si="17"/>
        <v>0</v>
      </c>
      <c r="J200" s="14"/>
      <c r="K200" s="13"/>
    </row>
    <row r="201" spans="1:11" ht="12.6" customHeight="1" x14ac:dyDescent="0.2">
      <c r="A201" s="13"/>
      <c r="B201" s="19"/>
      <c r="C201" s="15"/>
      <c r="D201" s="22"/>
      <c r="E201" s="15">
        <f t="shared" si="16"/>
        <v>0</v>
      </c>
      <c r="F201" s="22"/>
      <c r="G201" s="15">
        <f t="shared" si="15"/>
        <v>0</v>
      </c>
      <c r="H201" s="34"/>
      <c r="I201" s="15">
        <f t="shared" si="17"/>
        <v>0</v>
      </c>
      <c r="J201" s="14"/>
      <c r="K201" s="13"/>
    </row>
    <row r="202" spans="1:11" ht="12.6" customHeight="1" x14ac:dyDescent="0.2">
      <c r="A202" s="13"/>
      <c r="B202" s="19"/>
      <c r="C202" s="15"/>
      <c r="D202" s="14"/>
      <c r="E202" s="15">
        <f t="shared" si="16"/>
        <v>0</v>
      </c>
      <c r="F202" s="22"/>
      <c r="G202" s="15">
        <f t="shared" si="15"/>
        <v>0</v>
      </c>
      <c r="H202" s="34"/>
      <c r="I202" s="15">
        <f t="shared" si="17"/>
        <v>0</v>
      </c>
      <c r="J202" s="14"/>
      <c r="K202" s="13"/>
    </row>
    <row r="203" spans="1:11" ht="12.6" customHeight="1" x14ac:dyDescent="0.2">
      <c r="A203" s="13"/>
      <c r="B203" s="19"/>
      <c r="C203" s="15"/>
      <c r="D203" s="14"/>
      <c r="E203" s="15">
        <f t="shared" si="16"/>
        <v>0</v>
      </c>
      <c r="F203" s="14"/>
      <c r="G203" s="15">
        <f t="shared" si="15"/>
        <v>0</v>
      </c>
      <c r="H203" s="34"/>
      <c r="I203" s="15">
        <f t="shared" si="17"/>
        <v>0</v>
      </c>
      <c r="J203" s="14"/>
      <c r="K203" s="16"/>
    </row>
    <row r="204" spans="1:11" ht="12.6" customHeight="1" x14ac:dyDescent="0.2">
      <c r="A204" s="13"/>
      <c r="B204" s="19"/>
      <c r="C204" s="15"/>
      <c r="D204" s="14"/>
      <c r="E204" s="15">
        <f t="shared" si="16"/>
        <v>0</v>
      </c>
      <c r="F204" s="22"/>
      <c r="G204" s="15">
        <f t="shared" si="15"/>
        <v>0</v>
      </c>
      <c r="H204" s="34"/>
      <c r="I204" s="15">
        <f t="shared" si="17"/>
        <v>0</v>
      </c>
      <c r="J204" s="14"/>
      <c r="K204" s="13"/>
    </row>
    <row r="205" spans="1:11" ht="12.6" customHeight="1" x14ac:dyDescent="0.2">
      <c r="A205" s="13"/>
      <c r="B205" s="19"/>
      <c r="C205" s="15"/>
      <c r="D205" s="14"/>
      <c r="E205" s="15">
        <f t="shared" si="16"/>
        <v>0</v>
      </c>
      <c r="F205" s="14"/>
      <c r="G205" s="15">
        <f t="shared" si="15"/>
        <v>0</v>
      </c>
      <c r="H205" s="34"/>
      <c r="I205" s="15">
        <f t="shared" si="17"/>
        <v>0</v>
      </c>
      <c r="J205" s="14"/>
      <c r="K205" s="16"/>
    </row>
    <row r="206" spans="1:11" ht="12.6" customHeight="1" x14ac:dyDescent="0.2">
      <c r="A206" s="13"/>
      <c r="B206" s="19"/>
      <c r="C206" s="15"/>
      <c r="D206" s="22"/>
      <c r="E206" s="15">
        <f t="shared" si="16"/>
        <v>0</v>
      </c>
      <c r="F206" s="14"/>
      <c r="G206" s="15">
        <f t="shared" si="15"/>
        <v>0</v>
      </c>
      <c r="H206" s="34"/>
      <c r="I206" s="15">
        <f t="shared" si="17"/>
        <v>0</v>
      </c>
      <c r="J206" s="14"/>
      <c r="K206" s="16"/>
    </row>
    <row r="207" spans="1:11" ht="12.6" customHeight="1" x14ac:dyDescent="0.2">
      <c r="A207" s="13"/>
      <c r="B207" s="19"/>
      <c r="C207" s="15"/>
      <c r="D207" s="22"/>
      <c r="E207" s="15">
        <f t="shared" si="16"/>
        <v>0</v>
      </c>
      <c r="F207" s="14"/>
      <c r="G207" s="15">
        <f t="shared" si="15"/>
        <v>0</v>
      </c>
      <c r="H207" s="34"/>
      <c r="I207" s="15">
        <f t="shared" si="17"/>
        <v>0</v>
      </c>
      <c r="J207" s="14"/>
      <c r="K207" s="13"/>
    </row>
    <row r="208" spans="1:11" ht="12.6" customHeight="1" x14ac:dyDescent="0.2">
      <c r="A208" s="13"/>
      <c r="B208" s="19"/>
      <c r="C208" s="15"/>
      <c r="D208" s="14"/>
      <c r="E208" s="15">
        <f t="shared" si="16"/>
        <v>0</v>
      </c>
      <c r="F208" s="14"/>
      <c r="G208" s="15">
        <f t="shared" si="15"/>
        <v>0</v>
      </c>
      <c r="H208" s="34"/>
      <c r="I208" s="15">
        <f t="shared" si="17"/>
        <v>0</v>
      </c>
      <c r="J208" s="14"/>
      <c r="K208" s="13"/>
    </row>
    <row r="209" spans="1:11" ht="12.6" customHeight="1" x14ac:dyDescent="0.2">
      <c r="A209" s="13"/>
      <c r="B209" s="19"/>
      <c r="C209" s="15"/>
      <c r="D209" s="14"/>
      <c r="E209" s="15">
        <f t="shared" si="16"/>
        <v>0</v>
      </c>
      <c r="F209" s="22"/>
      <c r="G209" s="15">
        <f t="shared" si="15"/>
        <v>0</v>
      </c>
      <c r="H209" s="34"/>
      <c r="I209" s="15">
        <f t="shared" si="17"/>
        <v>0</v>
      </c>
      <c r="J209" s="14"/>
      <c r="K209" s="16"/>
    </row>
    <row r="210" spans="1:11" ht="12.6" customHeight="1" x14ac:dyDescent="0.2">
      <c r="A210" s="13"/>
      <c r="B210" s="19"/>
      <c r="C210" s="15"/>
      <c r="D210" s="14"/>
      <c r="E210" s="15">
        <f t="shared" si="16"/>
        <v>0</v>
      </c>
      <c r="F210" s="22"/>
      <c r="G210" s="15">
        <f t="shared" si="15"/>
        <v>0</v>
      </c>
      <c r="H210" s="34"/>
      <c r="I210" s="15">
        <f t="shared" si="17"/>
        <v>0</v>
      </c>
      <c r="J210" s="14"/>
      <c r="K210" s="13"/>
    </row>
    <row r="211" spans="1:11" ht="12.6" customHeight="1" x14ac:dyDescent="0.2">
      <c r="A211" s="13"/>
      <c r="B211" s="19"/>
      <c r="C211" s="15"/>
      <c r="D211" s="14"/>
      <c r="E211" s="15">
        <f t="shared" si="16"/>
        <v>0</v>
      </c>
      <c r="F211" s="14"/>
      <c r="G211" s="15">
        <f t="shared" si="15"/>
        <v>0</v>
      </c>
      <c r="H211" s="34"/>
      <c r="I211" s="15">
        <f t="shared" si="17"/>
        <v>0</v>
      </c>
      <c r="J211" s="14"/>
      <c r="K211" s="16"/>
    </row>
    <row r="212" spans="1:11" ht="12.6" customHeight="1" x14ac:dyDescent="0.2">
      <c r="A212" s="13"/>
      <c r="B212" s="19"/>
      <c r="C212" s="15"/>
      <c r="D212" s="14"/>
      <c r="E212" s="15">
        <f t="shared" si="16"/>
        <v>0</v>
      </c>
      <c r="F212" s="14"/>
      <c r="G212" s="15">
        <f t="shared" si="15"/>
        <v>0</v>
      </c>
      <c r="H212" s="34"/>
      <c r="I212" s="15">
        <f t="shared" si="17"/>
        <v>0</v>
      </c>
      <c r="J212" s="14"/>
      <c r="K212" s="13"/>
    </row>
    <row r="213" spans="1:11" ht="12.6" customHeight="1" x14ac:dyDescent="0.2">
      <c r="A213" s="13"/>
      <c r="B213" s="19"/>
      <c r="C213" s="15"/>
      <c r="D213" s="14"/>
      <c r="E213" s="15">
        <f t="shared" si="16"/>
        <v>0</v>
      </c>
      <c r="F213" s="14"/>
      <c r="G213" s="15">
        <f t="shared" si="15"/>
        <v>0</v>
      </c>
      <c r="H213" s="34"/>
      <c r="I213" s="15">
        <f t="shared" si="17"/>
        <v>0</v>
      </c>
      <c r="J213" s="14"/>
      <c r="K213" s="13"/>
    </row>
    <row r="214" spans="1:11" ht="12.6" customHeight="1" x14ac:dyDescent="0.2">
      <c r="A214" s="13"/>
      <c r="B214" s="19"/>
      <c r="C214" s="15"/>
      <c r="D214" s="14"/>
      <c r="E214" s="15">
        <f t="shared" si="16"/>
        <v>0</v>
      </c>
      <c r="F214" s="14"/>
      <c r="G214" s="15">
        <f t="shared" si="15"/>
        <v>0</v>
      </c>
      <c r="H214" s="14"/>
      <c r="I214" s="15">
        <f t="shared" si="17"/>
        <v>0</v>
      </c>
      <c r="J214" s="14"/>
      <c r="K214" s="16"/>
    </row>
    <row r="215" spans="1:11" ht="12.6" customHeight="1" x14ac:dyDescent="0.2">
      <c r="A215" s="13"/>
      <c r="B215" s="19"/>
      <c r="C215" s="15"/>
      <c r="D215" s="14"/>
      <c r="E215" s="15">
        <f t="shared" si="16"/>
        <v>0</v>
      </c>
      <c r="F215" s="14"/>
      <c r="G215" s="15">
        <f t="shared" si="15"/>
        <v>0</v>
      </c>
      <c r="H215" s="14"/>
      <c r="I215" s="15">
        <f t="shared" si="17"/>
        <v>0</v>
      </c>
      <c r="J215" s="14"/>
      <c r="K215" s="13"/>
    </row>
    <row r="216" spans="1:11" ht="12.6" customHeight="1" x14ac:dyDescent="0.2">
      <c r="A216" s="13"/>
      <c r="B216" s="19"/>
      <c r="C216" s="15"/>
      <c r="D216" s="14"/>
      <c r="E216" s="15">
        <f t="shared" si="16"/>
        <v>0</v>
      </c>
      <c r="F216" s="14"/>
      <c r="G216" s="15">
        <f t="shared" si="15"/>
        <v>0</v>
      </c>
      <c r="H216" s="14"/>
      <c r="I216" s="15">
        <f t="shared" si="17"/>
        <v>0</v>
      </c>
      <c r="J216" s="14"/>
      <c r="K216" s="16"/>
    </row>
    <row r="217" spans="1:11" ht="12.6" customHeight="1" x14ac:dyDescent="0.2">
      <c r="A217" s="19"/>
      <c r="B217" s="19"/>
      <c r="C217" s="15">
        <f>SUM(C191:C216)</f>
        <v>0</v>
      </c>
      <c r="D217" s="15">
        <f>SUM(D191:D216)</f>
        <v>0</v>
      </c>
      <c r="E217" s="36"/>
      <c r="F217" s="39"/>
      <c r="G217" s="15">
        <f>SUM(G191:G216)</f>
        <v>0</v>
      </c>
      <c r="H217" s="15">
        <f>SUM(H191:H216)</f>
        <v>0</v>
      </c>
      <c r="I217" s="15"/>
      <c r="J217" s="14"/>
      <c r="K217" s="16"/>
    </row>
    <row r="218" spans="1:11" ht="12.6" customHeight="1" x14ac:dyDescent="0.2">
      <c r="J218" s="27" t="s">
        <v>22</v>
      </c>
    </row>
    <row r="219" spans="1:11" ht="12.6" customHeight="1" x14ac:dyDescent="0.2"/>
    <row r="220" spans="1:11" ht="12.6" customHeight="1" x14ac:dyDescent="0.2"/>
    <row r="221" spans="1:11" ht="12.6" customHeight="1" x14ac:dyDescent="0.2"/>
    <row r="222" spans="1:11" ht="12.6" customHeight="1" x14ac:dyDescent="0.2"/>
    <row r="223" spans="1:11" ht="12.6" customHeight="1" x14ac:dyDescent="0.2"/>
    <row r="224" spans="1:11" ht="12.6" customHeight="1" x14ac:dyDescent="0.2">
      <c r="A224" s="102">
        <f>A1</f>
        <v>0</v>
      </c>
      <c r="B224" s="102"/>
      <c r="C224" s="102"/>
      <c r="D224" s="102"/>
      <c r="E224" s="102"/>
      <c r="F224" s="102"/>
      <c r="G224" s="102"/>
      <c r="H224" s="1"/>
      <c r="I224" s="103" t="s">
        <v>0</v>
      </c>
      <c r="J224" s="103"/>
      <c r="K224" s="2">
        <f>K1</f>
        <v>0</v>
      </c>
    </row>
    <row r="226" spans="1:11" ht="12.6" customHeight="1" x14ac:dyDescent="0.2">
      <c r="A226" s="104" t="s">
        <v>1</v>
      </c>
      <c r="B226" s="104" t="s">
        <v>2</v>
      </c>
      <c r="C226" s="107" t="s">
        <v>3</v>
      </c>
      <c r="D226" s="108"/>
      <c r="E226" s="108"/>
      <c r="F226" s="109"/>
      <c r="G226" s="107" t="s">
        <v>4</v>
      </c>
      <c r="H226" s="108"/>
      <c r="I226" s="108"/>
      <c r="J226" s="109"/>
      <c r="K226" s="4"/>
    </row>
    <row r="227" spans="1:11" ht="12.6" customHeight="1" x14ac:dyDescent="0.2">
      <c r="A227" s="105"/>
      <c r="B227" s="105"/>
      <c r="C227" s="94" t="s">
        <v>6</v>
      </c>
      <c r="D227" s="5" t="s">
        <v>7</v>
      </c>
      <c r="E227" s="94" t="s">
        <v>8</v>
      </c>
      <c r="F227" s="6" t="s">
        <v>7</v>
      </c>
      <c r="G227" s="94" t="s">
        <v>6</v>
      </c>
      <c r="H227" s="5" t="s">
        <v>7</v>
      </c>
      <c r="I227" s="94" t="s">
        <v>8</v>
      </c>
      <c r="J227" s="1" t="s">
        <v>7</v>
      </c>
      <c r="K227" s="7"/>
    </row>
    <row r="228" spans="1:11" ht="12.6" customHeight="1" x14ac:dyDescent="0.2">
      <c r="A228" s="105"/>
      <c r="B228" s="105"/>
      <c r="C228" s="95"/>
      <c r="D228" s="8" t="s">
        <v>10</v>
      </c>
      <c r="E228" s="95"/>
      <c r="F228" s="6" t="s">
        <v>10</v>
      </c>
      <c r="G228" s="95"/>
      <c r="H228" s="8" t="s">
        <v>10</v>
      </c>
      <c r="I228" s="95"/>
      <c r="J228" s="1" t="s">
        <v>10</v>
      </c>
      <c r="K228" s="7"/>
    </row>
    <row r="229" spans="1:11" ht="12.6" customHeight="1" x14ac:dyDescent="0.2">
      <c r="A229" s="106"/>
      <c r="B229" s="106"/>
      <c r="C229" s="96"/>
      <c r="D229" s="9" t="s">
        <v>12</v>
      </c>
      <c r="E229" s="96"/>
      <c r="F229" s="10" t="s">
        <v>13</v>
      </c>
      <c r="G229" s="96"/>
      <c r="H229" s="9" t="s">
        <v>12</v>
      </c>
      <c r="I229" s="96"/>
      <c r="J229" s="11" t="s">
        <v>13</v>
      </c>
      <c r="K229" s="12"/>
    </row>
    <row r="230" spans="1:11" ht="12.6" customHeight="1" x14ac:dyDescent="0.2">
      <c r="A230" s="13"/>
      <c r="B230" s="19"/>
      <c r="C230" s="15"/>
      <c r="D230" s="14"/>
      <c r="E230" s="15">
        <f>E216+C230-D230</f>
        <v>0</v>
      </c>
      <c r="F230" s="14"/>
      <c r="G230" s="15">
        <f>C230</f>
        <v>0</v>
      </c>
      <c r="H230" s="14"/>
      <c r="I230" s="15">
        <f>I216+G230-H230</f>
        <v>0</v>
      </c>
      <c r="J230" s="14"/>
      <c r="K230" s="16"/>
    </row>
    <row r="231" spans="1:11" ht="12.6" customHeight="1" x14ac:dyDescent="0.2">
      <c r="A231" s="13"/>
      <c r="B231" s="19"/>
      <c r="C231" s="15"/>
      <c r="D231" s="14"/>
      <c r="E231" s="15">
        <f>E230+C231-D231</f>
        <v>0</v>
      </c>
      <c r="F231" s="14"/>
      <c r="G231" s="15">
        <f t="shared" ref="G231:G255" si="18">C231</f>
        <v>0</v>
      </c>
      <c r="H231" s="14"/>
      <c r="I231" s="15">
        <f>I230+G231-H231</f>
        <v>0</v>
      </c>
      <c r="J231" s="14"/>
      <c r="K231" s="13"/>
    </row>
    <row r="232" spans="1:11" ht="12.6" customHeight="1" x14ac:dyDescent="0.2">
      <c r="A232" s="13"/>
      <c r="B232" s="19"/>
      <c r="C232" s="15"/>
      <c r="D232" s="14"/>
      <c r="E232" s="15">
        <f t="shared" ref="E232:E255" si="19">E231+C232-D232</f>
        <v>0</v>
      </c>
      <c r="F232" s="14"/>
      <c r="G232" s="15">
        <f t="shared" si="18"/>
        <v>0</v>
      </c>
      <c r="H232" s="14"/>
      <c r="I232" s="15">
        <f t="shared" ref="I232:I255" si="20">I231+G232-H232</f>
        <v>0</v>
      </c>
      <c r="J232" s="14"/>
      <c r="K232" s="13"/>
    </row>
    <row r="233" spans="1:11" ht="12.6" customHeight="1" x14ac:dyDescent="0.2">
      <c r="A233" s="13"/>
      <c r="B233" s="19"/>
      <c r="C233" s="15"/>
      <c r="D233" s="14"/>
      <c r="E233" s="15">
        <f t="shared" si="19"/>
        <v>0</v>
      </c>
      <c r="F233" s="14"/>
      <c r="G233" s="15">
        <f t="shared" si="18"/>
        <v>0</v>
      </c>
      <c r="H233" s="14"/>
      <c r="I233" s="15">
        <f t="shared" si="20"/>
        <v>0</v>
      </c>
      <c r="J233" s="14"/>
      <c r="K233" s="16"/>
    </row>
    <row r="234" spans="1:11" ht="12.6" customHeight="1" x14ac:dyDescent="0.2">
      <c r="A234" s="13"/>
      <c r="B234" s="19"/>
      <c r="C234" s="15"/>
      <c r="D234" s="14"/>
      <c r="E234" s="15">
        <f t="shared" si="19"/>
        <v>0</v>
      </c>
      <c r="F234" s="14"/>
      <c r="G234" s="15">
        <f t="shared" si="18"/>
        <v>0</v>
      </c>
      <c r="H234" s="14"/>
      <c r="I234" s="15">
        <f t="shared" si="20"/>
        <v>0</v>
      </c>
      <c r="J234" s="14"/>
      <c r="K234" s="13"/>
    </row>
    <row r="235" spans="1:11" ht="12.6" customHeight="1" x14ac:dyDescent="0.2">
      <c r="A235" s="13"/>
      <c r="B235" s="19"/>
      <c r="C235" s="15"/>
      <c r="D235" s="14"/>
      <c r="E235" s="15">
        <f t="shared" si="19"/>
        <v>0</v>
      </c>
      <c r="F235" s="14"/>
      <c r="G235" s="15">
        <f t="shared" si="18"/>
        <v>0</v>
      </c>
      <c r="H235" s="14"/>
      <c r="I235" s="15">
        <f t="shared" si="20"/>
        <v>0</v>
      </c>
      <c r="J235" s="14"/>
      <c r="K235" s="16"/>
    </row>
    <row r="236" spans="1:11" ht="12.6" customHeight="1" x14ac:dyDescent="0.2">
      <c r="A236" s="13"/>
      <c r="B236" s="19"/>
      <c r="C236" s="15"/>
      <c r="D236" s="14"/>
      <c r="E236" s="15">
        <f t="shared" si="19"/>
        <v>0</v>
      </c>
      <c r="F236" s="14"/>
      <c r="G236" s="15">
        <f t="shared" si="18"/>
        <v>0</v>
      </c>
      <c r="H236" s="14"/>
      <c r="I236" s="15">
        <f t="shared" si="20"/>
        <v>0</v>
      </c>
      <c r="J236" s="14"/>
      <c r="K236" s="13"/>
    </row>
    <row r="237" spans="1:11" ht="12.6" customHeight="1" x14ac:dyDescent="0.2">
      <c r="A237" s="13"/>
      <c r="B237" s="19"/>
      <c r="C237" s="15"/>
      <c r="D237" s="14"/>
      <c r="E237" s="15">
        <f t="shared" si="19"/>
        <v>0</v>
      </c>
      <c r="F237" s="14"/>
      <c r="G237" s="15">
        <f t="shared" si="18"/>
        <v>0</v>
      </c>
      <c r="H237" s="14"/>
      <c r="I237" s="15">
        <f t="shared" si="20"/>
        <v>0</v>
      </c>
      <c r="J237" s="14"/>
      <c r="K237" s="13"/>
    </row>
    <row r="238" spans="1:11" ht="12.6" customHeight="1" x14ac:dyDescent="0.2">
      <c r="A238" s="13"/>
      <c r="B238" s="19"/>
      <c r="C238" s="15"/>
      <c r="D238" s="14"/>
      <c r="E238" s="15">
        <f t="shared" si="19"/>
        <v>0</v>
      </c>
      <c r="F238" s="14"/>
      <c r="G238" s="15">
        <f t="shared" si="18"/>
        <v>0</v>
      </c>
      <c r="H238" s="14"/>
      <c r="I238" s="15">
        <f t="shared" si="20"/>
        <v>0</v>
      </c>
      <c r="J238" s="14"/>
      <c r="K238" s="16"/>
    </row>
    <row r="239" spans="1:11" ht="12.6" customHeight="1" x14ac:dyDescent="0.2">
      <c r="A239" s="13"/>
      <c r="B239" s="19"/>
      <c r="C239" s="15"/>
      <c r="D239" s="14"/>
      <c r="E239" s="15">
        <f t="shared" si="19"/>
        <v>0</v>
      </c>
      <c r="F239" s="14"/>
      <c r="G239" s="15">
        <f t="shared" si="18"/>
        <v>0</v>
      </c>
      <c r="H239" s="14"/>
      <c r="I239" s="15">
        <f t="shared" si="20"/>
        <v>0</v>
      </c>
      <c r="J239" s="14"/>
      <c r="K239" s="13"/>
    </row>
    <row r="240" spans="1:11" ht="12.6" customHeight="1" x14ac:dyDescent="0.2">
      <c r="A240" s="13"/>
      <c r="B240" s="19"/>
      <c r="C240" s="15"/>
      <c r="D240" s="14"/>
      <c r="E240" s="15">
        <f t="shared" si="19"/>
        <v>0</v>
      </c>
      <c r="F240" s="14"/>
      <c r="G240" s="15">
        <f t="shared" si="18"/>
        <v>0</v>
      </c>
      <c r="H240" s="14"/>
      <c r="I240" s="15">
        <f t="shared" si="20"/>
        <v>0</v>
      </c>
      <c r="J240" s="14"/>
      <c r="K240" s="16"/>
    </row>
    <row r="241" spans="1:11" ht="12.6" customHeight="1" x14ac:dyDescent="0.2">
      <c r="A241" s="13"/>
      <c r="B241" s="19"/>
      <c r="C241" s="15"/>
      <c r="D241" s="14"/>
      <c r="E241" s="15">
        <f t="shared" si="19"/>
        <v>0</v>
      </c>
      <c r="F241" s="14"/>
      <c r="G241" s="15">
        <f t="shared" si="18"/>
        <v>0</v>
      </c>
      <c r="H241" s="14"/>
      <c r="I241" s="15">
        <f t="shared" si="20"/>
        <v>0</v>
      </c>
      <c r="J241" s="14"/>
      <c r="K241" s="13"/>
    </row>
    <row r="242" spans="1:11" ht="12.6" customHeight="1" x14ac:dyDescent="0.2">
      <c r="A242" s="13"/>
      <c r="B242" s="19"/>
      <c r="C242" s="15"/>
      <c r="D242" s="14"/>
      <c r="E242" s="15">
        <f t="shared" si="19"/>
        <v>0</v>
      </c>
      <c r="F242" s="14"/>
      <c r="G242" s="15">
        <f t="shared" si="18"/>
        <v>0</v>
      </c>
      <c r="H242" s="14"/>
      <c r="I242" s="15">
        <f t="shared" si="20"/>
        <v>0</v>
      </c>
      <c r="J242" s="14"/>
      <c r="K242" s="13"/>
    </row>
    <row r="243" spans="1:11" ht="12.6" customHeight="1" x14ac:dyDescent="0.2">
      <c r="A243" s="13"/>
      <c r="B243" s="19"/>
      <c r="C243" s="15"/>
      <c r="D243" s="14"/>
      <c r="E243" s="15">
        <f t="shared" si="19"/>
        <v>0</v>
      </c>
      <c r="F243" s="14"/>
      <c r="G243" s="15">
        <f t="shared" si="18"/>
        <v>0</v>
      </c>
      <c r="H243" s="14"/>
      <c r="I243" s="15">
        <f t="shared" si="20"/>
        <v>0</v>
      </c>
      <c r="J243" s="14"/>
      <c r="K243" s="13"/>
    </row>
    <row r="244" spans="1:11" ht="12.6" customHeight="1" x14ac:dyDescent="0.2">
      <c r="A244" s="13"/>
      <c r="B244" s="19"/>
      <c r="C244" s="15"/>
      <c r="D244" s="14"/>
      <c r="E244" s="15">
        <f t="shared" si="19"/>
        <v>0</v>
      </c>
      <c r="F244" s="14"/>
      <c r="G244" s="15">
        <f t="shared" si="18"/>
        <v>0</v>
      </c>
      <c r="H244" s="14"/>
      <c r="I244" s="15">
        <f t="shared" si="20"/>
        <v>0</v>
      </c>
      <c r="J244" s="14"/>
      <c r="K244" s="13"/>
    </row>
    <row r="245" spans="1:11" ht="12.6" customHeight="1" x14ac:dyDescent="0.2">
      <c r="A245" s="13"/>
      <c r="B245" s="19"/>
      <c r="C245" s="15"/>
      <c r="D245" s="14"/>
      <c r="E245" s="15">
        <f t="shared" si="19"/>
        <v>0</v>
      </c>
      <c r="F245" s="14"/>
      <c r="G245" s="15">
        <f t="shared" si="18"/>
        <v>0</v>
      </c>
      <c r="H245" s="14"/>
      <c r="I245" s="15">
        <f t="shared" si="20"/>
        <v>0</v>
      </c>
      <c r="J245" s="14"/>
      <c r="K245" s="13"/>
    </row>
    <row r="246" spans="1:11" ht="12.6" customHeight="1" x14ac:dyDescent="0.2">
      <c r="A246" s="16"/>
      <c r="B246" s="19"/>
      <c r="C246" s="15"/>
      <c r="D246" s="14"/>
      <c r="E246" s="15">
        <f t="shared" si="19"/>
        <v>0</v>
      </c>
      <c r="F246" s="14"/>
      <c r="G246" s="15">
        <f t="shared" si="18"/>
        <v>0</v>
      </c>
      <c r="H246" s="14"/>
      <c r="I246" s="15">
        <f t="shared" si="20"/>
        <v>0</v>
      </c>
      <c r="J246" s="14"/>
      <c r="K246" s="13"/>
    </row>
    <row r="247" spans="1:11" ht="12.6" customHeight="1" x14ac:dyDescent="0.2">
      <c r="A247" s="13"/>
      <c r="B247" s="19"/>
      <c r="C247" s="15"/>
      <c r="D247" s="15"/>
      <c r="E247" s="15">
        <f t="shared" si="19"/>
        <v>0</v>
      </c>
      <c r="F247" s="14"/>
      <c r="G247" s="15">
        <f t="shared" si="18"/>
        <v>0</v>
      </c>
      <c r="H247" s="14"/>
      <c r="I247" s="15">
        <f t="shared" si="20"/>
        <v>0</v>
      </c>
      <c r="J247" s="14"/>
      <c r="K247" s="13"/>
    </row>
    <row r="248" spans="1:11" ht="12.6" customHeight="1" x14ac:dyDescent="0.2">
      <c r="A248" s="13"/>
      <c r="B248" s="19"/>
      <c r="C248" s="15"/>
      <c r="D248" s="14"/>
      <c r="E248" s="15">
        <f t="shared" si="19"/>
        <v>0</v>
      </c>
      <c r="F248" s="14"/>
      <c r="G248" s="15">
        <f t="shared" si="18"/>
        <v>0</v>
      </c>
      <c r="H248" s="14"/>
      <c r="I248" s="15">
        <f t="shared" si="20"/>
        <v>0</v>
      </c>
      <c r="J248" s="14"/>
      <c r="K248" s="13"/>
    </row>
    <row r="249" spans="1:11" ht="12.6" customHeight="1" x14ac:dyDescent="0.2">
      <c r="A249" s="16"/>
      <c r="B249" s="19"/>
      <c r="C249" s="15"/>
      <c r="D249" s="15"/>
      <c r="E249" s="15">
        <f t="shared" si="19"/>
        <v>0</v>
      </c>
      <c r="F249" s="14"/>
      <c r="G249" s="15">
        <f t="shared" si="18"/>
        <v>0</v>
      </c>
      <c r="H249" s="14"/>
      <c r="I249" s="15">
        <f t="shared" si="20"/>
        <v>0</v>
      </c>
      <c r="J249" s="14"/>
      <c r="K249" s="13"/>
    </row>
    <row r="250" spans="1:11" ht="12.6" customHeight="1" x14ac:dyDescent="0.2">
      <c r="A250" s="13"/>
      <c r="B250" s="19"/>
      <c r="C250" s="15"/>
      <c r="D250" s="14"/>
      <c r="E250" s="15">
        <f t="shared" si="19"/>
        <v>0</v>
      </c>
      <c r="F250" s="14"/>
      <c r="G250" s="15">
        <f t="shared" si="18"/>
        <v>0</v>
      </c>
      <c r="H250" s="14"/>
      <c r="I250" s="15">
        <f t="shared" si="20"/>
        <v>0</v>
      </c>
      <c r="J250" s="14"/>
      <c r="K250" s="16"/>
    </row>
    <row r="251" spans="1:11" ht="12.6" customHeight="1" x14ac:dyDescent="0.2">
      <c r="A251" s="13"/>
      <c r="B251" s="19"/>
      <c r="C251" s="15"/>
      <c r="D251" s="14"/>
      <c r="E251" s="15">
        <f t="shared" si="19"/>
        <v>0</v>
      </c>
      <c r="F251" s="14"/>
      <c r="G251" s="15">
        <f t="shared" si="18"/>
        <v>0</v>
      </c>
      <c r="H251" s="14"/>
      <c r="I251" s="15">
        <f t="shared" si="20"/>
        <v>0</v>
      </c>
      <c r="J251" s="14"/>
      <c r="K251" s="13"/>
    </row>
    <row r="252" spans="1:11" ht="12.6" customHeight="1" x14ac:dyDescent="0.2">
      <c r="A252" s="13"/>
      <c r="B252" s="19"/>
      <c r="C252" s="15"/>
      <c r="D252" s="14"/>
      <c r="E252" s="15">
        <f t="shared" si="19"/>
        <v>0</v>
      </c>
      <c r="F252" s="14"/>
      <c r="G252" s="15">
        <f t="shared" si="18"/>
        <v>0</v>
      </c>
      <c r="H252" s="14"/>
      <c r="I252" s="15">
        <f t="shared" si="20"/>
        <v>0</v>
      </c>
      <c r="J252" s="14"/>
      <c r="K252" s="13"/>
    </row>
    <row r="253" spans="1:11" ht="12.6" customHeight="1" x14ac:dyDescent="0.2">
      <c r="A253" s="13"/>
      <c r="B253" s="19"/>
      <c r="C253" s="15"/>
      <c r="D253" s="14"/>
      <c r="E253" s="15">
        <f t="shared" si="19"/>
        <v>0</v>
      </c>
      <c r="F253" s="14"/>
      <c r="G253" s="15">
        <f t="shared" si="18"/>
        <v>0</v>
      </c>
      <c r="H253" s="14"/>
      <c r="I253" s="15">
        <f t="shared" si="20"/>
        <v>0</v>
      </c>
      <c r="J253" s="14"/>
      <c r="K253" s="13"/>
    </row>
    <row r="254" spans="1:11" ht="12.6" customHeight="1" x14ac:dyDescent="0.2">
      <c r="A254" s="13"/>
      <c r="B254" s="19"/>
      <c r="C254" s="15"/>
      <c r="D254" s="14"/>
      <c r="E254" s="15">
        <f t="shared" si="19"/>
        <v>0</v>
      </c>
      <c r="F254" s="14"/>
      <c r="G254" s="15">
        <f t="shared" si="18"/>
        <v>0</v>
      </c>
      <c r="H254" s="14"/>
      <c r="I254" s="15">
        <f t="shared" si="20"/>
        <v>0</v>
      </c>
      <c r="J254" s="14"/>
      <c r="K254" s="16"/>
    </row>
    <row r="255" spans="1:11" ht="12.6" customHeight="1" x14ac:dyDescent="0.2">
      <c r="A255" s="13"/>
      <c r="B255" s="19"/>
      <c r="C255" s="15"/>
      <c r="D255" s="14"/>
      <c r="E255" s="15">
        <f t="shared" si="19"/>
        <v>0</v>
      </c>
      <c r="F255" s="14"/>
      <c r="G255" s="15">
        <f t="shared" si="18"/>
        <v>0</v>
      </c>
      <c r="H255" s="14"/>
      <c r="I255" s="15">
        <f t="shared" si="20"/>
        <v>0</v>
      </c>
      <c r="J255" s="14"/>
      <c r="K255" s="16"/>
    </row>
    <row r="256" spans="1:11" ht="12.6" customHeight="1" x14ac:dyDescent="0.2">
      <c r="A256" s="19"/>
      <c r="B256" s="19"/>
      <c r="C256" s="36">
        <f>SUM(C230:C255)</f>
        <v>0</v>
      </c>
      <c r="D256" s="36">
        <f>SUM(D230:D255)</f>
        <v>0</v>
      </c>
      <c r="E256" s="36"/>
      <c r="F256" s="37"/>
      <c r="G256" s="36">
        <f>SUM(G230:G255)</f>
        <v>0</v>
      </c>
      <c r="H256" s="36">
        <f>SUM(H230:H255)</f>
        <v>0</v>
      </c>
      <c r="I256" s="15"/>
      <c r="J256" s="14"/>
      <c r="K256" s="16"/>
    </row>
    <row r="257" spans="1:11" ht="12.6" customHeight="1" x14ac:dyDescent="0.2">
      <c r="H257" s="27" t="s">
        <v>23</v>
      </c>
      <c r="J257" s="27" t="s">
        <v>24</v>
      </c>
    </row>
    <row r="259" spans="1:11" ht="12.6" customHeight="1" x14ac:dyDescent="0.2">
      <c r="A259" s="102">
        <f>A1</f>
        <v>0</v>
      </c>
      <c r="B259" s="102"/>
      <c r="C259" s="102"/>
      <c r="D259" s="102"/>
      <c r="E259" s="102"/>
      <c r="F259" s="102"/>
      <c r="G259" s="102"/>
      <c r="H259" s="1"/>
      <c r="I259" s="103" t="s">
        <v>0</v>
      </c>
      <c r="J259" s="103"/>
      <c r="K259" s="2">
        <f>K1</f>
        <v>0</v>
      </c>
    </row>
    <row r="261" spans="1:11" ht="12.6" customHeight="1" x14ac:dyDescent="0.2">
      <c r="A261" s="104" t="s">
        <v>1</v>
      </c>
      <c r="B261" s="104" t="s">
        <v>2</v>
      </c>
      <c r="C261" s="107" t="s">
        <v>3</v>
      </c>
      <c r="D261" s="108"/>
      <c r="E261" s="108"/>
      <c r="F261" s="109"/>
      <c r="G261" s="107" t="s">
        <v>4</v>
      </c>
      <c r="H261" s="108"/>
      <c r="I261" s="108"/>
      <c r="J261" s="109"/>
      <c r="K261" s="4"/>
    </row>
    <row r="262" spans="1:11" ht="12.6" customHeight="1" x14ac:dyDescent="0.2">
      <c r="A262" s="105"/>
      <c r="B262" s="105"/>
      <c r="C262" s="94" t="s">
        <v>6</v>
      </c>
      <c r="D262" s="5" t="s">
        <v>7</v>
      </c>
      <c r="E262" s="94" t="s">
        <v>8</v>
      </c>
      <c r="F262" s="6" t="s">
        <v>7</v>
      </c>
      <c r="G262" s="94" t="s">
        <v>6</v>
      </c>
      <c r="H262" s="5" t="s">
        <v>7</v>
      </c>
      <c r="I262" s="94" t="s">
        <v>8</v>
      </c>
      <c r="J262" s="1" t="s">
        <v>7</v>
      </c>
      <c r="K262" s="7"/>
    </row>
    <row r="263" spans="1:11" ht="12.6" customHeight="1" x14ac:dyDescent="0.2">
      <c r="A263" s="105"/>
      <c r="B263" s="105"/>
      <c r="C263" s="95"/>
      <c r="D263" s="8" t="s">
        <v>10</v>
      </c>
      <c r="E263" s="95"/>
      <c r="F263" s="6" t="s">
        <v>10</v>
      </c>
      <c r="G263" s="95"/>
      <c r="H263" s="8" t="s">
        <v>10</v>
      </c>
      <c r="I263" s="95"/>
      <c r="J263" s="1" t="s">
        <v>10</v>
      </c>
      <c r="K263" s="7"/>
    </row>
    <row r="264" spans="1:11" ht="12.6" customHeight="1" x14ac:dyDescent="0.2">
      <c r="A264" s="106"/>
      <c r="B264" s="106"/>
      <c r="C264" s="96"/>
      <c r="D264" s="9" t="s">
        <v>12</v>
      </c>
      <c r="E264" s="96"/>
      <c r="F264" s="10" t="s">
        <v>13</v>
      </c>
      <c r="G264" s="96"/>
      <c r="H264" s="9" t="s">
        <v>12</v>
      </c>
      <c r="I264" s="96"/>
      <c r="J264" s="11" t="s">
        <v>13</v>
      </c>
      <c r="K264" s="12"/>
    </row>
    <row r="265" spans="1:11" ht="12.6" customHeight="1" x14ac:dyDescent="0.2">
      <c r="A265" s="13"/>
      <c r="B265" s="19"/>
      <c r="C265" s="15"/>
      <c r="D265" s="14"/>
      <c r="E265" s="15">
        <f>E255+C265-D265</f>
        <v>0</v>
      </c>
      <c r="F265" s="14"/>
      <c r="G265" s="15">
        <f>C265</f>
        <v>0</v>
      </c>
      <c r="H265" s="14"/>
      <c r="I265" s="15">
        <f>I255+G265-H265</f>
        <v>0</v>
      </c>
      <c r="J265" s="14"/>
      <c r="K265" s="16"/>
    </row>
    <row r="266" spans="1:11" ht="12.6" customHeight="1" x14ac:dyDescent="0.2">
      <c r="A266" s="13"/>
      <c r="B266" s="19"/>
      <c r="C266" s="15"/>
      <c r="D266" s="14"/>
      <c r="E266" s="15">
        <f>E265+C266-D266</f>
        <v>0</v>
      </c>
      <c r="F266" s="14"/>
      <c r="G266" s="15">
        <f t="shared" ref="G266:G290" si="21">C266</f>
        <v>0</v>
      </c>
      <c r="H266" s="14"/>
      <c r="I266" s="15">
        <f>I265+G266-H266</f>
        <v>0</v>
      </c>
      <c r="J266" s="14"/>
      <c r="K266" s="13"/>
    </row>
    <row r="267" spans="1:11" ht="12.6" customHeight="1" x14ac:dyDescent="0.2">
      <c r="A267" s="13"/>
      <c r="B267" s="19"/>
      <c r="C267" s="15"/>
      <c r="D267" s="14"/>
      <c r="E267" s="15">
        <f t="shared" ref="E267:E290" si="22">E266+C267-D267</f>
        <v>0</v>
      </c>
      <c r="F267" s="14"/>
      <c r="G267" s="15">
        <f t="shared" si="21"/>
        <v>0</v>
      </c>
      <c r="H267" s="14"/>
      <c r="I267" s="15">
        <f t="shared" ref="I267:I290" si="23">I266+G267-H267</f>
        <v>0</v>
      </c>
      <c r="J267" s="14"/>
      <c r="K267" s="13"/>
    </row>
    <row r="268" spans="1:11" ht="12.6" customHeight="1" x14ac:dyDescent="0.2">
      <c r="A268" s="13"/>
      <c r="B268" s="19"/>
      <c r="C268" s="15"/>
      <c r="D268" s="14"/>
      <c r="E268" s="15">
        <f t="shared" si="22"/>
        <v>0</v>
      </c>
      <c r="F268" s="14"/>
      <c r="G268" s="15">
        <f t="shared" si="21"/>
        <v>0</v>
      </c>
      <c r="H268" s="14"/>
      <c r="I268" s="15">
        <f t="shared" si="23"/>
        <v>0</v>
      </c>
      <c r="J268" s="14"/>
      <c r="K268" s="16"/>
    </row>
    <row r="269" spans="1:11" ht="12.6" customHeight="1" x14ac:dyDescent="0.2">
      <c r="A269" s="13"/>
      <c r="B269" s="19"/>
      <c r="C269" s="15"/>
      <c r="D269" s="14"/>
      <c r="E269" s="15">
        <f t="shared" si="22"/>
        <v>0</v>
      </c>
      <c r="F269" s="14"/>
      <c r="G269" s="15">
        <f t="shared" si="21"/>
        <v>0</v>
      </c>
      <c r="H269" s="14"/>
      <c r="I269" s="15">
        <f t="shared" si="23"/>
        <v>0</v>
      </c>
      <c r="J269" s="14"/>
      <c r="K269" s="13"/>
    </row>
    <row r="270" spans="1:11" ht="12.6" customHeight="1" x14ac:dyDescent="0.2">
      <c r="A270" s="13"/>
      <c r="B270" s="19"/>
      <c r="C270" s="15"/>
      <c r="D270" s="14"/>
      <c r="E270" s="15">
        <f t="shared" si="22"/>
        <v>0</v>
      </c>
      <c r="F270" s="14"/>
      <c r="G270" s="15">
        <f t="shared" si="21"/>
        <v>0</v>
      </c>
      <c r="H270" s="14"/>
      <c r="I270" s="15">
        <f t="shared" si="23"/>
        <v>0</v>
      </c>
      <c r="J270" s="14"/>
      <c r="K270" s="16"/>
    </row>
    <row r="271" spans="1:11" ht="12.6" customHeight="1" x14ac:dyDescent="0.2">
      <c r="A271" s="13"/>
      <c r="B271" s="19"/>
      <c r="C271" s="15"/>
      <c r="D271" s="14"/>
      <c r="E271" s="15">
        <f t="shared" si="22"/>
        <v>0</v>
      </c>
      <c r="F271" s="14"/>
      <c r="G271" s="15">
        <f t="shared" si="21"/>
        <v>0</v>
      </c>
      <c r="H271" s="14"/>
      <c r="I271" s="15">
        <f t="shared" si="23"/>
        <v>0</v>
      </c>
      <c r="J271" s="14"/>
      <c r="K271" s="13"/>
    </row>
    <row r="272" spans="1:11" ht="12.6" customHeight="1" x14ac:dyDescent="0.2">
      <c r="A272" s="13"/>
      <c r="B272" s="19"/>
      <c r="C272" s="15"/>
      <c r="D272" s="14"/>
      <c r="E272" s="15">
        <f t="shared" si="22"/>
        <v>0</v>
      </c>
      <c r="F272" s="14"/>
      <c r="G272" s="15">
        <f t="shared" si="21"/>
        <v>0</v>
      </c>
      <c r="H272" s="14"/>
      <c r="I272" s="15">
        <f t="shared" si="23"/>
        <v>0</v>
      </c>
      <c r="J272" s="14"/>
      <c r="K272" s="13"/>
    </row>
    <row r="273" spans="1:11" ht="12.6" customHeight="1" x14ac:dyDescent="0.2">
      <c r="A273" s="13"/>
      <c r="B273" s="19"/>
      <c r="C273" s="15"/>
      <c r="D273" s="14"/>
      <c r="E273" s="15">
        <f t="shared" si="22"/>
        <v>0</v>
      </c>
      <c r="F273" s="14"/>
      <c r="G273" s="15">
        <f t="shared" si="21"/>
        <v>0</v>
      </c>
      <c r="H273" s="14"/>
      <c r="I273" s="15">
        <f t="shared" si="23"/>
        <v>0</v>
      </c>
      <c r="J273" s="14"/>
      <c r="K273" s="16"/>
    </row>
    <row r="274" spans="1:11" ht="12.6" customHeight="1" x14ac:dyDescent="0.2">
      <c r="A274" s="13"/>
      <c r="B274" s="19"/>
      <c r="C274" s="15"/>
      <c r="D274" s="14"/>
      <c r="E274" s="15">
        <f t="shared" si="22"/>
        <v>0</v>
      </c>
      <c r="F274" s="14"/>
      <c r="G274" s="15">
        <f t="shared" si="21"/>
        <v>0</v>
      </c>
      <c r="H274" s="14"/>
      <c r="I274" s="15">
        <f t="shared" si="23"/>
        <v>0</v>
      </c>
      <c r="J274" s="14"/>
      <c r="K274" s="16"/>
    </row>
    <row r="275" spans="1:11" ht="12.6" customHeight="1" x14ac:dyDescent="0.2">
      <c r="A275" s="13"/>
      <c r="B275" s="19"/>
      <c r="C275" s="15"/>
      <c r="D275" s="14"/>
      <c r="E275" s="15">
        <f t="shared" si="22"/>
        <v>0</v>
      </c>
      <c r="F275" s="14"/>
      <c r="G275" s="15">
        <f t="shared" si="21"/>
        <v>0</v>
      </c>
      <c r="H275" s="14"/>
      <c r="I275" s="15">
        <f t="shared" si="23"/>
        <v>0</v>
      </c>
      <c r="J275" s="14"/>
      <c r="K275" s="13"/>
    </row>
    <row r="276" spans="1:11" ht="12.6" customHeight="1" x14ac:dyDescent="0.2">
      <c r="A276" s="13"/>
      <c r="B276" s="19"/>
      <c r="C276" s="15"/>
      <c r="D276" s="14"/>
      <c r="E276" s="15">
        <f t="shared" si="22"/>
        <v>0</v>
      </c>
      <c r="F276" s="14"/>
      <c r="G276" s="15">
        <f t="shared" si="21"/>
        <v>0</v>
      </c>
      <c r="H276" s="14"/>
      <c r="I276" s="15">
        <f t="shared" si="23"/>
        <v>0</v>
      </c>
      <c r="J276" s="14"/>
      <c r="K276" s="13"/>
    </row>
    <row r="277" spans="1:11" ht="12.6" customHeight="1" x14ac:dyDescent="0.2">
      <c r="A277" s="13"/>
      <c r="B277" s="19"/>
      <c r="C277" s="15"/>
      <c r="D277" s="14"/>
      <c r="E277" s="15">
        <f t="shared" si="22"/>
        <v>0</v>
      </c>
      <c r="F277" s="14"/>
      <c r="G277" s="15">
        <f t="shared" si="21"/>
        <v>0</v>
      </c>
      <c r="H277" s="14"/>
      <c r="I277" s="15">
        <f t="shared" si="23"/>
        <v>0</v>
      </c>
      <c r="J277" s="14"/>
      <c r="K277" s="13"/>
    </row>
    <row r="278" spans="1:11" ht="12.6" customHeight="1" x14ac:dyDescent="0.2">
      <c r="A278" s="13"/>
      <c r="B278" s="19"/>
      <c r="C278" s="15"/>
      <c r="D278" s="14"/>
      <c r="E278" s="15">
        <f t="shared" si="22"/>
        <v>0</v>
      </c>
      <c r="F278" s="14"/>
      <c r="G278" s="15">
        <f t="shared" si="21"/>
        <v>0</v>
      </c>
      <c r="H278" s="14"/>
      <c r="I278" s="15">
        <f t="shared" si="23"/>
        <v>0</v>
      </c>
      <c r="J278" s="14"/>
      <c r="K278" s="13"/>
    </row>
    <row r="279" spans="1:11" ht="12.6" customHeight="1" x14ac:dyDescent="0.2">
      <c r="A279" s="13"/>
      <c r="B279" s="19"/>
      <c r="C279" s="15"/>
      <c r="D279" s="14"/>
      <c r="E279" s="15">
        <f t="shared" si="22"/>
        <v>0</v>
      </c>
      <c r="F279" s="14"/>
      <c r="G279" s="15">
        <f t="shared" si="21"/>
        <v>0</v>
      </c>
      <c r="H279" s="14"/>
      <c r="I279" s="15">
        <f t="shared" si="23"/>
        <v>0</v>
      </c>
      <c r="J279" s="14"/>
      <c r="K279" s="13"/>
    </row>
    <row r="280" spans="1:11" ht="12.6" customHeight="1" x14ac:dyDescent="0.2">
      <c r="A280" s="13"/>
      <c r="B280" s="19"/>
      <c r="C280" s="15"/>
      <c r="D280" s="14"/>
      <c r="E280" s="15">
        <f t="shared" si="22"/>
        <v>0</v>
      </c>
      <c r="F280" s="14"/>
      <c r="G280" s="15">
        <f t="shared" si="21"/>
        <v>0</v>
      </c>
      <c r="H280" s="14"/>
      <c r="I280" s="15">
        <f t="shared" si="23"/>
        <v>0</v>
      </c>
      <c r="J280" s="14"/>
      <c r="K280" s="13"/>
    </row>
    <row r="281" spans="1:11" ht="12.6" customHeight="1" x14ac:dyDescent="0.2">
      <c r="A281" s="13"/>
      <c r="B281" s="19"/>
      <c r="C281" s="15"/>
      <c r="D281" s="14"/>
      <c r="E281" s="15">
        <f t="shared" si="22"/>
        <v>0</v>
      </c>
      <c r="F281" s="14"/>
      <c r="G281" s="15">
        <f t="shared" si="21"/>
        <v>0</v>
      </c>
      <c r="H281" s="14"/>
      <c r="I281" s="15">
        <f t="shared" si="23"/>
        <v>0</v>
      </c>
      <c r="J281" s="14"/>
      <c r="K281" s="13"/>
    </row>
    <row r="282" spans="1:11" ht="12.6" customHeight="1" x14ac:dyDescent="0.2">
      <c r="A282" s="13"/>
      <c r="B282" s="19"/>
      <c r="C282" s="15"/>
      <c r="D282" s="15"/>
      <c r="E282" s="15">
        <f t="shared" si="22"/>
        <v>0</v>
      </c>
      <c r="F282" s="14"/>
      <c r="G282" s="15">
        <f t="shared" si="21"/>
        <v>0</v>
      </c>
      <c r="H282" s="14"/>
      <c r="I282" s="15">
        <f t="shared" si="23"/>
        <v>0</v>
      </c>
      <c r="J282" s="14"/>
      <c r="K282" s="13"/>
    </row>
    <row r="283" spans="1:11" ht="12.6" customHeight="1" x14ac:dyDescent="0.2">
      <c r="A283" s="13"/>
      <c r="B283" s="19"/>
      <c r="C283" s="15"/>
      <c r="D283" s="14"/>
      <c r="E283" s="15">
        <f t="shared" si="22"/>
        <v>0</v>
      </c>
      <c r="F283" s="14"/>
      <c r="G283" s="15">
        <f t="shared" si="21"/>
        <v>0</v>
      </c>
      <c r="H283" s="14"/>
      <c r="I283" s="15">
        <f t="shared" si="23"/>
        <v>0</v>
      </c>
      <c r="J283" s="14"/>
      <c r="K283" s="16"/>
    </row>
    <row r="284" spans="1:11" ht="12.6" customHeight="1" x14ac:dyDescent="0.2">
      <c r="A284" s="13"/>
      <c r="B284" s="19"/>
      <c r="C284" s="15"/>
      <c r="D284" s="15"/>
      <c r="E284" s="15">
        <f t="shared" si="22"/>
        <v>0</v>
      </c>
      <c r="F284" s="14"/>
      <c r="G284" s="15">
        <f t="shared" si="21"/>
        <v>0</v>
      </c>
      <c r="H284" s="14"/>
      <c r="I284" s="15">
        <f t="shared" si="23"/>
        <v>0</v>
      </c>
      <c r="J284" s="14"/>
      <c r="K284" s="13"/>
    </row>
    <row r="285" spans="1:11" ht="12.6" customHeight="1" x14ac:dyDescent="0.2">
      <c r="A285" s="13"/>
      <c r="B285" s="19"/>
      <c r="C285" s="15"/>
      <c r="D285" s="14"/>
      <c r="E285" s="15">
        <f t="shared" si="22"/>
        <v>0</v>
      </c>
      <c r="F285" s="14"/>
      <c r="G285" s="15">
        <f t="shared" si="21"/>
        <v>0</v>
      </c>
      <c r="H285" s="14"/>
      <c r="I285" s="15">
        <f t="shared" si="23"/>
        <v>0</v>
      </c>
      <c r="J285" s="14"/>
      <c r="K285" s="16"/>
    </row>
    <row r="286" spans="1:11" ht="12.6" customHeight="1" x14ac:dyDescent="0.2">
      <c r="A286" s="13"/>
      <c r="B286" s="19"/>
      <c r="C286" s="15"/>
      <c r="D286" s="14"/>
      <c r="E286" s="15">
        <f t="shared" si="22"/>
        <v>0</v>
      </c>
      <c r="F286" s="14"/>
      <c r="G286" s="15">
        <f t="shared" si="21"/>
        <v>0</v>
      </c>
      <c r="H286" s="14"/>
      <c r="I286" s="15">
        <f t="shared" si="23"/>
        <v>0</v>
      </c>
      <c r="J286" s="14"/>
      <c r="K286" s="13"/>
    </row>
    <row r="287" spans="1:11" ht="12.6" customHeight="1" x14ac:dyDescent="0.2">
      <c r="A287" s="13"/>
      <c r="B287" s="19"/>
      <c r="C287" s="15"/>
      <c r="D287" s="14"/>
      <c r="E287" s="15">
        <f t="shared" si="22"/>
        <v>0</v>
      </c>
      <c r="F287" s="14"/>
      <c r="G287" s="15">
        <f t="shared" si="21"/>
        <v>0</v>
      </c>
      <c r="H287" s="14"/>
      <c r="I287" s="15">
        <f t="shared" si="23"/>
        <v>0</v>
      </c>
      <c r="J287" s="14"/>
      <c r="K287" s="13"/>
    </row>
    <row r="288" spans="1:11" ht="12.6" customHeight="1" x14ac:dyDescent="0.2">
      <c r="A288" s="13"/>
      <c r="B288" s="19"/>
      <c r="C288" s="15"/>
      <c r="D288" s="14"/>
      <c r="E288" s="15">
        <f t="shared" si="22"/>
        <v>0</v>
      </c>
      <c r="F288" s="14"/>
      <c r="G288" s="15">
        <f t="shared" si="21"/>
        <v>0</v>
      </c>
      <c r="H288" s="14"/>
      <c r="I288" s="15">
        <f t="shared" si="23"/>
        <v>0</v>
      </c>
      <c r="J288" s="14"/>
      <c r="K288" s="13"/>
    </row>
    <row r="289" spans="1:11" ht="12.6" customHeight="1" x14ac:dyDescent="0.2">
      <c r="A289" s="13"/>
      <c r="B289" s="19"/>
      <c r="C289" s="15"/>
      <c r="D289" s="14"/>
      <c r="E289" s="15">
        <f t="shared" si="22"/>
        <v>0</v>
      </c>
      <c r="F289" s="14"/>
      <c r="G289" s="15">
        <f t="shared" si="21"/>
        <v>0</v>
      </c>
      <c r="H289" s="14"/>
      <c r="I289" s="15">
        <f t="shared" si="23"/>
        <v>0</v>
      </c>
      <c r="J289" s="14"/>
      <c r="K289" s="13"/>
    </row>
    <row r="290" spans="1:11" ht="12.6" customHeight="1" x14ac:dyDescent="0.2">
      <c r="A290" s="13"/>
      <c r="B290" s="19"/>
      <c r="C290" s="15"/>
      <c r="D290" s="14"/>
      <c r="E290" s="15">
        <f t="shared" si="22"/>
        <v>0</v>
      </c>
      <c r="F290" s="14"/>
      <c r="G290" s="15">
        <f t="shared" si="21"/>
        <v>0</v>
      </c>
      <c r="H290" s="14"/>
      <c r="I290" s="15">
        <f t="shared" si="23"/>
        <v>0</v>
      </c>
      <c r="J290" s="14"/>
      <c r="K290" s="16"/>
    </row>
    <row r="291" spans="1:11" ht="12.6" customHeight="1" x14ac:dyDescent="0.2">
      <c r="A291" s="19"/>
      <c r="B291" s="19"/>
      <c r="C291" s="36">
        <f>SUM(C265:C290)</f>
        <v>0</v>
      </c>
      <c r="D291" s="36">
        <f>SUM(D265:D290)</f>
        <v>0</v>
      </c>
      <c r="E291" s="36"/>
      <c r="F291" s="37"/>
      <c r="G291" s="36">
        <f>SUM(G265:G290)</f>
        <v>0</v>
      </c>
      <c r="H291" s="36">
        <f>SUM(H265:H290)</f>
        <v>0</v>
      </c>
      <c r="I291" s="15"/>
      <c r="J291" s="14"/>
      <c r="K291" s="16"/>
    </row>
    <row r="292" spans="1:11" ht="12.6" customHeight="1" x14ac:dyDescent="0.2">
      <c r="H292" s="27" t="s">
        <v>23</v>
      </c>
      <c r="J292" s="27" t="s">
        <v>25</v>
      </c>
    </row>
    <row r="298" spans="1:11" ht="12.6" customHeight="1" x14ac:dyDescent="0.2">
      <c r="A298" s="102">
        <f>A1</f>
        <v>0</v>
      </c>
      <c r="B298" s="102"/>
      <c r="C298" s="102"/>
      <c r="D298" s="102"/>
      <c r="E298" s="102"/>
      <c r="F298" s="102"/>
      <c r="G298" s="102"/>
      <c r="H298" s="1"/>
      <c r="I298" s="103" t="s">
        <v>0</v>
      </c>
      <c r="J298" s="103"/>
      <c r="K298" s="2">
        <f>K1</f>
        <v>0</v>
      </c>
    </row>
    <row r="300" spans="1:11" ht="12.6" customHeight="1" x14ac:dyDescent="0.2">
      <c r="A300" s="104" t="s">
        <v>1</v>
      </c>
      <c r="B300" s="104" t="s">
        <v>2</v>
      </c>
      <c r="C300" s="107" t="s">
        <v>3</v>
      </c>
      <c r="D300" s="108"/>
      <c r="E300" s="108"/>
      <c r="F300" s="109"/>
      <c r="G300" s="107" t="s">
        <v>4</v>
      </c>
      <c r="H300" s="108"/>
      <c r="I300" s="108"/>
      <c r="J300" s="109"/>
      <c r="K300" s="4"/>
    </row>
    <row r="301" spans="1:11" ht="12.6" customHeight="1" x14ac:dyDescent="0.2">
      <c r="A301" s="105"/>
      <c r="B301" s="105"/>
      <c r="C301" s="94" t="s">
        <v>6</v>
      </c>
      <c r="D301" s="5" t="s">
        <v>7</v>
      </c>
      <c r="E301" s="94" t="s">
        <v>8</v>
      </c>
      <c r="F301" s="6" t="s">
        <v>7</v>
      </c>
      <c r="G301" s="94" t="s">
        <v>6</v>
      </c>
      <c r="H301" s="5" t="s">
        <v>7</v>
      </c>
      <c r="I301" s="94" t="s">
        <v>8</v>
      </c>
      <c r="J301" s="1" t="s">
        <v>7</v>
      </c>
      <c r="K301" s="7"/>
    </row>
    <row r="302" spans="1:11" ht="12.6" customHeight="1" x14ac:dyDescent="0.2">
      <c r="A302" s="105"/>
      <c r="B302" s="105"/>
      <c r="C302" s="95"/>
      <c r="D302" s="8" t="s">
        <v>10</v>
      </c>
      <c r="E302" s="95"/>
      <c r="F302" s="6" t="s">
        <v>10</v>
      </c>
      <c r="G302" s="95"/>
      <c r="H302" s="8" t="s">
        <v>10</v>
      </c>
      <c r="I302" s="95"/>
      <c r="J302" s="1" t="s">
        <v>10</v>
      </c>
      <c r="K302" s="7"/>
    </row>
    <row r="303" spans="1:11" ht="12.6" customHeight="1" x14ac:dyDescent="0.2">
      <c r="A303" s="106"/>
      <c r="B303" s="106"/>
      <c r="C303" s="96"/>
      <c r="D303" s="9" t="s">
        <v>12</v>
      </c>
      <c r="E303" s="96"/>
      <c r="F303" s="10" t="s">
        <v>13</v>
      </c>
      <c r="G303" s="96"/>
      <c r="H303" s="9" t="s">
        <v>12</v>
      </c>
      <c r="I303" s="96"/>
      <c r="J303" s="11" t="s">
        <v>13</v>
      </c>
      <c r="K303" s="12"/>
    </row>
    <row r="304" spans="1:11" ht="12.6" customHeight="1" x14ac:dyDescent="0.2">
      <c r="A304" s="13"/>
      <c r="B304" s="19"/>
      <c r="C304" s="15"/>
      <c r="D304" s="14"/>
      <c r="E304" s="15">
        <f>E290+C304-D304</f>
        <v>0</v>
      </c>
      <c r="F304" s="14"/>
      <c r="G304" s="15">
        <f>C304</f>
        <v>0</v>
      </c>
      <c r="H304" s="14"/>
      <c r="I304" s="15">
        <f>I290+G304-H304</f>
        <v>0</v>
      </c>
      <c r="J304" s="14"/>
      <c r="K304" s="16"/>
    </row>
    <row r="305" spans="1:11" ht="12.6" customHeight="1" x14ac:dyDescent="0.2">
      <c r="A305" s="13"/>
      <c r="B305" s="19"/>
      <c r="C305" s="15"/>
      <c r="D305" s="14"/>
      <c r="E305" s="15">
        <f>E304+C305-D305</f>
        <v>0</v>
      </c>
      <c r="F305" s="14"/>
      <c r="G305" s="15">
        <f t="shared" ref="G305:G329" si="24">C305</f>
        <v>0</v>
      </c>
      <c r="H305" s="14"/>
      <c r="I305" s="15">
        <f>I304+G305-H305</f>
        <v>0</v>
      </c>
      <c r="J305" s="14"/>
      <c r="K305" s="13"/>
    </row>
    <row r="306" spans="1:11" ht="12.6" customHeight="1" x14ac:dyDescent="0.2">
      <c r="A306" s="13"/>
      <c r="B306" s="19"/>
      <c r="C306" s="15"/>
      <c r="D306" s="14"/>
      <c r="E306" s="15">
        <f t="shared" ref="E306:E329" si="25">E305+C306-D306</f>
        <v>0</v>
      </c>
      <c r="F306" s="14"/>
      <c r="G306" s="15">
        <f t="shared" si="24"/>
        <v>0</v>
      </c>
      <c r="H306" s="14"/>
      <c r="I306" s="15">
        <f t="shared" ref="I306:I329" si="26">I305+G306-H306</f>
        <v>0</v>
      </c>
      <c r="J306" s="14"/>
      <c r="K306" s="13"/>
    </row>
    <row r="307" spans="1:11" ht="12.6" customHeight="1" x14ac:dyDescent="0.2">
      <c r="A307" s="13"/>
      <c r="B307" s="19"/>
      <c r="C307" s="15"/>
      <c r="D307" s="14"/>
      <c r="E307" s="15">
        <f t="shared" si="25"/>
        <v>0</v>
      </c>
      <c r="F307" s="14"/>
      <c r="G307" s="15">
        <f t="shared" si="24"/>
        <v>0</v>
      </c>
      <c r="H307" s="14"/>
      <c r="I307" s="15">
        <f t="shared" si="26"/>
        <v>0</v>
      </c>
      <c r="J307" s="14"/>
      <c r="K307" s="16"/>
    </row>
    <row r="308" spans="1:11" ht="12.6" customHeight="1" x14ac:dyDescent="0.2">
      <c r="A308" s="13"/>
      <c r="B308" s="19"/>
      <c r="C308" s="15"/>
      <c r="D308" s="14"/>
      <c r="E308" s="15">
        <f t="shared" si="25"/>
        <v>0</v>
      </c>
      <c r="F308" s="14"/>
      <c r="G308" s="15">
        <f t="shared" si="24"/>
        <v>0</v>
      </c>
      <c r="H308" s="14"/>
      <c r="I308" s="15">
        <f t="shared" si="26"/>
        <v>0</v>
      </c>
      <c r="J308" s="14"/>
      <c r="K308" s="13"/>
    </row>
    <row r="309" spans="1:11" ht="12.6" customHeight="1" x14ac:dyDescent="0.2">
      <c r="A309" s="13"/>
      <c r="B309" s="19"/>
      <c r="C309" s="15"/>
      <c r="D309" s="14"/>
      <c r="E309" s="15">
        <f t="shared" si="25"/>
        <v>0</v>
      </c>
      <c r="F309" s="14"/>
      <c r="G309" s="15">
        <f t="shared" si="24"/>
        <v>0</v>
      </c>
      <c r="H309" s="14"/>
      <c r="I309" s="15">
        <f t="shared" si="26"/>
        <v>0</v>
      </c>
      <c r="J309" s="14"/>
      <c r="K309" s="13"/>
    </row>
    <row r="310" spans="1:11" ht="12.6" customHeight="1" x14ac:dyDescent="0.2">
      <c r="A310" s="13"/>
      <c r="B310" s="19"/>
      <c r="C310" s="15"/>
      <c r="D310" s="14"/>
      <c r="E310" s="15">
        <f t="shared" si="25"/>
        <v>0</v>
      </c>
      <c r="F310" s="14"/>
      <c r="G310" s="15">
        <f t="shared" si="24"/>
        <v>0</v>
      </c>
      <c r="H310" s="14"/>
      <c r="I310" s="15">
        <f t="shared" si="26"/>
        <v>0</v>
      </c>
      <c r="J310" s="14"/>
      <c r="K310" s="13"/>
    </row>
    <row r="311" spans="1:11" ht="12.6" customHeight="1" x14ac:dyDescent="0.2">
      <c r="A311" s="13"/>
      <c r="B311" s="19"/>
      <c r="C311" s="15"/>
      <c r="D311" s="14"/>
      <c r="E311" s="15">
        <f t="shared" si="25"/>
        <v>0</v>
      </c>
      <c r="F311" s="14"/>
      <c r="G311" s="15">
        <f t="shared" si="24"/>
        <v>0</v>
      </c>
      <c r="H311" s="14"/>
      <c r="I311" s="15">
        <f t="shared" si="26"/>
        <v>0</v>
      </c>
      <c r="J311" s="14"/>
      <c r="K311" s="13"/>
    </row>
    <row r="312" spans="1:11" ht="12.6" customHeight="1" x14ac:dyDescent="0.2">
      <c r="A312" s="13"/>
      <c r="B312" s="19"/>
      <c r="C312" s="15"/>
      <c r="D312" s="14"/>
      <c r="E312" s="15">
        <f t="shared" si="25"/>
        <v>0</v>
      </c>
      <c r="F312" s="14"/>
      <c r="G312" s="15">
        <f t="shared" si="24"/>
        <v>0</v>
      </c>
      <c r="H312" s="14"/>
      <c r="I312" s="15">
        <f t="shared" si="26"/>
        <v>0</v>
      </c>
      <c r="J312" s="14"/>
      <c r="K312" s="16"/>
    </row>
    <row r="313" spans="1:11" ht="12.6" customHeight="1" x14ac:dyDescent="0.2">
      <c r="A313" s="13"/>
      <c r="B313" s="19"/>
      <c r="C313" s="15"/>
      <c r="D313" s="14"/>
      <c r="E313" s="15">
        <f t="shared" si="25"/>
        <v>0</v>
      </c>
      <c r="F313" s="14"/>
      <c r="G313" s="15">
        <f t="shared" si="24"/>
        <v>0</v>
      </c>
      <c r="H313" s="14"/>
      <c r="I313" s="15">
        <f t="shared" si="26"/>
        <v>0</v>
      </c>
      <c r="J313" s="14"/>
      <c r="K313" s="16"/>
    </row>
    <row r="314" spans="1:11" ht="12.6" customHeight="1" x14ac:dyDescent="0.2">
      <c r="A314" s="13"/>
      <c r="B314" s="19"/>
      <c r="C314" s="15"/>
      <c r="D314" s="14"/>
      <c r="E314" s="15">
        <f t="shared" si="25"/>
        <v>0</v>
      </c>
      <c r="F314" s="14"/>
      <c r="G314" s="15">
        <f t="shared" si="24"/>
        <v>0</v>
      </c>
      <c r="H314" s="14"/>
      <c r="I314" s="15">
        <f t="shared" si="26"/>
        <v>0</v>
      </c>
      <c r="J314" s="14"/>
      <c r="K314" s="16"/>
    </row>
    <row r="315" spans="1:11" ht="12.6" customHeight="1" x14ac:dyDescent="0.2">
      <c r="A315" s="13"/>
      <c r="B315" s="19"/>
      <c r="C315" s="15"/>
      <c r="D315" s="14"/>
      <c r="E315" s="15">
        <f t="shared" si="25"/>
        <v>0</v>
      </c>
      <c r="F315" s="14"/>
      <c r="G315" s="15">
        <f t="shared" si="24"/>
        <v>0</v>
      </c>
      <c r="H315" s="14"/>
      <c r="I315" s="15">
        <f t="shared" si="26"/>
        <v>0</v>
      </c>
      <c r="J315" s="14"/>
      <c r="K315" s="13"/>
    </row>
    <row r="316" spans="1:11" ht="12.6" customHeight="1" x14ac:dyDescent="0.2">
      <c r="A316" s="13"/>
      <c r="B316" s="19"/>
      <c r="C316" s="15"/>
      <c r="D316" s="14"/>
      <c r="E316" s="15">
        <f t="shared" si="25"/>
        <v>0</v>
      </c>
      <c r="F316" s="14"/>
      <c r="G316" s="15">
        <f t="shared" si="24"/>
        <v>0</v>
      </c>
      <c r="H316" s="14"/>
      <c r="I316" s="15">
        <f t="shared" si="26"/>
        <v>0</v>
      </c>
      <c r="J316" s="14"/>
      <c r="K316" s="13"/>
    </row>
    <row r="317" spans="1:11" ht="12.6" customHeight="1" x14ac:dyDescent="0.2">
      <c r="A317" s="13"/>
      <c r="B317" s="19"/>
      <c r="C317" s="15"/>
      <c r="D317" s="14"/>
      <c r="E317" s="15">
        <f t="shared" si="25"/>
        <v>0</v>
      </c>
      <c r="F317" s="14"/>
      <c r="G317" s="15">
        <f t="shared" si="24"/>
        <v>0</v>
      </c>
      <c r="H317" s="14"/>
      <c r="I317" s="15">
        <f t="shared" si="26"/>
        <v>0</v>
      </c>
      <c r="J317" s="14"/>
      <c r="K317" s="13"/>
    </row>
    <row r="318" spans="1:11" ht="12.6" customHeight="1" x14ac:dyDescent="0.2">
      <c r="A318" s="13"/>
      <c r="B318" s="19"/>
      <c r="C318" s="15"/>
      <c r="D318" s="14"/>
      <c r="E318" s="15">
        <f t="shared" si="25"/>
        <v>0</v>
      </c>
      <c r="F318" s="14"/>
      <c r="G318" s="15">
        <f t="shared" si="24"/>
        <v>0</v>
      </c>
      <c r="H318" s="14"/>
      <c r="I318" s="15">
        <f t="shared" si="26"/>
        <v>0</v>
      </c>
      <c r="J318" s="14"/>
      <c r="K318" s="13"/>
    </row>
    <row r="319" spans="1:11" ht="12.6" customHeight="1" x14ac:dyDescent="0.2">
      <c r="A319" s="13"/>
      <c r="B319" s="19"/>
      <c r="C319" s="15"/>
      <c r="D319" s="14"/>
      <c r="E319" s="15">
        <f t="shared" si="25"/>
        <v>0</v>
      </c>
      <c r="F319" s="14"/>
      <c r="G319" s="15">
        <f t="shared" si="24"/>
        <v>0</v>
      </c>
      <c r="H319" s="14"/>
      <c r="I319" s="15">
        <f t="shared" si="26"/>
        <v>0</v>
      </c>
      <c r="J319" s="14"/>
      <c r="K319" s="13"/>
    </row>
    <row r="320" spans="1:11" ht="12.6" customHeight="1" x14ac:dyDescent="0.2">
      <c r="A320" s="13"/>
      <c r="B320" s="19"/>
      <c r="C320" s="15"/>
      <c r="D320" s="14"/>
      <c r="E320" s="15">
        <f t="shared" si="25"/>
        <v>0</v>
      </c>
      <c r="F320" s="14"/>
      <c r="G320" s="15">
        <f t="shared" si="24"/>
        <v>0</v>
      </c>
      <c r="H320" s="14"/>
      <c r="I320" s="15">
        <f t="shared" si="26"/>
        <v>0</v>
      </c>
      <c r="J320" s="14"/>
      <c r="K320" s="13"/>
    </row>
    <row r="321" spans="1:11" ht="12.6" customHeight="1" x14ac:dyDescent="0.2">
      <c r="A321" s="13"/>
      <c r="B321" s="19"/>
      <c r="C321" s="15"/>
      <c r="D321" s="15"/>
      <c r="E321" s="15">
        <f t="shared" si="25"/>
        <v>0</v>
      </c>
      <c r="F321" s="14"/>
      <c r="G321" s="15">
        <f t="shared" si="24"/>
        <v>0</v>
      </c>
      <c r="H321" s="14"/>
      <c r="I321" s="15">
        <f t="shared" si="26"/>
        <v>0</v>
      </c>
      <c r="J321" s="14"/>
      <c r="K321" s="13"/>
    </row>
    <row r="322" spans="1:11" ht="12.6" customHeight="1" x14ac:dyDescent="0.2">
      <c r="A322" s="13"/>
      <c r="B322" s="19"/>
      <c r="C322" s="15"/>
      <c r="D322" s="14"/>
      <c r="E322" s="15">
        <f t="shared" si="25"/>
        <v>0</v>
      </c>
      <c r="F322" s="14"/>
      <c r="G322" s="15">
        <f t="shared" si="24"/>
        <v>0</v>
      </c>
      <c r="H322" s="14"/>
      <c r="I322" s="15">
        <f t="shared" si="26"/>
        <v>0</v>
      </c>
      <c r="J322" s="14"/>
      <c r="K322" s="16"/>
    </row>
    <row r="323" spans="1:11" ht="12.6" customHeight="1" x14ac:dyDescent="0.2">
      <c r="A323" s="16"/>
      <c r="B323" s="19"/>
      <c r="C323" s="15"/>
      <c r="D323" s="15"/>
      <c r="E323" s="15">
        <f t="shared" si="25"/>
        <v>0</v>
      </c>
      <c r="F323" s="14"/>
      <c r="G323" s="15">
        <f t="shared" si="24"/>
        <v>0</v>
      </c>
      <c r="H323" s="14"/>
      <c r="I323" s="15">
        <f t="shared" si="26"/>
        <v>0</v>
      </c>
      <c r="J323" s="14"/>
      <c r="K323" s="13"/>
    </row>
    <row r="324" spans="1:11" ht="12.6" customHeight="1" x14ac:dyDescent="0.2">
      <c r="A324" s="13"/>
      <c r="B324" s="19"/>
      <c r="C324" s="15"/>
      <c r="D324" s="14"/>
      <c r="E324" s="15">
        <f t="shared" si="25"/>
        <v>0</v>
      </c>
      <c r="F324" s="14"/>
      <c r="G324" s="15">
        <f t="shared" si="24"/>
        <v>0</v>
      </c>
      <c r="H324" s="14"/>
      <c r="I324" s="15">
        <f t="shared" si="26"/>
        <v>0</v>
      </c>
      <c r="J324" s="14"/>
      <c r="K324" s="16"/>
    </row>
    <row r="325" spans="1:11" ht="12.6" customHeight="1" x14ac:dyDescent="0.2">
      <c r="A325" s="13"/>
      <c r="B325" s="19"/>
      <c r="C325" s="15"/>
      <c r="D325" s="14"/>
      <c r="E325" s="15">
        <f t="shared" si="25"/>
        <v>0</v>
      </c>
      <c r="F325" s="14"/>
      <c r="G325" s="15">
        <f t="shared" si="24"/>
        <v>0</v>
      </c>
      <c r="H325" s="14"/>
      <c r="I325" s="15">
        <f t="shared" si="26"/>
        <v>0</v>
      </c>
      <c r="J325" s="14"/>
      <c r="K325" s="13"/>
    </row>
    <row r="326" spans="1:11" ht="12.6" customHeight="1" x14ac:dyDescent="0.2">
      <c r="A326" s="13"/>
      <c r="B326" s="19"/>
      <c r="C326" s="15"/>
      <c r="D326" s="14"/>
      <c r="E326" s="15">
        <f t="shared" si="25"/>
        <v>0</v>
      </c>
      <c r="F326" s="14"/>
      <c r="G326" s="15">
        <f t="shared" si="24"/>
        <v>0</v>
      </c>
      <c r="H326" s="14"/>
      <c r="I326" s="15">
        <f t="shared" si="26"/>
        <v>0</v>
      </c>
      <c r="J326" s="14"/>
      <c r="K326" s="13"/>
    </row>
    <row r="327" spans="1:11" ht="12.6" customHeight="1" x14ac:dyDescent="0.2">
      <c r="A327" s="13"/>
      <c r="B327" s="19"/>
      <c r="C327" s="15"/>
      <c r="D327" s="14"/>
      <c r="E327" s="15">
        <f t="shared" si="25"/>
        <v>0</v>
      </c>
      <c r="F327" s="14"/>
      <c r="G327" s="15">
        <f t="shared" si="24"/>
        <v>0</v>
      </c>
      <c r="H327" s="14"/>
      <c r="I327" s="15">
        <f t="shared" si="26"/>
        <v>0</v>
      </c>
      <c r="J327" s="14"/>
      <c r="K327" s="13"/>
    </row>
    <row r="328" spans="1:11" ht="12.6" customHeight="1" x14ac:dyDescent="0.2">
      <c r="A328" s="13"/>
      <c r="B328" s="19"/>
      <c r="C328" s="15"/>
      <c r="D328" s="14"/>
      <c r="E328" s="15">
        <f t="shared" si="25"/>
        <v>0</v>
      </c>
      <c r="F328" s="14"/>
      <c r="G328" s="15">
        <f t="shared" si="24"/>
        <v>0</v>
      </c>
      <c r="H328" s="14"/>
      <c r="I328" s="15">
        <f t="shared" si="26"/>
        <v>0</v>
      </c>
      <c r="J328" s="14"/>
      <c r="K328" s="13"/>
    </row>
    <row r="329" spans="1:11" ht="12.6" customHeight="1" x14ac:dyDescent="0.2">
      <c r="A329" s="13"/>
      <c r="B329" s="19"/>
      <c r="C329" s="15"/>
      <c r="D329" s="14"/>
      <c r="E329" s="15">
        <f t="shared" si="25"/>
        <v>0</v>
      </c>
      <c r="F329" s="14"/>
      <c r="G329" s="15">
        <f t="shared" si="24"/>
        <v>0</v>
      </c>
      <c r="H329" s="14"/>
      <c r="I329" s="15">
        <f t="shared" si="26"/>
        <v>0</v>
      </c>
      <c r="J329" s="14"/>
      <c r="K329" s="16"/>
    </row>
    <row r="330" spans="1:11" ht="12.6" customHeight="1" x14ac:dyDescent="0.2">
      <c r="A330" s="19"/>
      <c r="B330" s="19"/>
      <c r="C330" s="36">
        <f>SUM(C304:C329)</f>
        <v>0</v>
      </c>
      <c r="D330" s="36">
        <f>SUM(D304:D329)</f>
        <v>0</v>
      </c>
      <c r="E330" s="36"/>
      <c r="F330" s="37"/>
      <c r="G330" s="36">
        <f>SUM(G304:G329)</f>
        <v>0</v>
      </c>
      <c r="H330" s="36">
        <f>SUM(H304:H329)</f>
        <v>0</v>
      </c>
      <c r="I330" s="15"/>
      <c r="J330" s="14"/>
      <c r="K330" s="16"/>
    </row>
    <row r="331" spans="1:11" ht="12.6" customHeight="1" x14ac:dyDescent="0.2">
      <c r="H331" s="27" t="s">
        <v>23</v>
      </c>
      <c r="J331" s="27" t="s">
        <v>26</v>
      </c>
    </row>
    <row r="333" spans="1:11" ht="12.6" customHeight="1" x14ac:dyDescent="0.2">
      <c r="A333" s="102">
        <f>A1</f>
        <v>0</v>
      </c>
      <c r="B333" s="102"/>
      <c r="C333" s="102"/>
      <c r="D333" s="102"/>
      <c r="E333" s="102"/>
      <c r="F333" s="102"/>
      <c r="G333" s="102"/>
      <c r="H333" s="1"/>
      <c r="I333" s="103" t="s">
        <v>0</v>
      </c>
      <c r="J333" s="103"/>
      <c r="K333" s="2">
        <f>K1</f>
        <v>0</v>
      </c>
    </row>
    <row r="335" spans="1:11" ht="12.6" customHeight="1" x14ac:dyDescent="0.2">
      <c r="A335" s="104" t="s">
        <v>1</v>
      </c>
      <c r="B335" s="104" t="s">
        <v>2</v>
      </c>
      <c r="C335" s="107" t="s">
        <v>3</v>
      </c>
      <c r="D335" s="108"/>
      <c r="E335" s="108"/>
      <c r="F335" s="109"/>
      <c r="G335" s="107" t="s">
        <v>4</v>
      </c>
      <c r="H335" s="108"/>
      <c r="I335" s="108"/>
      <c r="J335" s="109"/>
      <c r="K335" s="4"/>
    </row>
    <row r="336" spans="1:11" ht="12.6" customHeight="1" x14ac:dyDescent="0.2">
      <c r="A336" s="105"/>
      <c r="B336" s="105"/>
      <c r="C336" s="94" t="s">
        <v>6</v>
      </c>
      <c r="D336" s="5" t="s">
        <v>7</v>
      </c>
      <c r="E336" s="94" t="s">
        <v>8</v>
      </c>
      <c r="F336" s="6" t="s">
        <v>7</v>
      </c>
      <c r="G336" s="94" t="s">
        <v>6</v>
      </c>
      <c r="H336" s="5" t="s">
        <v>7</v>
      </c>
      <c r="I336" s="94" t="s">
        <v>8</v>
      </c>
      <c r="J336" s="1" t="s">
        <v>7</v>
      </c>
      <c r="K336" s="7"/>
    </row>
    <row r="337" spans="1:11" ht="12.6" customHeight="1" x14ac:dyDescent="0.2">
      <c r="A337" s="105"/>
      <c r="B337" s="105"/>
      <c r="C337" s="95"/>
      <c r="D337" s="8" t="s">
        <v>10</v>
      </c>
      <c r="E337" s="95"/>
      <c r="F337" s="6" t="s">
        <v>10</v>
      </c>
      <c r="G337" s="95"/>
      <c r="H337" s="8" t="s">
        <v>10</v>
      </c>
      <c r="I337" s="95"/>
      <c r="J337" s="1" t="s">
        <v>10</v>
      </c>
      <c r="K337" s="7"/>
    </row>
    <row r="338" spans="1:11" ht="12.6" customHeight="1" x14ac:dyDescent="0.2">
      <c r="A338" s="106"/>
      <c r="B338" s="106"/>
      <c r="C338" s="96"/>
      <c r="D338" s="9" t="s">
        <v>12</v>
      </c>
      <c r="E338" s="96"/>
      <c r="F338" s="10" t="s">
        <v>13</v>
      </c>
      <c r="G338" s="96"/>
      <c r="H338" s="9" t="s">
        <v>12</v>
      </c>
      <c r="I338" s="96"/>
      <c r="J338" s="11" t="s">
        <v>13</v>
      </c>
      <c r="K338" s="12"/>
    </row>
    <row r="339" spans="1:11" ht="12.6" customHeight="1" x14ac:dyDescent="0.2">
      <c r="A339" s="13"/>
      <c r="B339" s="19"/>
      <c r="C339" s="15"/>
      <c r="D339" s="14"/>
      <c r="E339" s="15">
        <f>E329+C339-D339</f>
        <v>0</v>
      </c>
      <c r="F339" s="14"/>
      <c r="G339" s="15">
        <f>C339</f>
        <v>0</v>
      </c>
      <c r="H339" s="14"/>
      <c r="I339" s="15">
        <f>I329+G339-H339</f>
        <v>0</v>
      </c>
      <c r="J339" s="14"/>
      <c r="K339" s="16"/>
    </row>
    <row r="340" spans="1:11" ht="12.6" customHeight="1" x14ac:dyDescent="0.2">
      <c r="A340" s="13"/>
      <c r="B340" s="19"/>
      <c r="C340" s="15"/>
      <c r="D340" s="14"/>
      <c r="E340" s="15">
        <f>E339+C340-D340</f>
        <v>0</v>
      </c>
      <c r="F340" s="14"/>
      <c r="G340" s="15">
        <f t="shared" ref="G340:G364" si="27">C340</f>
        <v>0</v>
      </c>
      <c r="H340" s="14"/>
      <c r="I340" s="15">
        <f>I339+G340-H340</f>
        <v>0</v>
      </c>
      <c r="J340" s="14"/>
      <c r="K340" s="13"/>
    </row>
    <row r="341" spans="1:11" ht="12.6" customHeight="1" x14ac:dyDescent="0.2">
      <c r="A341" s="13"/>
      <c r="B341" s="19"/>
      <c r="C341" s="15"/>
      <c r="D341" s="14"/>
      <c r="E341" s="15">
        <f t="shared" ref="E341:E364" si="28">E340+C341-D341</f>
        <v>0</v>
      </c>
      <c r="F341" s="14"/>
      <c r="G341" s="15">
        <f t="shared" si="27"/>
        <v>0</v>
      </c>
      <c r="H341" s="14"/>
      <c r="I341" s="15">
        <f t="shared" ref="I341:I364" si="29">I340+G341-H341</f>
        <v>0</v>
      </c>
      <c r="J341" s="14"/>
      <c r="K341" s="13"/>
    </row>
    <row r="342" spans="1:11" ht="12.6" customHeight="1" x14ac:dyDescent="0.2">
      <c r="A342" s="13"/>
      <c r="B342" s="19"/>
      <c r="C342" s="15"/>
      <c r="D342" s="14"/>
      <c r="E342" s="15">
        <f t="shared" si="28"/>
        <v>0</v>
      </c>
      <c r="F342" s="14"/>
      <c r="G342" s="15">
        <f t="shared" si="27"/>
        <v>0</v>
      </c>
      <c r="H342" s="14"/>
      <c r="I342" s="15">
        <f t="shared" si="29"/>
        <v>0</v>
      </c>
      <c r="J342" s="14"/>
      <c r="K342" s="13"/>
    </row>
    <row r="343" spans="1:11" ht="12.6" customHeight="1" x14ac:dyDescent="0.2">
      <c r="A343" s="13"/>
      <c r="B343" s="19"/>
      <c r="C343" s="15"/>
      <c r="D343" s="14"/>
      <c r="E343" s="15">
        <f t="shared" si="28"/>
        <v>0</v>
      </c>
      <c r="F343" s="14"/>
      <c r="G343" s="15">
        <f t="shared" si="27"/>
        <v>0</v>
      </c>
      <c r="H343" s="14"/>
      <c r="I343" s="15">
        <f t="shared" si="29"/>
        <v>0</v>
      </c>
      <c r="J343" s="14"/>
      <c r="K343" s="13"/>
    </row>
    <row r="344" spans="1:11" ht="12.6" customHeight="1" x14ac:dyDescent="0.2">
      <c r="A344" s="13"/>
      <c r="B344" s="19"/>
      <c r="C344" s="15"/>
      <c r="D344" s="14"/>
      <c r="E344" s="15">
        <f t="shared" si="28"/>
        <v>0</v>
      </c>
      <c r="F344" s="14"/>
      <c r="G344" s="15">
        <f t="shared" si="27"/>
        <v>0</v>
      </c>
      <c r="H344" s="14"/>
      <c r="I344" s="15">
        <f t="shared" si="29"/>
        <v>0</v>
      </c>
      <c r="J344" s="14"/>
      <c r="K344" s="13"/>
    </row>
    <row r="345" spans="1:11" ht="12.6" customHeight="1" x14ac:dyDescent="0.2">
      <c r="A345" s="13"/>
      <c r="B345" s="19"/>
      <c r="C345" s="15"/>
      <c r="D345" s="14"/>
      <c r="E345" s="15">
        <f t="shared" si="28"/>
        <v>0</v>
      </c>
      <c r="F345" s="14"/>
      <c r="G345" s="15">
        <f t="shared" si="27"/>
        <v>0</v>
      </c>
      <c r="H345" s="14"/>
      <c r="I345" s="15">
        <f t="shared" si="29"/>
        <v>0</v>
      </c>
      <c r="J345" s="14"/>
      <c r="K345" s="13"/>
    </row>
    <row r="346" spans="1:11" ht="12.6" customHeight="1" x14ac:dyDescent="0.2">
      <c r="A346" s="13"/>
      <c r="B346" s="19"/>
      <c r="C346" s="15"/>
      <c r="D346" s="14"/>
      <c r="E346" s="15">
        <f t="shared" si="28"/>
        <v>0</v>
      </c>
      <c r="F346" s="14"/>
      <c r="G346" s="15">
        <f t="shared" si="27"/>
        <v>0</v>
      </c>
      <c r="H346" s="14"/>
      <c r="I346" s="15">
        <f t="shared" si="29"/>
        <v>0</v>
      </c>
      <c r="J346" s="14"/>
      <c r="K346" s="13"/>
    </row>
    <row r="347" spans="1:11" ht="12.6" customHeight="1" x14ac:dyDescent="0.2">
      <c r="A347" s="13"/>
      <c r="B347" s="19"/>
      <c r="C347" s="15"/>
      <c r="D347" s="14"/>
      <c r="E347" s="15">
        <f t="shared" si="28"/>
        <v>0</v>
      </c>
      <c r="F347" s="14"/>
      <c r="G347" s="15">
        <f t="shared" si="27"/>
        <v>0</v>
      </c>
      <c r="H347" s="14"/>
      <c r="I347" s="15">
        <f t="shared" si="29"/>
        <v>0</v>
      </c>
      <c r="J347" s="14"/>
      <c r="K347" s="13"/>
    </row>
    <row r="348" spans="1:11" ht="12.6" customHeight="1" x14ac:dyDescent="0.2">
      <c r="A348" s="13"/>
      <c r="B348" s="19"/>
      <c r="C348" s="15"/>
      <c r="D348" s="14"/>
      <c r="E348" s="15">
        <f t="shared" si="28"/>
        <v>0</v>
      </c>
      <c r="F348" s="14"/>
      <c r="G348" s="15">
        <f t="shared" si="27"/>
        <v>0</v>
      </c>
      <c r="H348" s="14"/>
      <c r="I348" s="15">
        <f t="shared" si="29"/>
        <v>0</v>
      </c>
      <c r="J348" s="14"/>
      <c r="K348" s="16"/>
    </row>
    <row r="349" spans="1:11" ht="12.6" customHeight="1" x14ac:dyDescent="0.2">
      <c r="A349" s="13"/>
      <c r="B349" s="19"/>
      <c r="C349" s="15"/>
      <c r="D349" s="14"/>
      <c r="E349" s="15">
        <f t="shared" si="28"/>
        <v>0</v>
      </c>
      <c r="F349" s="14"/>
      <c r="G349" s="15">
        <f t="shared" si="27"/>
        <v>0</v>
      </c>
      <c r="H349" s="14"/>
      <c r="I349" s="15">
        <f t="shared" si="29"/>
        <v>0</v>
      </c>
      <c r="J349" s="14"/>
      <c r="K349" s="13"/>
    </row>
    <row r="350" spans="1:11" ht="12.6" customHeight="1" x14ac:dyDescent="0.2">
      <c r="A350" s="13"/>
      <c r="B350" s="19"/>
      <c r="C350" s="15"/>
      <c r="D350" s="14"/>
      <c r="E350" s="15">
        <f t="shared" si="28"/>
        <v>0</v>
      </c>
      <c r="F350" s="14"/>
      <c r="G350" s="15">
        <f t="shared" si="27"/>
        <v>0</v>
      </c>
      <c r="H350" s="14"/>
      <c r="I350" s="15">
        <f t="shared" si="29"/>
        <v>0</v>
      </c>
      <c r="J350" s="14"/>
      <c r="K350" s="13"/>
    </row>
    <row r="351" spans="1:11" ht="12.6" customHeight="1" x14ac:dyDescent="0.2">
      <c r="A351" s="13"/>
      <c r="B351" s="19"/>
      <c r="C351" s="15"/>
      <c r="D351" s="14"/>
      <c r="E351" s="15">
        <f t="shared" si="28"/>
        <v>0</v>
      </c>
      <c r="F351" s="14"/>
      <c r="G351" s="15">
        <f t="shared" si="27"/>
        <v>0</v>
      </c>
      <c r="H351" s="14"/>
      <c r="I351" s="15">
        <f t="shared" si="29"/>
        <v>0</v>
      </c>
      <c r="J351" s="14"/>
      <c r="K351" s="13"/>
    </row>
    <row r="352" spans="1:11" ht="12.6" customHeight="1" x14ac:dyDescent="0.2">
      <c r="A352" s="13"/>
      <c r="B352" s="19"/>
      <c r="C352" s="15"/>
      <c r="D352" s="14"/>
      <c r="E352" s="15">
        <f t="shared" si="28"/>
        <v>0</v>
      </c>
      <c r="F352" s="14"/>
      <c r="G352" s="15">
        <f t="shared" si="27"/>
        <v>0</v>
      </c>
      <c r="H352" s="14"/>
      <c r="I352" s="15">
        <f t="shared" si="29"/>
        <v>0</v>
      </c>
      <c r="J352" s="14"/>
      <c r="K352" s="13"/>
    </row>
    <row r="353" spans="1:11" ht="12.6" customHeight="1" x14ac:dyDescent="0.2">
      <c r="A353" s="13"/>
      <c r="B353" s="19"/>
      <c r="C353" s="15"/>
      <c r="D353" s="14"/>
      <c r="E353" s="15">
        <f t="shared" si="28"/>
        <v>0</v>
      </c>
      <c r="F353" s="14"/>
      <c r="G353" s="15">
        <f t="shared" si="27"/>
        <v>0</v>
      </c>
      <c r="H353" s="14"/>
      <c r="I353" s="15">
        <f t="shared" si="29"/>
        <v>0</v>
      </c>
      <c r="J353" s="14"/>
      <c r="K353" s="13"/>
    </row>
    <row r="354" spans="1:11" ht="12.6" customHeight="1" x14ac:dyDescent="0.2">
      <c r="A354" s="13"/>
      <c r="B354" s="19"/>
      <c r="C354" s="15"/>
      <c r="D354" s="14"/>
      <c r="E354" s="15">
        <f t="shared" si="28"/>
        <v>0</v>
      </c>
      <c r="F354" s="14"/>
      <c r="G354" s="15">
        <f t="shared" si="27"/>
        <v>0</v>
      </c>
      <c r="H354" s="14"/>
      <c r="I354" s="15">
        <f t="shared" si="29"/>
        <v>0</v>
      </c>
      <c r="J354" s="14"/>
      <c r="K354" s="13"/>
    </row>
    <row r="355" spans="1:11" ht="12.6" customHeight="1" x14ac:dyDescent="0.2">
      <c r="A355" s="13"/>
      <c r="B355" s="19"/>
      <c r="C355" s="15"/>
      <c r="D355" s="14"/>
      <c r="E355" s="15">
        <f t="shared" si="28"/>
        <v>0</v>
      </c>
      <c r="F355" s="14"/>
      <c r="G355" s="15">
        <f t="shared" si="27"/>
        <v>0</v>
      </c>
      <c r="H355" s="14"/>
      <c r="I355" s="15">
        <f t="shared" si="29"/>
        <v>0</v>
      </c>
      <c r="J355" s="14"/>
      <c r="K355" s="13"/>
    </row>
    <row r="356" spans="1:11" ht="12.6" customHeight="1" x14ac:dyDescent="0.2">
      <c r="A356" s="13"/>
      <c r="B356" s="19"/>
      <c r="C356" s="15"/>
      <c r="D356" s="15"/>
      <c r="E356" s="15">
        <f t="shared" si="28"/>
        <v>0</v>
      </c>
      <c r="F356" s="14"/>
      <c r="G356" s="15">
        <f t="shared" si="27"/>
        <v>0</v>
      </c>
      <c r="H356" s="14"/>
      <c r="I356" s="15">
        <f t="shared" si="29"/>
        <v>0</v>
      </c>
      <c r="J356" s="14"/>
      <c r="K356" s="13"/>
    </row>
    <row r="357" spans="1:11" ht="12.6" customHeight="1" x14ac:dyDescent="0.2">
      <c r="A357" s="13"/>
      <c r="B357" s="19"/>
      <c r="C357" s="15"/>
      <c r="D357" s="14"/>
      <c r="E357" s="15">
        <f t="shared" si="28"/>
        <v>0</v>
      </c>
      <c r="F357" s="14"/>
      <c r="G357" s="15">
        <f t="shared" si="27"/>
        <v>0</v>
      </c>
      <c r="H357" s="14"/>
      <c r="I357" s="15">
        <f t="shared" si="29"/>
        <v>0</v>
      </c>
      <c r="J357" s="14"/>
      <c r="K357" s="16"/>
    </row>
    <row r="358" spans="1:11" ht="12.6" customHeight="1" x14ac:dyDescent="0.2">
      <c r="A358" s="13"/>
      <c r="B358" s="19"/>
      <c r="C358" s="15"/>
      <c r="D358" s="15"/>
      <c r="E358" s="15">
        <f t="shared" si="28"/>
        <v>0</v>
      </c>
      <c r="F358" s="14"/>
      <c r="G358" s="15">
        <f t="shared" si="27"/>
        <v>0</v>
      </c>
      <c r="H358" s="14"/>
      <c r="I358" s="15">
        <f t="shared" si="29"/>
        <v>0</v>
      </c>
      <c r="J358" s="14"/>
      <c r="K358" s="13"/>
    </row>
    <row r="359" spans="1:11" ht="12.6" customHeight="1" x14ac:dyDescent="0.2">
      <c r="A359" s="13"/>
      <c r="B359" s="19"/>
      <c r="C359" s="15"/>
      <c r="D359" s="14"/>
      <c r="E359" s="15">
        <f t="shared" si="28"/>
        <v>0</v>
      </c>
      <c r="F359" s="14"/>
      <c r="G359" s="15">
        <f t="shared" si="27"/>
        <v>0</v>
      </c>
      <c r="H359" s="14"/>
      <c r="I359" s="15">
        <f t="shared" si="29"/>
        <v>0</v>
      </c>
      <c r="J359" s="14"/>
      <c r="K359" s="13"/>
    </row>
    <row r="360" spans="1:11" ht="12.6" customHeight="1" x14ac:dyDescent="0.2">
      <c r="A360" s="13"/>
      <c r="B360" s="19"/>
      <c r="C360" s="15"/>
      <c r="D360" s="14"/>
      <c r="E360" s="15">
        <f t="shared" si="28"/>
        <v>0</v>
      </c>
      <c r="F360" s="14"/>
      <c r="G360" s="15">
        <f t="shared" si="27"/>
        <v>0</v>
      </c>
      <c r="H360" s="14"/>
      <c r="I360" s="15">
        <f t="shared" si="29"/>
        <v>0</v>
      </c>
      <c r="J360" s="14"/>
      <c r="K360" s="13"/>
    </row>
    <row r="361" spans="1:11" ht="12.6" customHeight="1" x14ac:dyDescent="0.2">
      <c r="A361" s="13"/>
      <c r="B361" s="19"/>
      <c r="C361" s="15"/>
      <c r="D361" s="14"/>
      <c r="E361" s="15">
        <f t="shared" si="28"/>
        <v>0</v>
      </c>
      <c r="F361" s="14"/>
      <c r="G361" s="15">
        <f t="shared" si="27"/>
        <v>0</v>
      </c>
      <c r="H361" s="14"/>
      <c r="I361" s="15">
        <f t="shared" si="29"/>
        <v>0</v>
      </c>
      <c r="J361" s="14"/>
      <c r="K361" s="13"/>
    </row>
    <row r="362" spans="1:11" ht="12.6" customHeight="1" x14ac:dyDescent="0.2">
      <c r="A362" s="13"/>
      <c r="B362" s="19"/>
      <c r="C362" s="15"/>
      <c r="D362" s="14"/>
      <c r="E362" s="15">
        <f t="shared" si="28"/>
        <v>0</v>
      </c>
      <c r="F362" s="14"/>
      <c r="G362" s="15">
        <f t="shared" si="27"/>
        <v>0</v>
      </c>
      <c r="H362" s="14"/>
      <c r="I362" s="15">
        <f t="shared" si="29"/>
        <v>0</v>
      </c>
      <c r="J362" s="14"/>
      <c r="K362" s="13"/>
    </row>
    <row r="363" spans="1:11" ht="12.6" customHeight="1" x14ac:dyDescent="0.2">
      <c r="A363" s="13"/>
      <c r="B363" s="19"/>
      <c r="C363" s="15"/>
      <c r="D363" s="14"/>
      <c r="E363" s="15">
        <f t="shared" si="28"/>
        <v>0</v>
      </c>
      <c r="F363" s="14"/>
      <c r="G363" s="15">
        <f t="shared" si="27"/>
        <v>0</v>
      </c>
      <c r="H363" s="14"/>
      <c r="I363" s="15">
        <f t="shared" si="29"/>
        <v>0</v>
      </c>
      <c r="J363" s="14"/>
      <c r="K363" s="13"/>
    </row>
    <row r="364" spans="1:11" ht="12.6" customHeight="1" x14ac:dyDescent="0.2">
      <c r="A364" s="13"/>
      <c r="B364" s="19"/>
      <c r="C364" s="15"/>
      <c r="D364" s="14"/>
      <c r="E364" s="15">
        <f t="shared" si="28"/>
        <v>0</v>
      </c>
      <c r="F364" s="14"/>
      <c r="G364" s="15">
        <f t="shared" si="27"/>
        <v>0</v>
      </c>
      <c r="H364" s="14"/>
      <c r="I364" s="15">
        <f t="shared" si="29"/>
        <v>0</v>
      </c>
      <c r="J364" s="14"/>
      <c r="K364" s="16"/>
    </row>
    <row r="365" spans="1:11" ht="12.6" customHeight="1" x14ac:dyDescent="0.2">
      <c r="A365" s="19"/>
      <c r="B365" s="19"/>
      <c r="C365" s="36">
        <f>SUM(C339:C364)</f>
        <v>0</v>
      </c>
      <c r="D365" s="36">
        <f>SUM(D339:D364)</f>
        <v>0</v>
      </c>
      <c r="E365" s="36"/>
      <c r="F365" s="37"/>
      <c r="G365" s="36">
        <f>SUM(G339:G364)</f>
        <v>0</v>
      </c>
      <c r="H365" s="36">
        <f>SUM(H339:H364)</f>
        <v>0</v>
      </c>
      <c r="I365" s="15"/>
      <c r="J365" s="14"/>
      <c r="K365" s="16"/>
    </row>
    <row r="366" spans="1:11" ht="12.6" customHeight="1" x14ac:dyDescent="0.2">
      <c r="H366" s="27" t="s">
        <v>23</v>
      </c>
      <c r="J366" s="27" t="s">
        <v>27</v>
      </c>
    </row>
    <row r="372" spans="1:11" ht="12.6" customHeight="1" x14ac:dyDescent="0.2">
      <c r="A372" s="102">
        <f>A1</f>
        <v>0</v>
      </c>
      <c r="B372" s="102"/>
      <c r="C372" s="102"/>
      <c r="D372" s="102"/>
      <c r="E372" s="102"/>
      <c r="F372" s="102"/>
      <c r="G372" s="102"/>
      <c r="H372" s="1"/>
      <c r="I372" s="103" t="s">
        <v>0</v>
      </c>
      <c r="J372" s="103"/>
      <c r="K372" s="2">
        <f>K1</f>
        <v>0</v>
      </c>
    </row>
    <row r="374" spans="1:11" ht="12.6" customHeight="1" x14ac:dyDescent="0.2">
      <c r="A374" s="104" t="s">
        <v>1</v>
      </c>
      <c r="B374" s="104" t="s">
        <v>2</v>
      </c>
      <c r="C374" s="107" t="s">
        <v>3</v>
      </c>
      <c r="D374" s="108"/>
      <c r="E374" s="108"/>
      <c r="F374" s="109"/>
      <c r="G374" s="107" t="s">
        <v>4</v>
      </c>
      <c r="H374" s="108"/>
      <c r="I374" s="108"/>
      <c r="J374" s="109"/>
      <c r="K374" s="4"/>
    </row>
    <row r="375" spans="1:11" ht="12.6" customHeight="1" x14ac:dyDescent="0.2">
      <c r="A375" s="105"/>
      <c r="B375" s="105"/>
      <c r="C375" s="94" t="s">
        <v>6</v>
      </c>
      <c r="D375" s="5" t="s">
        <v>7</v>
      </c>
      <c r="E375" s="94" t="s">
        <v>8</v>
      </c>
      <c r="F375" s="6" t="s">
        <v>7</v>
      </c>
      <c r="G375" s="94" t="s">
        <v>6</v>
      </c>
      <c r="H375" s="5" t="s">
        <v>7</v>
      </c>
      <c r="I375" s="94" t="s">
        <v>8</v>
      </c>
      <c r="J375" s="1" t="s">
        <v>7</v>
      </c>
      <c r="K375" s="7"/>
    </row>
    <row r="376" spans="1:11" ht="12.6" customHeight="1" x14ac:dyDescent="0.2">
      <c r="A376" s="105"/>
      <c r="B376" s="105"/>
      <c r="C376" s="95"/>
      <c r="D376" s="8" t="s">
        <v>10</v>
      </c>
      <c r="E376" s="95"/>
      <c r="F376" s="6" t="s">
        <v>10</v>
      </c>
      <c r="G376" s="95"/>
      <c r="H376" s="8" t="s">
        <v>10</v>
      </c>
      <c r="I376" s="95"/>
      <c r="J376" s="1" t="s">
        <v>10</v>
      </c>
      <c r="K376" s="7"/>
    </row>
    <row r="377" spans="1:11" ht="12.6" customHeight="1" x14ac:dyDescent="0.2">
      <c r="A377" s="106"/>
      <c r="B377" s="106"/>
      <c r="C377" s="96"/>
      <c r="D377" s="9" t="s">
        <v>12</v>
      </c>
      <c r="E377" s="96"/>
      <c r="F377" s="10" t="s">
        <v>13</v>
      </c>
      <c r="G377" s="96"/>
      <c r="H377" s="9" t="s">
        <v>12</v>
      </c>
      <c r="I377" s="96"/>
      <c r="J377" s="11" t="s">
        <v>13</v>
      </c>
      <c r="K377" s="12"/>
    </row>
    <row r="378" spans="1:11" ht="12.6" customHeight="1" x14ac:dyDescent="0.2">
      <c r="A378" s="13"/>
      <c r="B378" s="19"/>
      <c r="C378" s="15"/>
      <c r="D378" s="14"/>
      <c r="E378" s="15">
        <f>E364+C378-D378</f>
        <v>0</v>
      </c>
      <c r="F378" s="14"/>
      <c r="G378" s="15">
        <f>C378</f>
        <v>0</v>
      </c>
      <c r="H378" s="14"/>
      <c r="I378" s="15">
        <f>I364+G378-H378</f>
        <v>0</v>
      </c>
      <c r="J378" s="14"/>
      <c r="K378" s="16"/>
    </row>
    <row r="379" spans="1:11" ht="12.6" customHeight="1" x14ac:dyDescent="0.2">
      <c r="A379" s="13"/>
      <c r="B379" s="19"/>
      <c r="C379" s="15"/>
      <c r="D379" s="14"/>
      <c r="E379" s="15">
        <f>E378+C379-D379</f>
        <v>0</v>
      </c>
      <c r="F379" s="14"/>
      <c r="G379" s="15">
        <f t="shared" ref="G379:G403" si="30">C379</f>
        <v>0</v>
      </c>
      <c r="H379" s="14"/>
      <c r="I379" s="15">
        <f>I378+G379-H379</f>
        <v>0</v>
      </c>
      <c r="J379" s="14"/>
      <c r="K379" s="13"/>
    </row>
    <row r="380" spans="1:11" ht="12.6" customHeight="1" x14ac:dyDescent="0.2">
      <c r="A380" s="13"/>
      <c r="B380" s="19"/>
      <c r="C380" s="15"/>
      <c r="D380" s="14"/>
      <c r="E380" s="15">
        <f t="shared" ref="E380:E403" si="31">E379+C380-D380</f>
        <v>0</v>
      </c>
      <c r="F380" s="14"/>
      <c r="G380" s="15">
        <f t="shared" si="30"/>
        <v>0</v>
      </c>
      <c r="H380" s="14"/>
      <c r="I380" s="15">
        <f t="shared" ref="I380:I403" si="32">I379+G380-H380</f>
        <v>0</v>
      </c>
      <c r="J380" s="14"/>
      <c r="K380" s="13"/>
    </row>
    <row r="381" spans="1:11" ht="12.6" customHeight="1" x14ac:dyDescent="0.2">
      <c r="A381" s="13"/>
      <c r="B381" s="19"/>
      <c r="C381" s="15"/>
      <c r="D381" s="14"/>
      <c r="E381" s="15">
        <f t="shared" si="31"/>
        <v>0</v>
      </c>
      <c r="F381" s="14"/>
      <c r="G381" s="15">
        <f t="shared" si="30"/>
        <v>0</v>
      </c>
      <c r="H381" s="14"/>
      <c r="I381" s="15">
        <f t="shared" si="32"/>
        <v>0</v>
      </c>
      <c r="J381" s="14"/>
      <c r="K381" s="16"/>
    </row>
    <row r="382" spans="1:11" ht="12.6" customHeight="1" x14ac:dyDescent="0.2">
      <c r="A382" s="13"/>
      <c r="B382" s="19"/>
      <c r="C382" s="15"/>
      <c r="D382" s="14"/>
      <c r="E382" s="15">
        <f t="shared" si="31"/>
        <v>0</v>
      </c>
      <c r="F382" s="14"/>
      <c r="G382" s="15">
        <f t="shared" si="30"/>
        <v>0</v>
      </c>
      <c r="H382" s="14"/>
      <c r="I382" s="15">
        <f t="shared" si="32"/>
        <v>0</v>
      </c>
      <c r="J382" s="14"/>
      <c r="K382" s="13"/>
    </row>
    <row r="383" spans="1:11" ht="12.6" customHeight="1" x14ac:dyDescent="0.2">
      <c r="A383" s="13"/>
      <c r="B383" s="19"/>
      <c r="C383" s="15"/>
      <c r="D383" s="14"/>
      <c r="E383" s="15">
        <f t="shared" si="31"/>
        <v>0</v>
      </c>
      <c r="F383" s="14"/>
      <c r="G383" s="15">
        <f t="shared" si="30"/>
        <v>0</v>
      </c>
      <c r="H383" s="14"/>
      <c r="I383" s="15">
        <f t="shared" si="32"/>
        <v>0</v>
      </c>
      <c r="J383" s="14"/>
      <c r="K383" s="16"/>
    </row>
    <row r="384" spans="1:11" ht="12.6" customHeight="1" x14ac:dyDescent="0.2">
      <c r="A384" s="13"/>
      <c r="B384" s="19"/>
      <c r="C384" s="15"/>
      <c r="D384" s="14"/>
      <c r="E384" s="15">
        <f t="shared" si="31"/>
        <v>0</v>
      </c>
      <c r="F384" s="14"/>
      <c r="G384" s="15">
        <f t="shared" si="30"/>
        <v>0</v>
      </c>
      <c r="H384" s="14"/>
      <c r="I384" s="15">
        <f t="shared" si="32"/>
        <v>0</v>
      </c>
      <c r="J384" s="14"/>
      <c r="K384" s="13"/>
    </row>
    <row r="385" spans="1:11" ht="12.6" customHeight="1" x14ac:dyDescent="0.2">
      <c r="A385" s="13"/>
      <c r="B385" s="19"/>
      <c r="C385" s="15"/>
      <c r="D385" s="14"/>
      <c r="E385" s="15">
        <f t="shared" si="31"/>
        <v>0</v>
      </c>
      <c r="F385" s="14"/>
      <c r="G385" s="15">
        <f t="shared" si="30"/>
        <v>0</v>
      </c>
      <c r="H385" s="14"/>
      <c r="I385" s="15">
        <f t="shared" si="32"/>
        <v>0</v>
      </c>
      <c r="J385" s="14"/>
      <c r="K385" s="13"/>
    </row>
    <row r="386" spans="1:11" ht="12.6" customHeight="1" x14ac:dyDescent="0.2">
      <c r="A386" s="13"/>
      <c r="B386" s="19"/>
      <c r="C386" s="15"/>
      <c r="D386" s="14"/>
      <c r="E386" s="15">
        <f t="shared" si="31"/>
        <v>0</v>
      </c>
      <c r="F386" s="14"/>
      <c r="G386" s="15">
        <f t="shared" si="30"/>
        <v>0</v>
      </c>
      <c r="H386" s="14"/>
      <c r="I386" s="15">
        <f t="shared" si="32"/>
        <v>0</v>
      </c>
      <c r="J386" s="14"/>
      <c r="K386" s="16"/>
    </row>
    <row r="387" spans="1:11" ht="12.6" customHeight="1" x14ac:dyDescent="0.2">
      <c r="A387" s="13"/>
      <c r="B387" s="19"/>
      <c r="C387" s="15"/>
      <c r="D387" s="14"/>
      <c r="E387" s="15">
        <f t="shared" si="31"/>
        <v>0</v>
      </c>
      <c r="F387" s="14"/>
      <c r="G387" s="15">
        <f t="shared" si="30"/>
        <v>0</v>
      </c>
      <c r="H387" s="14"/>
      <c r="I387" s="15">
        <f t="shared" si="32"/>
        <v>0</v>
      </c>
      <c r="J387" s="14"/>
      <c r="K387" s="16"/>
    </row>
    <row r="388" spans="1:11" ht="12.6" customHeight="1" x14ac:dyDescent="0.2">
      <c r="A388" s="13"/>
      <c r="B388" s="19"/>
      <c r="C388" s="15"/>
      <c r="D388" s="14"/>
      <c r="E388" s="15">
        <f t="shared" si="31"/>
        <v>0</v>
      </c>
      <c r="F388" s="14"/>
      <c r="G388" s="15">
        <f t="shared" si="30"/>
        <v>0</v>
      </c>
      <c r="H388" s="14"/>
      <c r="I388" s="15">
        <f t="shared" si="32"/>
        <v>0</v>
      </c>
      <c r="J388" s="14"/>
      <c r="K388" s="16"/>
    </row>
    <row r="389" spans="1:11" ht="12.6" customHeight="1" x14ac:dyDescent="0.2">
      <c r="A389" s="13"/>
      <c r="B389" s="19"/>
      <c r="C389" s="15"/>
      <c r="D389" s="14"/>
      <c r="E389" s="15">
        <f t="shared" si="31"/>
        <v>0</v>
      </c>
      <c r="F389" s="14"/>
      <c r="G389" s="15">
        <f t="shared" si="30"/>
        <v>0</v>
      </c>
      <c r="H389" s="14"/>
      <c r="I389" s="15">
        <f t="shared" si="32"/>
        <v>0</v>
      </c>
      <c r="J389" s="14"/>
      <c r="K389" s="13"/>
    </row>
    <row r="390" spans="1:11" ht="12.6" customHeight="1" x14ac:dyDescent="0.2">
      <c r="A390" s="13"/>
      <c r="B390" s="19"/>
      <c r="C390" s="15"/>
      <c r="D390" s="14"/>
      <c r="E390" s="15">
        <f t="shared" si="31"/>
        <v>0</v>
      </c>
      <c r="F390" s="14"/>
      <c r="G390" s="15">
        <f t="shared" si="30"/>
        <v>0</v>
      </c>
      <c r="H390" s="14"/>
      <c r="I390" s="15">
        <f t="shared" si="32"/>
        <v>0</v>
      </c>
      <c r="J390" s="14"/>
      <c r="K390" s="13"/>
    </row>
    <row r="391" spans="1:11" ht="12.6" customHeight="1" x14ac:dyDescent="0.2">
      <c r="A391" s="13"/>
      <c r="B391" s="19"/>
      <c r="C391" s="15"/>
      <c r="D391" s="14"/>
      <c r="E391" s="15">
        <f t="shared" si="31"/>
        <v>0</v>
      </c>
      <c r="F391" s="14"/>
      <c r="G391" s="15">
        <f t="shared" si="30"/>
        <v>0</v>
      </c>
      <c r="H391" s="14"/>
      <c r="I391" s="15">
        <f t="shared" si="32"/>
        <v>0</v>
      </c>
      <c r="J391" s="14"/>
      <c r="K391" s="13"/>
    </row>
    <row r="392" spans="1:11" ht="12.6" customHeight="1" x14ac:dyDescent="0.2">
      <c r="A392" s="13"/>
      <c r="B392" s="19"/>
      <c r="C392" s="15"/>
      <c r="D392" s="14"/>
      <c r="E392" s="15">
        <f t="shared" si="31"/>
        <v>0</v>
      </c>
      <c r="F392" s="14"/>
      <c r="G392" s="15">
        <f t="shared" si="30"/>
        <v>0</v>
      </c>
      <c r="H392" s="14"/>
      <c r="I392" s="15">
        <f t="shared" si="32"/>
        <v>0</v>
      </c>
      <c r="J392" s="14"/>
      <c r="K392" s="13"/>
    </row>
    <row r="393" spans="1:11" ht="12.6" customHeight="1" x14ac:dyDescent="0.2">
      <c r="A393" s="13"/>
      <c r="B393" s="19"/>
      <c r="C393" s="15"/>
      <c r="D393" s="14"/>
      <c r="E393" s="15">
        <f t="shared" si="31"/>
        <v>0</v>
      </c>
      <c r="F393" s="14"/>
      <c r="G393" s="15">
        <f t="shared" si="30"/>
        <v>0</v>
      </c>
      <c r="H393" s="14"/>
      <c r="I393" s="15">
        <f t="shared" si="32"/>
        <v>0</v>
      </c>
      <c r="J393" s="14"/>
      <c r="K393" s="13"/>
    </row>
    <row r="394" spans="1:11" ht="12.6" customHeight="1" x14ac:dyDescent="0.2">
      <c r="A394" s="13"/>
      <c r="B394" s="19"/>
      <c r="C394" s="15"/>
      <c r="D394" s="14"/>
      <c r="E394" s="15">
        <f t="shared" si="31"/>
        <v>0</v>
      </c>
      <c r="F394" s="14"/>
      <c r="G394" s="15">
        <f t="shared" si="30"/>
        <v>0</v>
      </c>
      <c r="H394" s="14"/>
      <c r="I394" s="15">
        <f t="shared" si="32"/>
        <v>0</v>
      </c>
      <c r="J394" s="14"/>
      <c r="K394" s="13"/>
    </row>
    <row r="395" spans="1:11" ht="12.6" customHeight="1" x14ac:dyDescent="0.2">
      <c r="A395" s="13"/>
      <c r="B395" s="19"/>
      <c r="C395" s="15"/>
      <c r="D395" s="15"/>
      <c r="E395" s="15">
        <f t="shared" si="31"/>
        <v>0</v>
      </c>
      <c r="F395" s="14"/>
      <c r="G395" s="15">
        <f t="shared" si="30"/>
        <v>0</v>
      </c>
      <c r="H395" s="14"/>
      <c r="I395" s="15">
        <f t="shared" si="32"/>
        <v>0</v>
      </c>
      <c r="J395" s="14"/>
      <c r="K395" s="13"/>
    </row>
    <row r="396" spans="1:11" ht="12.6" customHeight="1" x14ac:dyDescent="0.2">
      <c r="A396" s="13"/>
      <c r="B396" s="19"/>
      <c r="C396" s="15"/>
      <c r="D396" s="14"/>
      <c r="E396" s="15">
        <f t="shared" si="31"/>
        <v>0</v>
      </c>
      <c r="F396" s="14"/>
      <c r="G396" s="15">
        <f t="shared" si="30"/>
        <v>0</v>
      </c>
      <c r="H396" s="14"/>
      <c r="I396" s="15">
        <f t="shared" si="32"/>
        <v>0</v>
      </c>
      <c r="J396" s="14"/>
      <c r="K396" s="16"/>
    </row>
    <row r="397" spans="1:11" ht="12.6" customHeight="1" x14ac:dyDescent="0.2">
      <c r="A397" s="16"/>
      <c r="B397" s="19"/>
      <c r="C397" s="15"/>
      <c r="D397" s="15"/>
      <c r="E397" s="15">
        <f t="shared" si="31"/>
        <v>0</v>
      </c>
      <c r="F397" s="14"/>
      <c r="G397" s="15">
        <f t="shared" si="30"/>
        <v>0</v>
      </c>
      <c r="H397" s="14"/>
      <c r="I397" s="15">
        <f t="shared" si="32"/>
        <v>0</v>
      </c>
      <c r="J397" s="14"/>
      <c r="K397" s="13"/>
    </row>
    <row r="398" spans="1:11" ht="12.6" customHeight="1" x14ac:dyDescent="0.2">
      <c r="A398" s="13"/>
      <c r="B398" s="19"/>
      <c r="C398" s="15"/>
      <c r="D398" s="14"/>
      <c r="E398" s="15">
        <f t="shared" si="31"/>
        <v>0</v>
      </c>
      <c r="F398" s="14"/>
      <c r="G398" s="15">
        <f t="shared" si="30"/>
        <v>0</v>
      </c>
      <c r="H398" s="14"/>
      <c r="I398" s="15">
        <f t="shared" si="32"/>
        <v>0</v>
      </c>
      <c r="J398" s="14"/>
      <c r="K398" s="16"/>
    </row>
    <row r="399" spans="1:11" ht="12.6" customHeight="1" x14ac:dyDescent="0.2">
      <c r="A399" s="13"/>
      <c r="B399" s="19"/>
      <c r="C399" s="15"/>
      <c r="D399" s="14"/>
      <c r="E399" s="15">
        <f t="shared" si="31"/>
        <v>0</v>
      </c>
      <c r="F399" s="14"/>
      <c r="G399" s="15">
        <f t="shared" si="30"/>
        <v>0</v>
      </c>
      <c r="H399" s="14"/>
      <c r="I399" s="15">
        <f t="shared" si="32"/>
        <v>0</v>
      </c>
      <c r="J399" s="14"/>
      <c r="K399" s="13"/>
    </row>
    <row r="400" spans="1:11" ht="12.6" customHeight="1" x14ac:dyDescent="0.2">
      <c r="A400" s="13"/>
      <c r="B400" s="19"/>
      <c r="C400" s="15"/>
      <c r="D400" s="14"/>
      <c r="E400" s="15">
        <f t="shared" si="31"/>
        <v>0</v>
      </c>
      <c r="F400" s="14"/>
      <c r="G400" s="15">
        <f t="shared" si="30"/>
        <v>0</v>
      </c>
      <c r="H400" s="14"/>
      <c r="I400" s="15">
        <f t="shared" si="32"/>
        <v>0</v>
      </c>
      <c r="J400" s="14"/>
      <c r="K400" s="13"/>
    </row>
    <row r="401" spans="1:11" ht="12.6" customHeight="1" x14ac:dyDescent="0.2">
      <c r="A401" s="13"/>
      <c r="B401" s="19"/>
      <c r="C401" s="15"/>
      <c r="D401" s="14"/>
      <c r="E401" s="15">
        <f t="shared" si="31"/>
        <v>0</v>
      </c>
      <c r="F401" s="14"/>
      <c r="G401" s="15">
        <f t="shared" si="30"/>
        <v>0</v>
      </c>
      <c r="H401" s="14"/>
      <c r="I401" s="15">
        <f t="shared" si="32"/>
        <v>0</v>
      </c>
      <c r="J401" s="14"/>
      <c r="K401" s="13"/>
    </row>
    <row r="402" spans="1:11" ht="12.6" customHeight="1" x14ac:dyDescent="0.2">
      <c r="A402" s="13"/>
      <c r="B402" s="19"/>
      <c r="C402" s="15"/>
      <c r="D402" s="14"/>
      <c r="E402" s="15">
        <f t="shared" si="31"/>
        <v>0</v>
      </c>
      <c r="F402" s="14"/>
      <c r="G402" s="15">
        <f t="shared" si="30"/>
        <v>0</v>
      </c>
      <c r="H402" s="14"/>
      <c r="I402" s="15">
        <f t="shared" si="32"/>
        <v>0</v>
      </c>
      <c r="J402" s="14"/>
      <c r="K402" s="16"/>
    </row>
    <row r="403" spans="1:11" ht="12.6" customHeight="1" x14ac:dyDescent="0.2">
      <c r="A403" s="13"/>
      <c r="B403" s="19"/>
      <c r="C403" s="15"/>
      <c r="D403" s="14"/>
      <c r="E403" s="15">
        <f t="shared" si="31"/>
        <v>0</v>
      </c>
      <c r="F403" s="14"/>
      <c r="G403" s="15">
        <f t="shared" si="30"/>
        <v>0</v>
      </c>
      <c r="H403" s="14"/>
      <c r="I403" s="15">
        <f t="shared" si="32"/>
        <v>0</v>
      </c>
      <c r="J403" s="14"/>
      <c r="K403" s="16"/>
    </row>
    <row r="404" spans="1:11" ht="12.6" customHeight="1" x14ac:dyDescent="0.2">
      <c r="A404" s="19"/>
      <c r="B404" s="19"/>
      <c r="C404" s="36">
        <f>SUM(C378:C403)</f>
        <v>0</v>
      </c>
      <c r="D404" s="36">
        <f>SUM(D378:D403)</f>
        <v>0</v>
      </c>
      <c r="E404" s="36"/>
      <c r="F404" s="37"/>
      <c r="G404" s="36">
        <f>SUM(G378:G403)</f>
        <v>0</v>
      </c>
      <c r="H404" s="36">
        <f>SUM(H378:H403)</f>
        <v>0</v>
      </c>
      <c r="I404" s="15"/>
      <c r="J404" s="14"/>
      <c r="K404" s="16"/>
    </row>
    <row r="405" spans="1:11" ht="12.6" customHeight="1" x14ac:dyDescent="0.2">
      <c r="H405" s="27" t="s">
        <v>23</v>
      </c>
      <c r="J405" s="27" t="s">
        <v>28</v>
      </c>
    </row>
    <row r="407" spans="1:11" ht="12.6" customHeight="1" x14ac:dyDescent="0.2">
      <c r="A407" s="102">
        <f>A1</f>
        <v>0</v>
      </c>
      <c r="B407" s="102"/>
      <c r="C407" s="102"/>
      <c r="D407" s="102"/>
      <c r="E407" s="102"/>
      <c r="F407" s="102"/>
      <c r="G407" s="102"/>
      <c r="H407" s="1"/>
      <c r="I407" s="103" t="s">
        <v>0</v>
      </c>
      <c r="J407" s="103"/>
      <c r="K407" s="2">
        <f>K1</f>
        <v>0</v>
      </c>
    </row>
    <row r="409" spans="1:11" ht="12.6" customHeight="1" x14ac:dyDescent="0.2">
      <c r="A409" s="104" t="s">
        <v>1</v>
      </c>
      <c r="B409" s="104" t="s">
        <v>2</v>
      </c>
      <c r="C409" s="107" t="s">
        <v>3</v>
      </c>
      <c r="D409" s="108"/>
      <c r="E409" s="108"/>
      <c r="F409" s="109"/>
      <c r="G409" s="107" t="s">
        <v>4</v>
      </c>
      <c r="H409" s="108"/>
      <c r="I409" s="108"/>
      <c r="J409" s="109"/>
      <c r="K409" s="4"/>
    </row>
    <row r="410" spans="1:11" ht="12.6" customHeight="1" x14ac:dyDescent="0.2">
      <c r="A410" s="105"/>
      <c r="B410" s="105"/>
      <c r="C410" s="94" t="s">
        <v>6</v>
      </c>
      <c r="D410" s="5" t="s">
        <v>7</v>
      </c>
      <c r="E410" s="94" t="s">
        <v>8</v>
      </c>
      <c r="F410" s="6" t="s">
        <v>7</v>
      </c>
      <c r="G410" s="94" t="s">
        <v>6</v>
      </c>
      <c r="H410" s="5" t="s">
        <v>7</v>
      </c>
      <c r="I410" s="94" t="s">
        <v>8</v>
      </c>
      <c r="J410" s="1" t="s">
        <v>7</v>
      </c>
      <c r="K410" s="7"/>
    </row>
    <row r="411" spans="1:11" ht="12.6" customHeight="1" x14ac:dyDescent="0.2">
      <c r="A411" s="105"/>
      <c r="B411" s="105"/>
      <c r="C411" s="95"/>
      <c r="D411" s="8" t="s">
        <v>10</v>
      </c>
      <c r="E411" s="95"/>
      <c r="F411" s="6" t="s">
        <v>10</v>
      </c>
      <c r="G411" s="95"/>
      <c r="H411" s="8" t="s">
        <v>10</v>
      </c>
      <c r="I411" s="95"/>
      <c r="J411" s="1" t="s">
        <v>10</v>
      </c>
      <c r="K411" s="7"/>
    </row>
    <row r="412" spans="1:11" ht="12.6" customHeight="1" x14ac:dyDescent="0.2">
      <c r="A412" s="106"/>
      <c r="B412" s="106"/>
      <c r="C412" s="96"/>
      <c r="D412" s="9" t="s">
        <v>12</v>
      </c>
      <c r="E412" s="96"/>
      <c r="F412" s="10" t="s">
        <v>13</v>
      </c>
      <c r="G412" s="96"/>
      <c r="H412" s="9" t="s">
        <v>12</v>
      </c>
      <c r="I412" s="96"/>
      <c r="J412" s="11" t="s">
        <v>13</v>
      </c>
      <c r="K412" s="12"/>
    </row>
    <row r="413" spans="1:11" ht="12.6" customHeight="1" x14ac:dyDescent="0.2">
      <c r="A413" s="13"/>
      <c r="B413" s="19"/>
      <c r="C413" s="15"/>
      <c r="D413" s="14"/>
      <c r="E413" s="15">
        <f>E403+C413-D413</f>
        <v>0</v>
      </c>
      <c r="F413" s="14"/>
      <c r="G413" s="15">
        <f>C413</f>
        <v>0</v>
      </c>
      <c r="H413" s="14"/>
      <c r="I413" s="15">
        <f>I403+G413-H413</f>
        <v>0</v>
      </c>
      <c r="J413" s="14"/>
      <c r="K413" s="16"/>
    </row>
    <row r="414" spans="1:11" ht="12.6" customHeight="1" x14ac:dyDescent="0.2">
      <c r="A414" s="13"/>
      <c r="B414" s="19"/>
      <c r="C414" s="15"/>
      <c r="D414" s="14"/>
      <c r="E414" s="15">
        <f>E413+C414-D414</f>
        <v>0</v>
      </c>
      <c r="F414" s="14"/>
      <c r="G414" s="15">
        <f t="shared" ref="G414:G438" si="33">C414</f>
        <v>0</v>
      </c>
      <c r="H414" s="14"/>
      <c r="I414" s="15">
        <f>I413+G414-H414</f>
        <v>0</v>
      </c>
      <c r="J414" s="14"/>
      <c r="K414" s="13"/>
    </row>
    <row r="415" spans="1:11" ht="12.6" customHeight="1" x14ac:dyDescent="0.2">
      <c r="A415" s="13"/>
      <c r="B415" s="19"/>
      <c r="C415" s="15"/>
      <c r="D415" s="14"/>
      <c r="E415" s="15">
        <f t="shared" ref="E415:E438" si="34">E414+C415-D415</f>
        <v>0</v>
      </c>
      <c r="F415" s="14"/>
      <c r="G415" s="15">
        <f t="shared" si="33"/>
        <v>0</v>
      </c>
      <c r="H415" s="14"/>
      <c r="I415" s="15">
        <f t="shared" ref="I415:I438" si="35">I414+G415-H415</f>
        <v>0</v>
      </c>
      <c r="J415" s="14"/>
      <c r="K415" s="13"/>
    </row>
    <row r="416" spans="1:11" ht="12.6" customHeight="1" x14ac:dyDescent="0.2">
      <c r="A416" s="13"/>
      <c r="B416" s="19"/>
      <c r="C416" s="15"/>
      <c r="D416" s="14"/>
      <c r="E416" s="15">
        <f t="shared" si="34"/>
        <v>0</v>
      </c>
      <c r="F416" s="14"/>
      <c r="G416" s="15">
        <f t="shared" si="33"/>
        <v>0</v>
      </c>
      <c r="H416" s="14"/>
      <c r="I416" s="15">
        <f t="shared" si="35"/>
        <v>0</v>
      </c>
      <c r="J416" s="14"/>
      <c r="K416" s="16"/>
    </row>
    <row r="417" spans="1:11" ht="12.6" customHeight="1" x14ac:dyDescent="0.2">
      <c r="A417" s="13"/>
      <c r="B417" s="19"/>
      <c r="C417" s="15"/>
      <c r="D417" s="14"/>
      <c r="E417" s="15">
        <f t="shared" si="34"/>
        <v>0</v>
      </c>
      <c r="F417" s="14"/>
      <c r="G417" s="15">
        <f t="shared" si="33"/>
        <v>0</v>
      </c>
      <c r="H417" s="14"/>
      <c r="I417" s="15">
        <f t="shared" si="35"/>
        <v>0</v>
      </c>
      <c r="J417" s="14"/>
      <c r="K417" s="13"/>
    </row>
    <row r="418" spans="1:11" ht="12.6" customHeight="1" x14ac:dyDescent="0.2">
      <c r="A418" s="13"/>
      <c r="B418" s="19"/>
      <c r="C418" s="15"/>
      <c r="D418" s="14"/>
      <c r="E418" s="15">
        <f t="shared" si="34"/>
        <v>0</v>
      </c>
      <c r="F418" s="14"/>
      <c r="G418" s="15">
        <f t="shared" si="33"/>
        <v>0</v>
      </c>
      <c r="H418" s="14"/>
      <c r="I418" s="15">
        <f t="shared" si="35"/>
        <v>0</v>
      </c>
      <c r="J418" s="14"/>
      <c r="K418" s="16"/>
    </row>
    <row r="419" spans="1:11" ht="12.6" customHeight="1" x14ac:dyDescent="0.2">
      <c r="A419" s="13"/>
      <c r="B419" s="19"/>
      <c r="C419" s="15"/>
      <c r="D419" s="14"/>
      <c r="E419" s="15">
        <f t="shared" si="34"/>
        <v>0</v>
      </c>
      <c r="F419" s="14"/>
      <c r="G419" s="15">
        <f t="shared" si="33"/>
        <v>0</v>
      </c>
      <c r="H419" s="14"/>
      <c r="I419" s="15">
        <f t="shared" si="35"/>
        <v>0</v>
      </c>
      <c r="J419" s="14"/>
      <c r="K419" s="13"/>
    </row>
    <row r="420" spans="1:11" ht="12.6" customHeight="1" x14ac:dyDescent="0.2">
      <c r="A420" s="13"/>
      <c r="B420" s="19"/>
      <c r="C420" s="15"/>
      <c r="D420" s="14"/>
      <c r="E420" s="15">
        <f t="shared" si="34"/>
        <v>0</v>
      </c>
      <c r="F420" s="14"/>
      <c r="G420" s="15">
        <f t="shared" si="33"/>
        <v>0</v>
      </c>
      <c r="H420" s="14"/>
      <c r="I420" s="15">
        <f t="shared" si="35"/>
        <v>0</v>
      </c>
      <c r="J420" s="14"/>
      <c r="K420" s="13"/>
    </row>
    <row r="421" spans="1:11" ht="12.6" customHeight="1" x14ac:dyDescent="0.2">
      <c r="A421" s="13"/>
      <c r="B421" s="19"/>
      <c r="C421" s="15"/>
      <c r="D421" s="14"/>
      <c r="E421" s="15">
        <f t="shared" si="34"/>
        <v>0</v>
      </c>
      <c r="F421" s="14"/>
      <c r="G421" s="15">
        <f t="shared" si="33"/>
        <v>0</v>
      </c>
      <c r="H421" s="14"/>
      <c r="I421" s="15">
        <f t="shared" si="35"/>
        <v>0</v>
      </c>
      <c r="J421" s="14"/>
      <c r="K421" s="16"/>
    </row>
    <row r="422" spans="1:11" ht="12.6" customHeight="1" x14ac:dyDescent="0.2">
      <c r="A422" s="13"/>
      <c r="B422" s="19"/>
      <c r="C422" s="15"/>
      <c r="D422" s="14"/>
      <c r="E422" s="15">
        <f t="shared" si="34"/>
        <v>0</v>
      </c>
      <c r="F422" s="14"/>
      <c r="G422" s="15">
        <f t="shared" si="33"/>
        <v>0</v>
      </c>
      <c r="H422" s="14"/>
      <c r="I422" s="15">
        <f t="shared" si="35"/>
        <v>0</v>
      </c>
      <c r="J422" s="14"/>
      <c r="K422" s="16"/>
    </row>
    <row r="423" spans="1:11" ht="12.6" customHeight="1" x14ac:dyDescent="0.2">
      <c r="A423" s="13"/>
      <c r="B423" s="19"/>
      <c r="C423" s="15"/>
      <c r="D423" s="14"/>
      <c r="E423" s="15">
        <f t="shared" si="34"/>
        <v>0</v>
      </c>
      <c r="F423" s="14"/>
      <c r="G423" s="15">
        <f t="shared" si="33"/>
        <v>0</v>
      </c>
      <c r="H423" s="14"/>
      <c r="I423" s="15">
        <f t="shared" si="35"/>
        <v>0</v>
      </c>
      <c r="J423" s="14"/>
      <c r="K423" s="16"/>
    </row>
    <row r="424" spans="1:11" ht="12.6" customHeight="1" x14ac:dyDescent="0.2">
      <c r="A424" s="13"/>
      <c r="B424" s="19"/>
      <c r="C424" s="15"/>
      <c r="D424" s="14"/>
      <c r="E424" s="15">
        <f t="shared" si="34"/>
        <v>0</v>
      </c>
      <c r="F424" s="14"/>
      <c r="G424" s="15">
        <f t="shared" si="33"/>
        <v>0</v>
      </c>
      <c r="H424" s="14"/>
      <c r="I424" s="15">
        <f t="shared" si="35"/>
        <v>0</v>
      </c>
      <c r="J424" s="14"/>
      <c r="K424" s="13"/>
    </row>
    <row r="425" spans="1:11" ht="12.6" customHeight="1" x14ac:dyDescent="0.2">
      <c r="A425" s="13"/>
      <c r="B425" s="19"/>
      <c r="C425" s="15"/>
      <c r="D425" s="14"/>
      <c r="E425" s="15">
        <f t="shared" si="34"/>
        <v>0</v>
      </c>
      <c r="F425" s="14"/>
      <c r="G425" s="15">
        <f t="shared" si="33"/>
        <v>0</v>
      </c>
      <c r="H425" s="14"/>
      <c r="I425" s="15">
        <f t="shared" si="35"/>
        <v>0</v>
      </c>
      <c r="J425" s="14"/>
      <c r="K425" s="13"/>
    </row>
    <row r="426" spans="1:11" ht="12.6" customHeight="1" x14ac:dyDescent="0.2">
      <c r="A426" s="13"/>
      <c r="B426" s="19"/>
      <c r="C426" s="15"/>
      <c r="D426" s="14"/>
      <c r="E426" s="15">
        <f t="shared" si="34"/>
        <v>0</v>
      </c>
      <c r="F426" s="14"/>
      <c r="G426" s="15">
        <f t="shared" si="33"/>
        <v>0</v>
      </c>
      <c r="H426" s="14"/>
      <c r="I426" s="15">
        <f t="shared" si="35"/>
        <v>0</v>
      </c>
      <c r="J426" s="14"/>
      <c r="K426" s="13"/>
    </row>
    <row r="427" spans="1:11" ht="12.6" customHeight="1" x14ac:dyDescent="0.2">
      <c r="A427" s="13"/>
      <c r="B427" s="19"/>
      <c r="C427" s="15"/>
      <c r="D427" s="14"/>
      <c r="E427" s="15">
        <f t="shared" si="34"/>
        <v>0</v>
      </c>
      <c r="F427" s="14"/>
      <c r="G427" s="15">
        <f t="shared" si="33"/>
        <v>0</v>
      </c>
      <c r="H427" s="14"/>
      <c r="I427" s="15">
        <f t="shared" si="35"/>
        <v>0</v>
      </c>
      <c r="J427" s="14"/>
      <c r="K427" s="13"/>
    </row>
    <row r="428" spans="1:11" ht="12.6" customHeight="1" x14ac:dyDescent="0.2">
      <c r="A428" s="13"/>
      <c r="B428" s="19"/>
      <c r="C428" s="15"/>
      <c r="D428" s="14"/>
      <c r="E428" s="15">
        <f t="shared" si="34"/>
        <v>0</v>
      </c>
      <c r="F428" s="14"/>
      <c r="G428" s="15">
        <f t="shared" si="33"/>
        <v>0</v>
      </c>
      <c r="H428" s="14"/>
      <c r="I428" s="15">
        <f t="shared" si="35"/>
        <v>0</v>
      </c>
      <c r="J428" s="14"/>
      <c r="K428" s="13"/>
    </row>
    <row r="429" spans="1:11" ht="12.6" customHeight="1" x14ac:dyDescent="0.2">
      <c r="A429" s="13"/>
      <c r="B429" s="19"/>
      <c r="C429" s="15"/>
      <c r="D429" s="14"/>
      <c r="E429" s="15">
        <f t="shared" si="34"/>
        <v>0</v>
      </c>
      <c r="F429" s="14"/>
      <c r="G429" s="15">
        <f t="shared" si="33"/>
        <v>0</v>
      </c>
      <c r="H429" s="14"/>
      <c r="I429" s="15">
        <f t="shared" si="35"/>
        <v>0</v>
      </c>
      <c r="J429" s="14"/>
      <c r="K429" s="13"/>
    </row>
    <row r="430" spans="1:11" ht="12.6" customHeight="1" x14ac:dyDescent="0.2">
      <c r="A430" s="13"/>
      <c r="B430" s="19"/>
      <c r="C430" s="15"/>
      <c r="D430" s="15"/>
      <c r="E430" s="15">
        <f t="shared" si="34"/>
        <v>0</v>
      </c>
      <c r="F430" s="14"/>
      <c r="G430" s="15">
        <f t="shared" si="33"/>
        <v>0</v>
      </c>
      <c r="H430" s="14"/>
      <c r="I430" s="15">
        <f t="shared" si="35"/>
        <v>0</v>
      </c>
      <c r="J430" s="14"/>
      <c r="K430" s="13"/>
    </row>
    <row r="431" spans="1:11" ht="12.6" customHeight="1" x14ac:dyDescent="0.2">
      <c r="A431" s="13"/>
      <c r="B431" s="19"/>
      <c r="C431" s="15"/>
      <c r="D431" s="14"/>
      <c r="E431" s="15">
        <f t="shared" si="34"/>
        <v>0</v>
      </c>
      <c r="F431" s="14"/>
      <c r="G431" s="15">
        <f t="shared" si="33"/>
        <v>0</v>
      </c>
      <c r="H431" s="14"/>
      <c r="I431" s="15">
        <f t="shared" si="35"/>
        <v>0</v>
      </c>
      <c r="J431" s="14"/>
      <c r="K431" s="16"/>
    </row>
    <row r="432" spans="1:11" ht="12.6" customHeight="1" x14ac:dyDescent="0.2">
      <c r="A432" s="13"/>
      <c r="B432" s="19"/>
      <c r="C432" s="15"/>
      <c r="D432" s="15"/>
      <c r="E432" s="15">
        <f t="shared" si="34"/>
        <v>0</v>
      </c>
      <c r="F432" s="14"/>
      <c r="G432" s="15">
        <f t="shared" si="33"/>
        <v>0</v>
      </c>
      <c r="H432" s="14"/>
      <c r="I432" s="15">
        <f t="shared" si="35"/>
        <v>0</v>
      </c>
      <c r="J432" s="14"/>
      <c r="K432" s="13"/>
    </row>
    <row r="433" spans="1:11" ht="12.6" customHeight="1" x14ac:dyDescent="0.2">
      <c r="A433" s="13"/>
      <c r="B433" s="19"/>
      <c r="C433" s="15"/>
      <c r="D433" s="14"/>
      <c r="E433" s="15">
        <f t="shared" si="34"/>
        <v>0</v>
      </c>
      <c r="F433" s="14"/>
      <c r="G433" s="15">
        <f t="shared" si="33"/>
        <v>0</v>
      </c>
      <c r="H433" s="14"/>
      <c r="I433" s="15">
        <f t="shared" si="35"/>
        <v>0</v>
      </c>
      <c r="J433" s="14"/>
      <c r="K433" s="13"/>
    </row>
    <row r="434" spans="1:11" ht="12.6" customHeight="1" x14ac:dyDescent="0.2">
      <c r="A434" s="13"/>
      <c r="B434" s="19"/>
      <c r="C434" s="15"/>
      <c r="D434" s="14"/>
      <c r="E434" s="15">
        <f t="shared" si="34"/>
        <v>0</v>
      </c>
      <c r="F434" s="14"/>
      <c r="G434" s="15">
        <f t="shared" si="33"/>
        <v>0</v>
      </c>
      <c r="H434" s="14"/>
      <c r="I434" s="15">
        <f t="shared" si="35"/>
        <v>0</v>
      </c>
      <c r="J434" s="14"/>
      <c r="K434" s="13"/>
    </row>
    <row r="435" spans="1:11" ht="12.6" customHeight="1" x14ac:dyDescent="0.2">
      <c r="A435" s="13"/>
      <c r="B435" s="19"/>
      <c r="C435" s="15"/>
      <c r="D435" s="14"/>
      <c r="E435" s="15">
        <f t="shared" si="34"/>
        <v>0</v>
      </c>
      <c r="F435" s="14"/>
      <c r="G435" s="15">
        <f t="shared" si="33"/>
        <v>0</v>
      </c>
      <c r="H435" s="14"/>
      <c r="I435" s="15">
        <f t="shared" si="35"/>
        <v>0</v>
      </c>
      <c r="J435" s="14"/>
      <c r="K435" s="13"/>
    </row>
    <row r="436" spans="1:11" ht="12.6" customHeight="1" x14ac:dyDescent="0.2">
      <c r="A436" s="13"/>
      <c r="B436" s="19"/>
      <c r="C436" s="15"/>
      <c r="D436" s="14"/>
      <c r="E436" s="15">
        <f t="shared" si="34"/>
        <v>0</v>
      </c>
      <c r="F436" s="14"/>
      <c r="G436" s="15">
        <f t="shared" si="33"/>
        <v>0</v>
      </c>
      <c r="H436" s="14"/>
      <c r="I436" s="15">
        <f t="shared" si="35"/>
        <v>0</v>
      </c>
      <c r="J436" s="14"/>
      <c r="K436" s="13"/>
    </row>
    <row r="437" spans="1:11" ht="12.6" customHeight="1" x14ac:dyDescent="0.2">
      <c r="A437" s="13"/>
      <c r="B437" s="19"/>
      <c r="C437" s="15"/>
      <c r="D437" s="14"/>
      <c r="E437" s="15">
        <f t="shared" si="34"/>
        <v>0</v>
      </c>
      <c r="F437" s="14"/>
      <c r="G437" s="15">
        <f t="shared" si="33"/>
        <v>0</v>
      </c>
      <c r="H437" s="14"/>
      <c r="I437" s="15">
        <f t="shared" si="35"/>
        <v>0</v>
      </c>
      <c r="J437" s="14"/>
      <c r="K437" s="16"/>
    </row>
    <row r="438" spans="1:11" ht="12.6" customHeight="1" x14ac:dyDescent="0.2">
      <c r="A438" s="13"/>
      <c r="B438" s="19"/>
      <c r="C438" s="15"/>
      <c r="D438" s="14"/>
      <c r="E438" s="15">
        <f t="shared" si="34"/>
        <v>0</v>
      </c>
      <c r="F438" s="14"/>
      <c r="G438" s="15">
        <f t="shared" si="33"/>
        <v>0</v>
      </c>
      <c r="H438" s="14"/>
      <c r="I438" s="15">
        <f t="shared" si="35"/>
        <v>0</v>
      </c>
      <c r="J438" s="14"/>
      <c r="K438" s="16"/>
    </row>
    <row r="439" spans="1:11" ht="12.6" customHeight="1" x14ac:dyDescent="0.2">
      <c r="A439" s="19"/>
      <c r="B439" s="19"/>
      <c r="C439" s="36">
        <f>SUM(C413:C438)</f>
        <v>0</v>
      </c>
      <c r="D439" s="36">
        <f>SUM(D413:D438)</f>
        <v>0</v>
      </c>
      <c r="E439" s="36"/>
      <c r="F439" s="37"/>
      <c r="G439" s="36">
        <f>SUM(G413:G438)</f>
        <v>0</v>
      </c>
      <c r="H439" s="36">
        <f>SUM(H413:H438)</f>
        <v>0</v>
      </c>
      <c r="I439" s="15"/>
      <c r="J439" s="14"/>
      <c r="K439" s="16"/>
    </row>
    <row r="440" spans="1:11" ht="12.6" customHeight="1" x14ac:dyDescent="0.2">
      <c r="H440" s="27" t="s">
        <v>23</v>
      </c>
      <c r="J440" s="27" t="s">
        <v>29</v>
      </c>
    </row>
    <row r="441" spans="1:11" ht="12.6" customHeight="1" x14ac:dyDescent="0.2">
      <c r="A441" s="102"/>
      <c r="B441" s="102"/>
      <c r="C441" s="102"/>
      <c r="D441" s="40"/>
      <c r="E441" s="41"/>
      <c r="F441" s="40"/>
      <c r="G441" s="41"/>
      <c r="H441" s="1"/>
      <c r="I441" s="3"/>
      <c r="J441" s="3"/>
      <c r="K441" s="42"/>
    </row>
    <row r="442" spans="1:11" ht="12.6" customHeight="1" x14ac:dyDescent="0.3">
      <c r="A442" s="43"/>
      <c r="B442" s="43"/>
      <c r="C442" s="43"/>
      <c r="D442" s="40"/>
      <c r="E442" s="41"/>
      <c r="F442" s="40"/>
      <c r="G442" s="41"/>
      <c r="H442" s="1"/>
      <c r="I442" s="44"/>
      <c r="J442" s="45"/>
      <c r="K442" s="42"/>
    </row>
    <row r="443" spans="1:11" ht="12.6" customHeight="1" x14ac:dyDescent="0.3">
      <c r="A443" s="43"/>
      <c r="B443" s="43"/>
      <c r="C443" s="43"/>
      <c r="D443" s="40"/>
      <c r="E443" s="41"/>
      <c r="F443" s="40"/>
      <c r="G443" s="41"/>
      <c r="H443" s="1"/>
      <c r="I443" s="44"/>
      <c r="J443" s="45"/>
      <c r="K443" s="42"/>
    </row>
    <row r="444" spans="1:11" ht="12.6" customHeight="1" x14ac:dyDescent="0.3">
      <c r="A444" s="43"/>
      <c r="B444" s="43"/>
      <c r="C444" s="43"/>
      <c r="D444" s="40"/>
      <c r="E444" s="41"/>
      <c r="F444" s="40"/>
      <c r="G444" s="41"/>
      <c r="H444" s="1"/>
      <c r="I444" s="44"/>
      <c r="J444" s="45"/>
      <c r="K444" s="42"/>
    </row>
    <row r="445" spans="1:11" ht="12.6" customHeight="1" x14ac:dyDescent="0.3">
      <c r="A445" s="43"/>
      <c r="B445" s="43"/>
      <c r="C445" s="43"/>
      <c r="D445" s="40"/>
      <c r="E445" s="41"/>
      <c r="F445" s="40"/>
      <c r="G445" s="41"/>
      <c r="H445" s="1"/>
      <c r="I445" s="44"/>
      <c r="J445" s="45"/>
      <c r="K445" s="42"/>
    </row>
    <row r="446" spans="1:11" ht="12.6" customHeight="1" x14ac:dyDescent="0.2">
      <c r="A446" s="102">
        <f>A1</f>
        <v>0</v>
      </c>
      <c r="B446" s="102"/>
      <c r="C446" s="102"/>
      <c r="D446" s="102"/>
      <c r="E446" s="102"/>
      <c r="F446" s="102"/>
      <c r="G446" s="102"/>
      <c r="H446" s="1"/>
      <c r="I446" s="103" t="s">
        <v>0</v>
      </c>
      <c r="J446" s="103"/>
      <c r="K446" s="2">
        <f>K1</f>
        <v>0</v>
      </c>
    </row>
    <row r="448" spans="1:11" ht="12.6" customHeight="1" x14ac:dyDescent="0.2">
      <c r="A448" s="104" t="s">
        <v>1</v>
      </c>
      <c r="B448" s="104" t="s">
        <v>2</v>
      </c>
      <c r="C448" s="107" t="s">
        <v>3</v>
      </c>
      <c r="D448" s="108"/>
      <c r="E448" s="108"/>
      <c r="F448" s="109"/>
      <c r="G448" s="107" t="s">
        <v>4</v>
      </c>
      <c r="H448" s="108"/>
      <c r="I448" s="108"/>
      <c r="J448" s="109"/>
      <c r="K448" s="4"/>
    </row>
    <row r="449" spans="1:11" ht="12.6" customHeight="1" x14ac:dyDescent="0.2">
      <c r="A449" s="105"/>
      <c r="B449" s="105"/>
      <c r="C449" s="94" t="s">
        <v>6</v>
      </c>
      <c r="D449" s="5" t="s">
        <v>7</v>
      </c>
      <c r="E449" s="94" t="s">
        <v>8</v>
      </c>
      <c r="F449" s="6" t="s">
        <v>7</v>
      </c>
      <c r="G449" s="94" t="s">
        <v>6</v>
      </c>
      <c r="H449" s="5" t="s">
        <v>7</v>
      </c>
      <c r="I449" s="94" t="s">
        <v>8</v>
      </c>
      <c r="J449" s="1" t="s">
        <v>7</v>
      </c>
      <c r="K449" s="7"/>
    </row>
    <row r="450" spans="1:11" ht="12.6" customHeight="1" x14ac:dyDescent="0.2">
      <c r="A450" s="105"/>
      <c r="B450" s="105"/>
      <c r="C450" s="95"/>
      <c r="D450" s="8" t="s">
        <v>10</v>
      </c>
      <c r="E450" s="95"/>
      <c r="F450" s="6" t="s">
        <v>10</v>
      </c>
      <c r="G450" s="95"/>
      <c r="H450" s="8" t="s">
        <v>10</v>
      </c>
      <c r="I450" s="95"/>
      <c r="J450" s="1" t="s">
        <v>10</v>
      </c>
      <c r="K450" s="7"/>
    </row>
    <row r="451" spans="1:11" ht="12.6" customHeight="1" x14ac:dyDescent="0.2">
      <c r="A451" s="106"/>
      <c r="B451" s="106"/>
      <c r="C451" s="96"/>
      <c r="D451" s="9" t="s">
        <v>12</v>
      </c>
      <c r="E451" s="96"/>
      <c r="F451" s="10" t="s">
        <v>13</v>
      </c>
      <c r="G451" s="96"/>
      <c r="H451" s="9" t="s">
        <v>12</v>
      </c>
      <c r="I451" s="96"/>
      <c r="J451" s="11" t="s">
        <v>13</v>
      </c>
      <c r="K451" s="12"/>
    </row>
    <row r="452" spans="1:11" ht="12.6" customHeight="1" x14ac:dyDescent="0.2">
      <c r="A452" s="13"/>
      <c r="B452" s="19"/>
      <c r="C452" s="15"/>
      <c r="D452" s="14"/>
      <c r="E452" s="15">
        <f>E438+C452-D452</f>
        <v>0</v>
      </c>
      <c r="F452" s="14"/>
      <c r="G452" s="15">
        <f>C452</f>
        <v>0</v>
      </c>
      <c r="H452" s="14"/>
      <c r="I452" s="15">
        <f>I438+G452-H452</f>
        <v>0</v>
      </c>
      <c r="J452" s="14"/>
      <c r="K452" s="16"/>
    </row>
    <row r="453" spans="1:11" ht="12.6" customHeight="1" x14ac:dyDescent="0.2">
      <c r="A453" s="13"/>
      <c r="B453" s="19"/>
      <c r="C453" s="15"/>
      <c r="D453" s="14"/>
      <c r="E453" s="15">
        <f>E452+C453-D453</f>
        <v>0</v>
      </c>
      <c r="F453" s="14"/>
      <c r="G453" s="15">
        <f t="shared" ref="G453:G477" si="36">C453</f>
        <v>0</v>
      </c>
      <c r="H453" s="14"/>
      <c r="I453" s="15">
        <f>I452+G453-H453</f>
        <v>0</v>
      </c>
      <c r="J453" s="14"/>
      <c r="K453" s="13"/>
    </row>
    <row r="454" spans="1:11" ht="12.6" customHeight="1" x14ac:dyDescent="0.2">
      <c r="A454" s="13"/>
      <c r="B454" s="19"/>
      <c r="C454" s="15"/>
      <c r="D454" s="14"/>
      <c r="E454" s="15">
        <f t="shared" ref="E454:E477" si="37">E453+C454-D454</f>
        <v>0</v>
      </c>
      <c r="F454" s="14"/>
      <c r="G454" s="15">
        <f t="shared" si="36"/>
        <v>0</v>
      </c>
      <c r="H454" s="14"/>
      <c r="I454" s="15">
        <f t="shared" ref="I454:I477" si="38">I453+G454-H454</f>
        <v>0</v>
      </c>
      <c r="J454" s="14"/>
      <c r="K454" s="13"/>
    </row>
    <row r="455" spans="1:11" ht="12.6" customHeight="1" x14ac:dyDescent="0.2">
      <c r="A455" s="13"/>
      <c r="B455" s="19"/>
      <c r="C455" s="15"/>
      <c r="D455" s="14"/>
      <c r="E455" s="15">
        <f t="shared" si="37"/>
        <v>0</v>
      </c>
      <c r="F455" s="14"/>
      <c r="G455" s="15">
        <f t="shared" si="36"/>
        <v>0</v>
      </c>
      <c r="H455" s="14"/>
      <c r="I455" s="15">
        <f t="shared" si="38"/>
        <v>0</v>
      </c>
      <c r="J455" s="14"/>
      <c r="K455" s="13"/>
    </row>
    <row r="456" spans="1:11" ht="12.6" customHeight="1" x14ac:dyDescent="0.2">
      <c r="A456" s="13"/>
      <c r="B456" s="19"/>
      <c r="C456" s="15"/>
      <c r="D456" s="14"/>
      <c r="E456" s="15">
        <f t="shared" si="37"/>
        <v>0</v>
      </c>
      <c r="F456" s="14"/>
      <c r="G456" s="15">
        <f t="shared" si="36"/>
        <v>0</v>
      </c>
      <c r="H456" s="14"/>
      <c r="I456" s="15">
        <f t="shared" si="38"/>
        <v>0</v>
      </c>
      <c r="J456" s="14"/>
      <c r="K456" s="13"/>
    </row>
    <row r="457" spans="1:11" ht="12.6" customHeight="1" x14ac:dyDescent="0.2">
      <c r="A457" s="13"/>
      <c r="B457" s="19"/>
      <c r="C457" s="15"/>
      <c r="D457" s="14"/>
      <c r="E457" s="15">
        <f t="shared" si="37"/>
        <v>0</v>
      </c>
      <c r="F457" s="14"/>
      <c r="G457" s="15">
        <f t="shared" si="36"/>
        <v>0</v>
      </c>
      <c r="H457" s="14"/>
      <c r="I457" s="15">
        <f t="shared" si="38"/>
        <v>0</v>
      </c>
      <c r="J457" s="14"/>
      <c r="K457" s="16"/>
    </row>
    <row r="458" spans="1:11" ht="12.6" customHeight="1" x14ac:dyDescent="0.2">
      <c r="A458" s="13"/>
      <c r="B458" s="19"/>
      <c r="C458" s="15"/>
      <c r="D458" s="14"/>
      <c r="E458" s="15">
        <f t="shared" si="37"/>
        <v>0</v>
      </c>
      <c r="F458" s="14"/>
      <c r="G458" s="15">
        <f t="shared" si="36"/>
        <v>0</v>
      </c>
      <c r="H458" s="14"/>
      <c r="I458" s="15">
        <f t="shared" si="38"/>
        <v>0</v>
      </c>
      <c r="J458" s="14"/>
      <c r="K458" s="13"/>
    </row>
    <row r="459" spans="1:11" ht="12.6" customHeight="1" x14ac:dyDescent="0.2">
      <c r="A459" s="13"/>
      <c r="B459" s="19"/>
      <c r="C459" s="15"/>
      <c r="D459" s="14"/>
      <c r="E459" s="15">
        <f t="shared" si="37"/>
        <v>0</v>
      </c>
      <c r="F459" s="14"/>
      <c r="G459" s="15">
        <f t="shared" si="36"/>
        <v>0</v>
      </c>
      <c r="H459" s="14"/>
      <c r="I459" s="15">
        <f t="shared" si="38"/>
        <v>0</v>
      </c>
      <c r="J459" s="14"/>
      <c r="K459" s="13"/>
    </row>
    <row r="460" spans="1:11" ht="12.6" customHeight="1" x14ac:dyDescent="0.2">
      <c r="A460" s="13"/>
      <c r="B460" s="19"/>
      <c r="C460" s="15"/>
      <c r="D460" s="14"/>
      <c r="E460" s="15">
        <f t="shared" si="37"/>
        <v>0</v>
      </c>
      <c r="F460" s="14"/>
      <c r="G460" s="15">
        <f t="shared" si="36"/>
        <v>0</v>
      </c>
      <c r="H460" s="14"/>
      <c r="I460" s="15">
        <f t="shared" si="38"/>
        <v>0</v>
      </c>
      <c r="J460" s="14"/>
      <c r="K460" s="16"/>
    </row>
    <row r="461" spans="1:11" ht="12.6" customHeight="1" x14ac:dyDescent="0.2">
      <c r="A461" s="13"/>
      <c r="B461" s="19"/>
      <c r="C461" s="15"/>
      <c r="D461" s="14"/>
      <c r="E461" s="15">
        <f t="shared" si="37"/>
        <v>0</v>
      </c>
      <c r="F461" s="14"/>
      <c r="G461" s="15">
        <f t="shared" si="36"/>
        <v>0</v>
      </c>
      <c r="H461" s="14"/>
      <c r="I461" s="15">
        <f t="shared" si="38"/>
        <v>0</v>
      </c>
      <c r="J461" s="14"/>
      <c r="K461" s="16"/>
    </row>
    <row r="462" spans="1:11" ht="12.6" customHeight="1" x14ac:dyDescent="0.2">
      <c r="A462" s="13"/>
      <c r="B462" s="19"/>
      <c r="C462" s="15"/>
      <c r="D462" s="14"/>
      <c r="E462" s="15">
        <f t="shared" si="37"/>
        <v>0</v>
      </c>
      <c r="F462" s="14"/>
      <c r="G462" s="15">
        <f t="shared" si="36"/>
        <v>0</v>
      </c>
      <c r="H462" s="14"/>
      <c r="I462" s="15">
        <f t="shared" si="38"/>
        <v>0</v>
      </c>
      <c r="J462" s="14"/>
      <c r="K462" s="16"/>
    </row>
    <row r="463" spans="1:11" ht="12.6" customHeight="1" x14ac:dyDescent="0.2">
      <c r="A463" s="13"/>
      <c r="B463" s="19"/>
      <c r="C463" s="15"/>
      <c r="D463" s="14"/>
      <c r="E463" s="15">
        <f t="shared" si="37"/>
        <v>0</v>
      </c>
      <c r="F463" s="14"/>
      <c r="G463" s="15">
        <f t="shared" si="36"/>
        <v>0</v>
      </c>
      <c r="H463" s="14"/>
      <c r="I463" s="15">
        <f t="shared" si="38"/>
        <v>0</v>
      </c>
      <c r="J463" s="14"/>
      <c r="K463" s="16"/>
    </row>
    <row r="464" spans="1:11" ht="12.6" customHeight="1" x14ac:dyDescent="0.2">
      <c r="A464" s="13"/>
      <c r="B464" s="19"/>
      <c r="C464" s="15"/>
      <c r="D464" s="14"/>
      <c r="E464" s="15">
        <f t="shared" si="37"/>
        <v>0</v>
      </c>
      <c r="F464" s="14"/>
      <c r="G464" s="15">
        <f t="shared" si="36"/>
        <v>0</v>
      </c>
      <c r="H464" s="14"/>
      <c r="I464" s="15">
        <f t="shared" si="38"/>
        <v>0</v>
      </c>
      <c r="J464" s="14"/>
      <c r="K464" s="16"/>
    </row>
    <row r="465" spans="1:11" ht="12.6" customHeight="1" x14ac:dyDescent="0.2">
      <c r="A465" s="13"/>
      <c r="B465" s="19"/>
      <c r="C465" s="15"/>
      <c r="D465" s="14"/>
      <c r="E465" s="15">
        <f t="shared" si="37"/>
        <v>0</v>
      </c>
      <c r="F465" s="14"/>
      <c r="G465" s="15">
        <f t="shared" si="36"/>
        <v>0</v>
      </c>
      <c r="H465" s="14"/>
      <c r="I465" s="15">
        <f t="shared" si="38"/>
        <v>0</v>
      </c>
      <c r="J465" s="14"/>
      <c r="K465" s="13"/>
    </row>
    <row r="466" spans="1:11" ht="12.6" customHeight="1" x14ac:dyDescent="0.2">
      <c r="A466" s="13"/>
      <c r="B466" s="19"/>
      <c r="C466" s="15"/>
      <c r="D466" s="14"/>
      <c r="E466" s="15">
        <f t="shared" si="37"/>
        <v>0</v>
      </c>
      <c r="F466" s="14"/>
      <c r="G466" s="15">
        <f t="shared" si="36"/>
        <v>0</v>
      </c>
      <c r="H466" s="14"/>
      <c r="I466" s="15">
        <f t="shared" si="38"/>
        <v>0</v>
      </c>
      <c r="J466" s="14"/>
      <c r="K466" s="13"/>
    </row>
    <row r="467" spans="1:11" ht="12.6" customHeight="1" x14ac:dyDescent="0.2">
      <c r="A467" s="13"/>
      <c r="B467" s="19"/>
      <c r="C467" s="15"/>
      <c r="D467" s="14"/>
      <c r="E467" s="15">
        <f t="shared" si="37"/>
        <v>0</v>
      </c>
      <c r="F467" s="14"/>
      <c r="G467" s="15">
        <f t="shared" si="36"/>
        <v>0</v>
      </c>
      <c r="H467" s="14"/>
      <c r="I467" s="15">
        <f t="shared" si="38"/>
        <v>0</v>
      </c>
      <c r="J467" s="14"/>
      <c r="K467" s="13"/>
    </row>
    <row r="468" spans="1:11" ht="12.6" customHeight="1" x14ac:dyDescent="0.2">
      <c r="A468" s="16"/>
      <c r="B468" s="19"/>
      <c r="C468" s="15"/>
      <c r="D468" s="14"/>
      <c r="E468" s="15">
        <f t="shared" si="37"/>
        <v>0</v>
      </c>
      <c r="F468" s="14"/>
      <c r="G468" s="15">
        <f t="shared" si="36"/>
        <v>0</v>
      </c>
      <c r="H468" s="14"/>
      <c r="I468" s="15">
        <f t="shared" si="38"/>
        <v>0</v>
      </c>
      <c r="J468" s="14"/>
      <c r="K468" s="13"/>
    </row>
    <row r="469" spans="1:11" ht="12.6" customHeight="1" x14ac:dyDescent="0.2">
      <c r="A469" s="13"/>
      <c r="B469" s="19"/>
      <c r="C469" s="15"/>
      <c r="D469" s="15"/>
      <c r="E469" s="15">
        <f t="shared" si="37"/>
        <v>0</v>
      </c>
      <c r="F469" s="14"/>
      <c r="G469" s="15">
        <f t="shared" si="36"/>
        <v>0</v>
      </c>
      <c r="H469" s="14"/>
      <c r="I469" s="15">
        <f t="shared" si="38"/>
        <v>0</v>
      </c>
      <c r="J469" s="14"/>
      <c r="K469" s="13"/>
    </row>
    <row r="470" spans="1:11" ht="12.6" customHeight="1" x14ac:dyDescent="0.2">
      <c r="A470" s="13"/>
      <c r="B470" s="19"/>
      <c r="C470" s="15"/>
      <c r="D470" s="14"/>
      <c r="E470" s="15">
        <f t="shared" si="37"/>
        <v>0</v>
      </c>
      <c r="F470" s="14"/>
      <c r="G470" s="15">
        <f t="shared" si="36"/>
        <v>0</v>
      </c>
      <c r="H470" s="14"/>
      <c r="I470" s="15">
        <f t="shared" si="38"/>
        <v>0</v>
      </c>
      <c r="J470" s="14"/>
      <c r="K470" s="16"/>
    </row>
    <row r="471" spans="1:11" ht="12.6" customHeight="1" x14ac:dyDescent="0.2">
      <c r="A471" s="13"/>
      <c r="B471" s="19"/>
      <c r="C471" s="15"/>
      <c r="D471" s="15"/>
      <c r="E471" s="15">
        <f t="shared" si="37"/>
        <v>0</v>
      </c>
      <c r="F471" s="14"/>
      <c r="G471" s="15">
        <f t="shared" si="36"/>
        <v>0</v>
      </c>
      <c r="H471" s="14"/>
      <c r="I471" s="15">
        <f t="shared" si="38"/>
        <v>0</v>
      </c>
      <c r="J471" s="14"/>
      <c r="K471" s="13"/>
    </row>
    <row r="472" spans="1:11" ht="12.6" customHeight="1" x14ac:dyDescent="0.2">
      <c r="A472" s="13"/>
      <c r="B472" s="19"/>
      <c r="C472" s="15"/>
      <c r="D472" s="14"/>
      <c r="E472" s="15">
        <f t="shared" si="37"/>
        <v>0</v>
      </c>
      <c r="F472" s="14"/>
      <c r="G472" s="15">
        <f t="shared" si="36"/>
        <v>0</v>
      </c>
      <c r="H472" s="14"/>
      <c r="I472" s="15">
        <f t="shared" si="38"/>
        <v>0</v>
      </c>
      <c r="J472" s="14"/>
      <c r="K472" s="13"/>
    </row>
    <row r="473" spans="1:11" ht="12.6" customHeight="1" x14ac:dyDescent="0.2">
      <c r="A473" s="13"/>
      <c r="B473" s="19"/>
      <c r="C473" s="15"/>
      <c r="D473" s="14"/>
      <c r="E473" s="15">
        <f t="shared" si="37"/>
        <v>0</v>
      </c>
      <c r="F473" s="14"/>
      <c r="G473" s="15">
        <f t="shared" si="36"/>
        <v>0</v>
      </c>
      <c r="H473" s="14"/>
      <c r="I473" s="15">
        <f t="shared" si="38"/>
        <v>0</v>
      </c>
      <c r="J473" s="14"/>
      <c r="K473" s="13"/>
    </row>
    <row r="474" spans="1:11" ht="12.6" customHeight="1" x14ac:dyDescent="0.2">
      <c r="A474" s="13"/>
      <c r="B474" s="19"/>
      <c r="C474" s="15"/>
      <c r="D474" s="14"/>
      <c r="E474" s="15">
        <f t="shared" si="37"/>
        <v>0</v>
      </c>
      <c r="F474" s="14"/>
      <c r="G474" s="15">
        <f t="shared" si="36"/>
        <v>0</v>
      </c>
      <c r="H474" s="14"/>
      <c r="I474" s="15">
        <f t="shared" si="38"/>
        <v>0</v>
      </c>
      <c r="J474" s="14"/>
      <c r="K474" s="13"/>
    </row>
    <row r="475" spans="1:11" ht="12.6" customHeight="1" x14ac:dyDescent="0.2">
      <c r="A475" s="13"/>
      <c r="B475" s="19"/>
      <c r="C475" s="15"/>
      <c r="D475" s="14"/>
      <c r="E475" s="15">
        <f t="shared" si="37"/>
        <v>0</v>
      </c>
      <c r="F475" s="14"/>
      <c r="G475" s="15">
        <f t="shared" si="36"/>
        <v>0</v>
      </c>
      <c r="H475" s="14"/>
      <c r="I475" s="15">
        <f t="shared" si="38"/>
        <v>0</v>
      </c>
      <c r="J475" s="14"/>
      <c r="K475" s="13"/>
    </row>
    <row r="476" spans="1:11" ht="12.6" customHeight="1" x14ac:dyDescent="0.2">
      <c r="A476" s="13"/>
      <c r="B476" s="19"/>
      <c r="C476" s="15"/>
      <c r="D476" s="14"/>
      <c r="E476" s="15">
        <f t="shared" si="37"/>
        <v>0</v>
      </c>
      <c r="F476" s="14"/>
      <c r="G476" s="15">
        <f t="shared" si="36"/>
        <v>0</v>
      </c>
      <c r="H476" s="14"/>
      <c r="I476" s="15">
        <f t="shared" si="38"/>
        <v>0</v>
      </c>
      <c r="J476" s="14"/>
      <c r="K476" s="16"/>
    </row>
    <row r="477" spans="1:11" ht="12.6" customHeight="1" x14ac:dyDescent="0.2">
      <c r="A477" s="13"/>
      <c r="B477" s="19"/>
      <c r="C477" s="15"/>
      <c r="D477" s="14"/>
      <c r="E477" s="15">
        <f t="shared" si="37"/>
        <v>0</v>
      </c>
      <c r="F477" s="14"/>
      <c r="G477" s="15">
        <f t="shared" si="36"/>
        <v>0</v>
      </c>
      <c r="H477" s="14"/>
      <c r="I477" s="15">
        <f t="shared" si="38"/>
        <v>0</v>
      </c>
      <c r="J477" s="14"/>
      <c r="K477" s="16"/>
    </row>
    <row r="478" spans="1:11" ht="12.6" customHeight="1" x14ac:dyDescent="0.2">
      <c r="A478" s="19"/>
      <c r="B478" s="19"/>
      <c r="C478" s="36">
        <f>SUM(C452:C477)</f>
        <v>0</v>
      </c>
      <c r="D478" s="36">
        <f>SUM(D452:D477)</f>
        <v>0</v>
      </c>
      <c r="E478" s="36"/>
      <c r="F478" s="37"/>
      <c r="G478" s="36">
        <f>SUM(G452:G477)</f>
        <v>0</v>
      </c>
      <c r="H478" s="36">
        <f>SUM(H452:H477)</f>
        <v>0</v>
      </c>
      <c r="I478" s="15"/>
      <c r="J478" s="14"/>
      <c r="K478" s="16"/>
    </row>
    <row r="479" spans="1:11" ht="12.6" customHeight="1" x14ac:dyDescent="0.2">
      <c r="H479" s="27" t="s">
        <v>23</v>
      </c>
      <c r="J479" s="27" t="s">
        <v>30</v>
      </c>
    </row>
    <row r="481" spans="1:11" ht="12.6" customHeight="1" x14ac:dyDescent="0.2">
      <c r="A481" s="102">
        <f>A1</f>
        <v>0</v>
      </c>
      <c r="B481" s="102"/>
      <c r="C481" s="102"/>
      <c r="D481" s="102"/>
      <c r="E481" s="102"/>
      <c r="F481" s="102"/>
      <c r="G481" s="102"/>
      <c r="H481" s="1"/>
      <c r="I481" s="103" t="s">
        <v>0</v>
      </c>
      <c r="J481" s="103"/>
      <c r="K481" s="2">
        <f>K1</f>
        <v>0</v>
      </c>
    </row>
    <row r="483" spans="1:11" ht="12.6" customHeight="1" x14ac:dyDescent="0.2">
      <c r="A483" s="104" t="s">
        <v>1</v>
      </c>
      <c r="B483" s="104" t="s">
        <v>2</v>
      </c>
      <c r="C483" s="107" t="s">
        <v>3</v>
      </c>
      <c r="D483" s="108"/>
      <c r="E483" s="108"/>
      <c r="F483" s="109"/>
      <c r="G483" s="107" t="s">
        <v>4</v>
      </c>
      <c r="H483" s="108"/>
      <c r="I483" s="108"/>
      <c r="J483" s="109"/>
      <c r="K483" s="4"/>
    </row>
    <row r="484" spans="1:11" ht="12.6" customHeight="1" x14ac:dyDescent="0.2">
      <c r="A484" s="105"/>
      <c r="B484" s="105"/>
      <c r="C484" s="94" t="s">
        <v>6</v>
      </c>
      <c r="D484" s="5" t="s">
        <v>7</v>
      </c>
      <c r="E484" s="94" t="s">
        <v>8</v>
      </c>
      <c r="F484" s="6" t="s">
        <v>7</v>
      </c>
      <c r="G484" s="94" t="s">
        <v>6</v>
      </c>
      <c r="H484" s="5" t="s">
        <v>7</v>
      </c>
      <c r="I484" s="94" t="s">
        <v>8</v>
      </c>
      <c r="J484" s="1" t="s">
        <v>7</v>
      </c>
      <c r="K484" s="7"/>
    </row>
    <row r="485" spans="1:11" ht="12.6" customHeight="1" x14ac:dyDescent="0.2">
      <c r="A485" s="105"/>
      <c r="B485" s="105"/>
      <c r="C485" s="95"/>
      <c r="D485" s="8" t="s">
        <v>10</v>
      </c>
      <c r="E485" s="95"/>
      <c r="F485" s="6" t="s">
        <v>10</v>
      </c>
      <c r="G485" s="95"/>
      <c r="H485" s="8" t="s">
        <v>10</v>
      </c>
      <c r="I485" s="95"/>
      <c r="J485" s="1" t="s">
        <v>10</v>
      </c>
      <c r="K485" s="7"/>
    </row>
    <row r="486" spans="1:11" ht="12.6" customHeight="1" x14ac:dyDescent="0.2">
      <c r="A486" s="106"/>
      <c r="B486" s="106"/>
      <c r="C486" s="96"/>
      <c r="D486" s="9" t="s">
        <v>12</v>
      </c>
      <c r="E486" s="96"/>
      <c r="F486" s="10" t="s">
        <v>13</v>
      </c>
      <c r="G486" s="96"/>
      <c r="H486" s="9" t="s">
        <v>12</v>
      </c>
      <c r="I486" s="96"/>
      <c r="J486" s="11" t="s">
        <v>13</v>
      </c>
      <c r="K486" s="12"/>
    </row>
    <row r="487" spans="1:11" ht="12.6" customHeight="1" x14ac:dyDescent="0.2">
      <c r="A487" s="13"/>
      <c r="B487" s="19"/>
      <c r="C487" s="15"/>
      <c r="D487" s="14"/>
      <c r="E487" s="15">
        <f>E477+C487-D487</f>
        <v>0</v>
      </c>
      <c r="F487" s="14"/>
      <c r="G487" s="15"/>
      <c r="H487" s="14"/>
      <c r="I487" s="15">
        <f>I477+G487-H487</f>
        <v>0</v>
      </c>
      <c r="J487" s="14"/>
      <c r="K487" s="16"/>
    </row>
    <row r="488" spans="1:11" ht="12.6" customHeight="1" x14ac:dyDescent="0.2">
      <c r="A488" s="13"/>
      <c r="B488" s="19"/>
      <c r="C488" s="15"/>
      <c r="D488" s="14"/>
      <c r="E488" s="15">
        <f>E487+C488-D488</f>
        <v>0</v>
      </c>
      <c r="F488" s="14"/>
      <c r="G488" s="15"/>
      <c r="H488" s="14"/>
      <c r="I488" s="15">
        <f>I487+G488-H488</f>
        <v>0</v>
      </c>
      <c r="J488" s="14"/>
      <c r="K488" s="13"/>
    </row>
    <row r="489" spans="1:11" ht="12.6" customHeight="1" x14ac:dyDescent="0.2">
      <c r="A489" s="13"/>
      <c r="B489" s="19"/>
      <c r="C489" s="15"/>
      <c r="D489" s="14"/>
      <c r="E489" s="15">
        <f t="shared" ref="E489:E512" si="39">E488+C489-D489</f>
        <v>0</v>
      </c>
      <c r="F489" s="14"/>
      <c r="G489" s="15"/>
      <c r="H489" s="14"/>
      <c r="I489" s="15">
        <f t="shared" ref="I489:I512" si="40">I488+G489-H489</f>
        <v>0</v>
      </c>
      <c r="J489" s="14"/>
      <c r="K489" s="13"/>
    </row>
    <row r="490" spans="1:11" ht="12.6" customHeight="1" x14ac:dyDescent="0.2">
      <c r="A490" s="13"/>
      <c r="B490" s="19"/>
      <c r="C490" s="15"/>
      <c r="D490" s="14"/>
      <c r="E490" s="15">
        <f t="shared" si="39"/>
        <v>0</v>
      </c>
      <c r="F490" s="14"/>
      <c r="G490" s="15"/>
      <c r="H490" s="14"/>
      <c r="I490" s="15">
        <f t="shared" si="40"/>
        <v>0</v>
      </c>
      <c r="J490" s="14"/>
      <c r="K490" s="16"/>
    </row>
    <row r="491" spans="1:11" ht="12.6" customHeight="1" x14ac:dyDescent="0.2">
      <c r="A491" s="13"/>
      <c r="B491" s="19"/>
      <c r="C491" s="15"/>
      <c r="D491" s="14"/>
      <c r="E491" s="15">
        <f t="shared" si="39"/>
        <v>0</v>
      </c>
      <c r="F491" s="14"/>
      <c r="G491" s="15"/>
      <c r="H491" s="14"/>
      <c r="I491" s="15">
        <f t="shared" si="40"/>
        <v>0</v>
      </c>
      <c r="J491" s="14"/>
      <c r="K491" s="13"/>
    </row>
    <row r="492" spans="1:11" ht="12.6" customHeight="1" x14ac:dyDescent="0.2">
      <c r="A492" s="13"/>
      <c r="B492" s="19"/>
      <c r="C492" s="15"/>
      <c r="D492" s="14"/>
      <c r="E492" s="15">
        <f t="shared" si="39"/>
        <v>0</v>
      </c>
      <c r="F492" s="14"/>
      <c r="G492" s="15"/>
      <c r="H492" s="14"/>
      <c r="I492" s="15">
        <f t="shared" si="40"/>
        <v>0</v>
      </c>
      <c r="J492" s="14"/>
      <c r="K492" s="16"/>
    </row>
    <row r="493" spans="1:11" ht="12.6" customHeight="1" x14ac:dyDescent="0.2">
      <c r="A493" s="13"/>
      <c r="B493" s="19"/>
      <c r="C493" s="15"/>
      <c r="D493" s="14"/>
      <c r="E493" s="15">
        <f t="shared" si="39"/>
        <v>0</v>
      </c>
      <c r="F493" s="14"/>
      <c r="G493" s="15"/>
      <c r="H493" s="14"/>
      <c r="I493" s="15">
        <f t="shared" si="40"/>
        <v>0</v>
      </c>
      <c r="J493" s="14"/>
      <c r="K493" s="13"/>
    </row>
    <row r="494" spans="1:11" ht="12.6" customHeight="1" x14ac:dyDescent="0.2">
      <c r="A494" s="13"/>
      <c r="B494" s="19"/>
      <c r="C494" s="15"/>
      <c r="D494" s="14"/>
      <c r="E494" s="15">
        <f t="shared" si="39"/>
        <v>0</v>
      </c>
      <c r="F494" s="14"/>
      <c r="G494" s="15"/>
      <c r="H494" s="14"/>
      <c r="I494" s="15">
        <f t="shared" si="40"/>
        <v>0</v>
      </c>
      <c r="J494" s="14"/>
      <c r="K494" s="13"/>
    </row>
    <row r="495" spans="1:11" ht="12.6" customHeight="1" x14ac:dyDescent="0.2">
      <c r="A495" s="13"/>
      <c r="B495" s="19"/>
      <c r="C495" s="15"/>
      <c r="D495" s="14"/>
      <c r="E495" s="15">
        <f t="shared" si="39"/>
        <v>0</v>
      </c>
      <c r="F495" s="14"/>
      <c r="G495" s="15"/>
      <c r="H495" s="14"/>
      <c r="I495" s="15">
        <f t="shared" si="40"/>
        <v>0</v>
      </c>
      <c r="J495" s="14"/>
      <c r="K495" s="16"/>
    </row>
    <row r="496" spans="1:11" ht="12.6" customHeight="1" x14ac:dyDescent="0.2">
      <c r="A496" s="13"/>
      <c r="B496" s="19"/>
      <c r="C496" s="15"/>
      <c r="D496" s="14"/>
      <c r="E496" s="15">
        <f t="shared" si="39"/>
        <v>0</v>
      </c>
      <c r="F496" s="14"/>
      <c r="G496" s="15"/>
      <c r="H496" s="14"/>
      <c r="I496" s="15">
        <f t="shared" si="40"/>
        <v>0</v>
      </c>
      <c r="J496" s="14"/>
      <c r="K496" s="16"/>
    </row>
    <row r="497" spans="1:11" ht="12.6" customHeight="1" x14ac:dyDescent="0.2">
      <c r="A497" s="13"/>
      <c r="B497" s="19"/>
      <c r="C497" s="15"/>
      <c r="D497" s="14"/>
      <c r="E497" s="15">
        <f t="shared" si="39"/>
        <v>0</v>
      </c>
      <c r="F497" s="14"/>
      <c r="G497" s="15"/>
      <c r="H497" s="14"/>
      <c r="I497" s="15">
        <f t="shared" si="40"/>
        <v>0</v>
      </c>
      <c r="J497" s="14"/>
      <c r="K497" s="16"/>
    </row>
    <row r="498" spans="1:11" ht="12.6" customHeight="1" x14ac:dyDescent="0.2">
      <c r="A498" s="13"/>
      <c r="B498" s="19"/>
      <c r="C498" s="15"/>
      <c r="D498" s="14"/>
      <c r="E498" s="15">
        <f t="shared" si="39"/>
        <v>0</v>
      </c>
      <c r="F498" s="14"/>
      <c r="G498" s="15"/>
      <c r="H498" s="14"/>
      <c r="I498" s="15">
        <f t="shared" si="40"/>
        <v>0</v>
      </c>
      <c r="J498" s="14"/>
      <c r="K498" s="13"/>
    </row>
    <row r="499" spans="1:11" ht="12.6" customHeight="1" x14ac:dyDescent="0.2">
      <c r="A499" s="13"/>
      <c r="B499" s="19"/>
      <c r="C499" s="15"/>
      <c r="D499" s="14"/>
      <c r="E499" s="15">
        <f t="shared" si="39"/>
        <v>0</v>
      </c>
      <c r="F499" s="14"/>
      <c r="G499" s="15"/>
      <c r="H499" s="14"/>
      <c r="I499" s="15">
        <f t="shared" si="40"/>
        <v>0</v>
      </c>
      <c r="J499" s="14"/>
      <c r="K499" s="13"/>
    </row>
    <row r="500" spans="1:11" ht="12.6" customHeight="1" x14ac:dyDescent="0.2">
      <c r="A500" s="13"/>
      <c r="B500" s="19"/>
      <c r="C500" s="15"/>
      <c r="D500" s="14"/>
      <c r="E500" s="15">
        <f t="shared" si="39"/>
        <v>0</v>
      </c>
      <c r="F500" s="14"/>
      <c r="G500" s="15"/>
      <c r="H500" s="14"/>
      <c r="I500" s="15">
        <f t="shared" si="40"/>
        <v>0</v>
      </c>
      <c r="J500" s="14"/>
      <c r="K500" s="13"/>
    </row>
    <row r="501" spans="1:11" ht="12.6" customHeight="1" x14ac:dyDescent="0.2">
      <c r="A501" s="13"/>
      <c r="B501" s="19"/>
      <c r="C501" s="15"/>
      <c r="D501" s="14"/>
      <c r="E501" s="15">
        <f t="shared" si="39"/>
        <v>0</v>
      </c>
      <c r="F501" s="14"/>
      <c r="G501" s="15"/>
      <c r="H501" s="14"/>
      <c r="I501" s="15">
        <f t="shared" si="40"/>
        <v>0</v>
      </c>
      <c r="J501" s="14"/>
      <c r="K501" s="13"/>
    </row>
    <row r="502" spans="1:11" ht="12.6" customHeight="1" x14ac:dyDescent="0.2">
      <c r="A502" s="13"/>
      <c r="B502" s="19"/>
      <c r="C502" s="15"/>
      <c r="D502" s="14"/>
      <c r="E502" s="15">
        <f t="shared" si="39"/>
        <v>0</v>
      </c>
      <c r="F502" s="14"/>
      <c r="G502" s="15"/>
      <c r="H502" s="14"/>
      <c r="I502" s="15">
        <f t="shared" si="40"/>
        <v>0</v>
      </c>
      <c r="J502" s="14"/>
      <c r="K502" s="13"/>
    </row>
    <row r="503" spans="1:11" ht="12.6" customHeight="1" x14ac:dyDescent="0.2">
      <c r="A503" s="16"/>
      <c r="B503" s="19"/>
      <c r="C503" s="15"/>
      <c r="D503" s="14"/>
      <c r="E503" s="15">
        <f t="shared" si="39"/>
        <v>0</v>
      </c>
      <c r="F503" s="14"/>
      <c r="G503" s="15"/>
      <c r="H503" s="14"/>
      <c r="I503" s="15">
        <f t="shared" si="40"/>
        <v>0</v>
      </c>
      <c r="J503" s="14"/>
      <c r="K503" s="13"/>
    </row>
    <row r="504" spans="1:11" ht="12.6" customHeight="1" x14ac:dyDescent="0.2">
      <c r="A504" s="13"/>
      <c r="B504" s="19"/>
      <c r="C504" s="15"/>
      <c r="D504" s="15"/>
      <c r="E504" s="15">
        <f t="shared" si="39"/>
        <v>0</v>
      </c>
      <c r="F504" s="14"/>
      <c r="G504" s="15"/>
      <c r="H504" s="14"/>
      <c r="I504" s="15">
        <f t="shared" si="40"/>
        <v>0</v>
      </c>
      <c r="J504" s="14"/>
      <c r="K504" s="13"/>
    </row>
    <row r="505" spans="1:11" ht="12.6" customHeight="1" x14ac:dyDescent="0.2">
      <c r="A505" s="13"/>
      <c r="B505" s="19"/>
      <c r="C505" s="15"/>
      <c r="D505" s="14"/>
      <c r="E505" s="15">
        <f t="shared" si="39"/>
        <v>0</v>
      </c>
      <c r="F505" s="14"/>
      <c r="G505" s="15"/>
      <c r="H505" s="14"/>
      <c r="I505" s="15">
        <f t="shared" si="40"/>
        <v>0</v>
      </c>
      <c r="J505" s="14"/>
      <c r="K505" s="16"/>
    </row>
    <row r="506" spans="1:11" ht="12.6" customHeight="1" x14ac:dyDescent="0.2">
      <c r="A506" s="16"/>
      <c r="B506" s="19"/>
      <c r="C506" s="15"/>
      <c r="D506" s="15"/>
      <c r="E506" s="15">
        <f t="shared" si="39"/>
        <v>0</v>
      </c>
      <c r="F506" s="14"/>
      <c r="G506" s="15"/>
      <c r="H506" s="14"/>
      <c r="I506" s="15">
        <f t="shared" si="40"/>
        <v>0</v>
      </c>
      <c r="J506" s="14"/>
      <c r="K506" s="13"/>
    </row>
    <row r="507" spans="1:11" ht="12.6" customHeight="1" x14ac:dyDescent="0.2">
      <c r="A507" s="13"/>
      <c r="B507" s="19"/>
      <c r="C507" s="15"/>
      <c r="D507" s="14"/>
      <c r="E507" s="15">
        <f t="shared" si="39"/>
        <v>0</v>
      </c>
      <c r="F507" s="14"/>
      <c r="G507" s="15"/>
      <c r="H507" s="14"/>
      <c r="I507" s="15">
        <f t="shared" si="40"/>
        <v>0</v>
      </c>
      <c r="J507" s="14"/>
      <c r="K507" s="16"/>
    </row>
    <row r="508" spans="1:11" ht="12.6" customHeight="1" x14ac:dyDescent="0.2">
      <c r="A508" s="13"/>
      <c r="B508" s="19"/>
      <c r="C508" s="15"/>
      <c r="D508" s="14"/>
      <c r="E508" s="15">
        <f t="shared" si="39"/>
        <v>0</v>
      </c>
      <c r="F508" s="14"/>
      <c r="G508" s="15"/>
      <c r="H508" s="14"/>
      <c r="I508" s="15">
        <f t="shared" si="40"/>
        <v>0</v>
      </c>
      <c r="J508" s="14"/>
      <c r="K508" s="13"/>
    </row>
    <row r="509" spans="1:11" ht="12.6" customHeight="1" x14ac:dyDescent="0.2">
      <c r="A509" s="13"/>
      <c r="B509" s="19"/>
      <c r="C509" s="15"/>
      <c r="D509" s="14"/>
      <c r="E509" s="15">
        <f t="shared" si="39"/>
        <v>0</v>
      </c>
      <c r="F509" s="14"/>
      <c r="G509" s="15"/>
      <c r="H509" s="14"/>
      <c r="I509" s="15">
        <f t="shared" si="40"/>
        <v>0</v>
      </c>
      <c r="J509" s="14"/>
      <c r="K509" s="13"/>
    </row>
    <row r="510" spans="1:11" ht="12.6" customHeight="1" x14ac:dyDescent="0.2">
      <c r="A510" s="13"/>
      <c r="B510" s="19"/>
      <c r="C510" s="15"/>
      <c r="D510" s="14"/>
      <c r="E510" s="15">
        <f t="shared" si="39"/>
        <v>0</v>
      </c>
      <c r="F510" s="14"/>
      <c r="G510" s="15"/>
      <c r="H510" s="14"/>
      <c r="I510" s="15">
        <f t="shared" si="40"/>
        <v>0</v>
      </c>
      <c r="J510" s="14"/>
      <c r="K510" s="16"/>
    </row>
    <row r="511" spans="1:11" ht="12.6" customHeight="1" x14ac:dyDescent="0.2">
      <c r="A511" s="13"/>
      <c r="B511" s="19"/>
      <c r="C511" s="15"/>
      <c r="D511" s="14"/>
      <c r="E511" s="15">
        <f t="shared" si="39"/>
        <v>0</v>
      </c>
      <c r="F511" s="14"/>
      <c r="G511" s="15"/>
      <c r="H511" s="14"/>
      <c r="I511" s="15">
        <f t="shared" si="40"/>
        <v>0</v>
      </c>
      <c r="J511" s="14"/>
      <c r="K511" s="16"/>
    </row>
    <row r="512" spans="1:11" ht="12.6" customHeight="1" x14ac:dyDescent="0.2">
      <c r="A512" s="13"/>
      <c r="B512" s="19"/>
      <c r="C512" s="15"/>
      <c r="D512" s="14"/>
      <c r="E512" s="15">
        <f t="shared" si="39"/>
        <v>0</v>
      </c>
      <c r="F512" s="14"/>
      <c r="G512" s="15"/>
      <c r="H512" s="14"/>
      <c r="I512" s="15">
        <f t="shared" si="40"/>
        <v>0</v>
      </c>
      <c r="J512" s="14"/>
      <c r="K512" s="16"/>
    </row>
    <row r="513" spans="1:11" ht="12.6" customHeight="1" x14ac:dyDescent="0.2">
      <c r="A513" s="19"/>
      <c r="B513" s="19"/>
      <c r="C513" s="36">
        <f>SUM(C487:C512)</f>
        <v>0</v>
      </c>
      <c r="D513" s="36">
        <f>SUM(D487:D512)</f>
        <v>0</v>
      </c>
      <c r="E513" s="36"/>
      <c r="F513" s="37"/>
      <c r="G513" s="36">
        <f>SUM(G487:G512)</f>
        <v>0</v>
      </c>
      <c r="H513" s="36">
        <f>SUM(H487:H512)</f>
        <v>0</v>
      </c>
      <c r="I513" s="15"/>
      <c r="J513" s="14"/>
      <c r="K513" s="16"/>
    </row>
    <row r="514" spans="1:11" ht="12.6" customHeight="1" x14ac:dyDescent="0.2">
      <c r="H514" s="27" t="s">
        <v>23</v>
      </c>
      <c r="J514" s="27" t="s">
        <v>31</v>
      </c>
    </row>
    <row r="520" spans="1:11" ht="12.6" customHeight="1" x14ac:dyDescent="0.2">
      <c r="A520" s="102">
        <f>A1</f>
        <v>0</v>
      </c>
      <c r="B520" s="102"/>
      <c r="C520" s="102"/>
      <c r="D520" s="102"/>
      <c r="E520" s="102"/>
      <c r="F520" s="102"/>
      <c r="G520" s="102"/>
      <c r="H520" s="1"/>
      <c r="I520" s="103" t="s">
        <v>0</v>
      </c>
      <c r="J520" s="103"/>
      <c r="K520" s="2">
        <f>K1</f>
        <v>0</v>
      </c>
    </row>
    <row r="522" spans="1:11" ht="12.6" customHeight="1" x14ac:dyDescent="0.2">
      <c r="A522" s="104" t="s">
        <v>1</v>
      </c>
      <c r="B522" s="104" t="s">
        <v>2</v>
      </c>
      <c r="C522" s="107" t="s">
        <v>3</v>
      </c>
      <c r="D522" s="108"/>
      <c r="E522" s="108"/>
      <c r="F522" s="109"/>
      <c r="G522" s="107" t="s">
        <v>4</v>
      </c>
      <c r="H522" s="108"/>
      <c r="I522" s="108"/>
      <c r="J522" s="109"/>
      <c r="K522" s="4"/>
    </row>
    <row r="523" spans="1:11" ht="12.6" customHeight="1" x14ac:dyDescent="0.2">
      <c r="A523" s="105"/>
      <c r="B523" s="105"/>
      <c r="C523" s="94" t="s">
        <v>6</v>
      </c>
      <c r="D523" s="5" t="s">
        <v>7</v>
      </c>
      <c r="E523" s="94" t="s">
        <v>8</v>
      </c>
      <c r="F523" s="6" t="s">
        <v>7</v>
      </c>
      <c r="G523" s="94" t="s">
        <v>6</v>
      </c>
      <c r="H523" s="5" t="s">
        <v>7</v>
      </c>
      <c r="I523" s="94" t="s">
        <v>8</v>
      </c>
      <c r="J523" s="1" t="s">
        <v>7</v>
      </c>
      <c r="K523" s="7"/>
    </row>
    <row r="524" spans="1:11" ht="12.6" customHeight="1" x14ac:dyDescent="0.2">
      <c r="A524" s="105"/>
      <c r="B524" s="105"/>
      <c r="C524" s="95"/>
      <c r="D524" s="8" t="s">
        <v>10</v>
      </c>
      <c r="E524" s="95"/>
      <c r="F524" s="6" t="s">
        <v>10</v>
      </c>
      <c r="G524" s="95"/>
      <c r="H524" s="8" t="s">
        <v>10</v>
      </c>
      <c r="I524" s="95"/>
      <c r="J524" s="1" t="s">
        <v>10</v>
      </c>
      <c r="K524" s="7"/>
    </row>
    <row r="525" spans="1:11" ht="12.6" customHeight="1" x14ac:dyDescent="0.2">
      <c r="A525" s="106"/>
      <c r="B525" s="106"/>
      <c r="C525" s="96"/>
      <c r="D525" s="9" t="s">
        <v>12</v>
      </c>
      <c r="E525" s="96"/>
      <c r="F525" s="10" t="s">
        <v>13</v>
      </c>
      <c r="G525" s="96"/>
      <c r="H525" s="9" t="s">
        <v>12</v>
      </c>
      <c r="I525" s="96"/>
      <c r="J525" s="11" t="s">
        <v>13</v>
      </c>
      <c r="K525" s="12"/>
    </row>
    <row r="526" spans="1:11" ht="12.6" customHeight="1" x14ac:dyDescent="0.2">
      <c r="A526" s="13"/>
      <c r="B526" s="19"/>
      <c r="C526" s="15"/>
      <c r="D526" s="14"/>
      <c r="E526" s="15">
        <f>E512+C526-D526</f>
        <v>0</v>
      </c>
      <c r="F526" s="14"/>
      <c r="G526" s="15"/>
      <c r="H526" s="14"/>
      <c r="I526" s="15">
        <f>I512+G526-H526</f>
        <v>0</v>
      </c>
      <c r="J526" s="14"/>
      <c r="K526" s="16"/>
    </row>
    <row r="527" spans="1:11" ht="12.6" customHeight="1" x14ac:dyDescent="0.2">
      <c r="A527" s="13"/>
      <c r="B527" s="19"/>
      <c r="C527" s="15"/>
      <c r="D527" s="14"/>
      <c r="E527" s="15">
        <f>E526+C527-D527</f>
        <v>0</v>
      </c>
      <c r="F527" s="14"/>
      <c r="G527" s="15"/>
      <c r="H527" s="14"/>
      <c r="I527" s="15">
        <f>I526+G527-H527</f>
        <v>0</v>
      </c>
      <c r="J527" s="14"/>
      <c r="K527" s="13"/>
    </row>
    <row r="528" spans="1:11" ht="12.6" customHeight="1" x14ac:dyDescent="0.2">
      <c r="A528" s="13"/>
      <c r="B528" s="19"/>
      <c r="C528" s="15"/>
      <c r="D528" s="14"/>
      <c r="E528" s="15">
        <f t="shared" ref="E528:E551" si="41">E527+C528-D528</f>
        <v>0</v>
      </c>
      <c r="F528" s="14"/>
      <c r="G528" s="15"/>
      <c r="H528" s="14"/>
      <c r="I528" s="15">
        <f t="shared" ref="I528:I551" si="42">I527+G528-H528</f>
        <v>0</v>
      </c>
      <c r="J528" s="14"/>
      <c r="K528" s="13"/>
    </row>
    <row r="529" spans="1:11" ht="12.6" customHeight="1" x14ac:dyDescent="0.2">
      <c r="A529" s="13"/>
      <c r="B529" s="19"/>
      <c r="C529" s="15"/>
      <c r="D529" s="14"/>
      <c r="E529" s="15">
        <f t="shared" si="41"/>
        <v>0</v>
      </c>
      <c r="F529" s="14"/>
      <c r="G529" s="15"/>
      <c r="H529" s="14"/>
      <c r="I529" s="15">
        <f t="shared" si="42"/>
        <v>0</v>
      </c>
      <c r="J529" s="14"/>
      <c r="K529" s="16"/>
    </row>
    <row r="530" spans="1:11" ht="12.6" customHeight="1" x14ac:dyDescent="0.2">
      <c r="A530" s="13"/>
      <c r="B530" s="19"/>
      <c r="C530" s="15"/>
      <c r="D530" s="14"/>
      <c r="E530" s="15">
        <f t="shared" si="41"/>
        <v>0</v>
      </c>
      <c r="F530" s="14"/>
      <c r="G530" s="15"/>
      <c r="H530" s="14"/>
      <c r="I530" s="15">
        <f t="shared" si="42"/>
        <v>0</v>
      </c>
      <c r="J530" s="14"/>
      <c r="K530" s="13"/>
    </row>
    <row r="531" spans="1:11" ht="12.6" customHeight="1" x14ac:dyDescent="0.2">
      <c r="A531" s="13"/>
      <c r="B531" s="19"/>
      <c r="C531" s="15"/>
      <c r="D531" s="14"/>
      <c r="E531" s="15">
        <f t="shared" si="41"/>
        <v>0</v>
      </c>
      <c r="F531" s="14"/>
      <c r="G531" s="15"/>
      <c r="H531" s="14"/>
      <c r="I531" s="15">
        <f t="shared" si="42"/>
        <v>0</v>
      </c>
      <c r="J531" s="14"/>
      <c r="K531" s="16"/>
    </row>
    <row r="532" spans="1:11" ht="12.6" customHeight="1" x14ac:dyDescent="0.2">
      <c r="A532" s="13"/>
      <c r="B532" s="19"/>
      <c r="C532" s="15"/>
      <c r="D532" s="14"/>
      <c r="E532" s="15">
        <f t="shared" si="41"/>
        <v>0</v>
      </c>
      <c r="F532" s="14"/>
      <c r="G532" s="15"/>
      <c r="H532" s="14"/>
      <c r="I532" s="15">
        <f t="shared" si="42"/>
        <v>0</v>
      </c>
      <c r="J532" s="14"/>
      <c r="K532" s="13"/>
    </row>
    <row r="533" spans="1:11" ht="12.6" customHeight="1" x14ac:dyDescent="0.2">
      <c r="A533" s="13"/>
      <c r="B533" s="19"/>
      <c r="C533" s="15"/>
      <c r="D533" s="14"/>
      <c r="E533" s="15">
        <f t="shared" si="41"/>
        <v>0</v>
      </c>
      <c r="F533" s="14"/>
      <c r="G533" s="15"/>
      <c r="H533" s="14"/>
      <c r="I533" s="15">
        <f t="shared" si="42"/>
        <v>0</v>
      </c>
      <c r="J533" s="14"/>
      <c r="K533" s="13"/>
    </row>
    <row r="534" spans="1:11" ht="12.6" customHeight="1" x14ac:dyDescent="0.2">
      <c r="A534" s="13"/>
      <c r="B534" s="19"/>
      <c r="C534" s="15"/>
      <c r="D534" s="14"/>
      <c r="E534" s="15">
        <f t="shared" si="41"/>
        <v>0</v>
      </c>
      <c r="F534" s="14"/>
      <c r="G534" s="15"/>
      <c r="H534" s="14"/>
      <c r="I534" s="15">
        <f t="shared" si="42"/>
        <v>0</v>
      </c>
      <c r="J534" s="14"/>
      <c r="K534" s="16"/>
    </row>
    <row r="535" spans="1:11" ht="12.6" customHeight="1" x14ac:dyDescent="0.2">
      <c r="A535" s="13"/>
      <c r="B535" s="19"/>
      <c r="C535" s="15"/>
      <c r="D535" s="14"/>
      <c r="E535" s="15">
        <f t="shared" si="41"/>
        <v>0</v>
      </c>
      <c r="F535" s="14"/>
      <c r="G535" s="15"/>
      <c r="H535" s="14"/>
      <c r="I535" s="15">
        <f t="shared" si="42"/>
        <v>0</v>
      </c>
      <c r="J535" s="14"/>
      <c r="K535" s="16"/>
    </row>
    <row r="536" spans="1:11" ht="12.6" customHeight="1" x14ac:dyDescent="0.2">
      <c r="A536" s="13"/>
      <c r="B536" s="19"/>
      <c r="C536" s="15"/>
      <c r="D536" s="14"/>
      <c r="E536" s="15">
        <f t="shared" si="41"/>
        <v>0</v>
      </c>
      <c r="F536" s="14"/>
      <c r="G536" s="15"/>
      <c r="H536" s="14"/>
      <c r="I536" s="15">
        <f t="shared" si="42"/>
        <v>0</v>
      </c>
      <c r="J536" s="14"/>
      <c r="K536" s="16"/>
    </row>
    <row r="537" spans="1:11" ht="12.6" customHeight="1" x14ac:dyDescent="0.2">
      <c r="A537" s="13"/>
      <c r="B537" s="19"/>
      <c r="C537" s="15"/>
      <c r="D537" s="14"/>
      <c r="E537" s="15">
        <f t="shared" si="41"/>
        <v>0</v>
      </c>
      <c r="F537" s="14"/>
      <c r="G537" s="15"/>
      <c r="H537" s="14"/>
      <c r="I537" s="15">
        <f t="shared" si="42"/>
        <v>0</v>
      </c>
      <c r="J537" s="14"/>
      <c r="K537" s="13"/>
    </row>
    <row r="538" spans="1:11" ht="12.6" customHeight="1" x14ac:dyDescent="0.2">
      <c r="A538" s="13"/>
      <c r="B538" s="19"/>
      <c r="C538" s="15"/>
      <c r="D538" s="14"/>
      <c r="E538" s="15">
        <f t="shared" si="41"/>
        <v>0</v>
      </c>
      <c r="F538" s="14"/>
      <c r="G538" s="15"/>
      <c r="H538" s="14"/>
      <c r="I538" s="15">
        <f t="shared" si="42"/>
        <v>0</v>
      </c>
      <c r="J538" s="14"/>
      <c r="K538" s="13"/>
    </row>
    <row r="539" spans="1:11" ht="12.6" customHeight="1" x14ac:dyDescent="0.2">
      <c r="A539" s="13"/>
      <c r="B539" s="19"/>
      <c r="C539" s="15"/>
      <c r="D539" s="14"/>
      <c r="E539" s="15">
        <f t="shared" si="41"/>
        <v>0</v>
      </c>
      <c r="F539" s="14"/>
      <c r="G539" s="15"/>
      <c r="H539" s="14"/>
      <c r="I539" s="15">
        <f t="shared" si="42"/>
        <v>0</v>
      </c>
      <c r="J539" s="14"/>
      <c r="K539" s="13"/>
    </row>
    <row r="540" spans="1:11" ht="12.6" customHeight="1" x14ac:dyDescent="0.2">
      <c r="A540" s="13"/>
      <c r="B540" s="19"/>
      <c r="C540" s="15"/>
      <c r="D540" s="14"/>
      <c r="E540" s="15">
        <f t="shared" si="41"/>
        <v>0</v>
      </c>
      <c r="F540" s="14"/>
      <c r="G540" s="15"/>
      <c r="H540" s="14"/>
      <c r="I540" s="15">
        <f t="shared" si="42"/>
        <v>0</v>
      </c>
      <c r="J540" s="14"/>
      <c r="K540" s="13"/>
    </row>
    <row r="541" spans="1:11" ht="12.6" customHeight="1" x14ac:dyDescent="0.2">
      <c r="A541" s="13"/>
      <c r="B541" s="19"/>
      <c r="C541" s="15"/>
      <c r="D541" s="14"/>
      <c r="E541" s="15">
        <f t="shared" si="41"/>
        <v>0</v>
      </c>
      <c r="F541" s="14"/>
      <c r="G541" s="15"/>
      <c r="H541" s="14"/>
      <c r="I541" s="15">
        <f t="shared" si="42"/>
        <v>0</v>
      </c>
      <c r="J541" s="14"/>
      <c r="K541" s="13"/>
    </row>
    <row r="542" spans="1:11" ht="12.6" customHeight="1" x14ac:dyDescent="0.2">
      <c r="A542" s="16"/>
      <c r="B542" s="19"/>
      <c r="C542" s="15"/>
      <c r="D542" s="14"/>
      <c r="E542" s="15">
        <f t="shared" si="41"/>
        <v>0</v>
      </c>
      <c r="F542" s="14"/>
      <c r="G542" s="15"/>
      <c r="H542" s="14"/>
      <c r="I542" s="15">
        <f t="shared" si="42"/>
        <v>0</v>
      </c>
      <c r="J542" s="14"/>
      <c r="K542" s="13"/>
    </row>
    <row r="543" spans="1:11" ht="12.6" customHeight="1" x14ac:dyDescent="0.2">
      <c r="A543" s="13"/>
      <c r="B543" s="19"/>
      <c r="C543" s="15"/>
      <c r="D543" s="15"/>
      <c r="E543" s="15">
        <f t="shared" si="41"/>
        <v>0</v>
      </c>
      <c r="F543" s="14"/>
      <c r="G543" s="15"/>
      <c r="H543" s="14"/>
      <c r="I543" s="15">
        <f t="shared" si="42"/>
        <v>0</v>
      </c>
      <c r="J543" s="14"/>
      <c r="K543" s="13"/>
    </row>
    <row r="544" spans="1:11" ht="12.6" customHeight="1" x14ac:dyDescent="0.2">
      <c r="A544" s="13"/>
      <c r="B544" s="19"/>
      <c r="C544" s="15"/>
      <c r="D544" s="14"/>
      <c r="E544" s="15">
        <f t="shared" si="41"/>
        <v>0</v>
      </c>
      <c r="F544" s="14"/>
      <c r="G544" s="15"/>
      <c r="H544" s="14"/>
      <c r="I544" s="15">
        <f t="shared" si="42"/>
        <v>0</v>
      </c>
      <c r="J544" s="14"/>
      <c r="K544" s="16"/>
    </row>
    <row r="545" spans="1:11" ht="12.6" customHeight="1" x14ac:dyDescent="0.2">
      <c r="A545" s="16"/>
      <c r="B545" s="19"/>
      <c r="C545" s="15"/>
      <c r="D545" s="15"/>
      <c r="E545" s="15">
        <f t="shared" si="41"/>
        <v>0</v>
      </c>
      <c r="F545" s="14"/>
      <c r="G545" s="15"/>
      <c r="H545" s="14"/>
      <c r="I545" s="15">
        <f t="shared" si="42"/>
        <v>0</v>
      </c>
      <c r="J545" s="14"/>
      <c r="K545" s="13"/>
    </row>
    <row r="546" spans="1:11" ht="12.6" customHeight="1" x14ac:dyDescent="0.2">
      <c r="A546" s="13"/>
      <c r="B546" s="19"/>
      <c r="C546" s="15"/>
      <c r="D546" s="14"/>
      <c r="E546" s="15">
        <f t="shared" si="41"/>
        <v>0</v>
      </c>
      <c r="F546" s="14"/>
      <c r="G546" s="15"/>
      <c r="H546" s="14"/>
      <c r="I546" s="15">
        <f t="shared" si="42"/>
        <v>0</v>
      </c>
      <c r="J546" s="14"/>
      <c r="K546" s="16"/>
    </row>
    <row r="547" spans="1:11" ht="12.6" customHeight="1" x14ac:dyDescent="0.2">
      <c r="A547" s="13"/>
      <c r="B547" s="19"/>
      <c r="C547" s="15"/>
      <c r="D547" s="14"/>
      <c r="E547" s="15">
        <f t="shared" si="41"/>
        <v>0</v>
      </c>
      <c r="F547" s="14"/>
      <c r="G547" s="15"/>
      <c r="H547" s="14"/>
      <c r="I547" s="15">
        <f t="shared" si="42"/>
        <v>0</v>
      </c>
      <c r="J547" s="14"/>
      <c r="K547" s="13"/>
    </row>
    <row r="548" spans="1:11" ht="12.6" customHeight="1" x14ac:dyDescent="0.2">
      <c r="A548" s="13"/>
      <c r="B548" s="19"/>
      <c r="C548" s="15"/>
      <c r="D548" s="14"/>
      <c r="E548" s="15">
        <f t="shared" si="41"/>
        <v>0</v>
      </c>
      <c r="F548" s="14"/>
      <c r="G548" s="15"/>
      <c r="H548" s="14"/>
      <c r="I548" s="15">
        <f t="shared" si="42"/>
        <v>0</v>
      </c>
      <c r="J548" s="14"/>
      <c r="K548" s="13"/>
    </row>
    <row r="549" spans="1:11" ht="12.6" customHeight="1" x14ac:dyDescent="0.2">
      <c r="A549" s="13"/>
      <c r="B549" s="19"/>
      <c r="C549" s="15"/>
      <c r="D549" s="14"/>
      <c r="E549" s="15">
        <f t="shared" si="41"/>
        <v>0</v>
      </c>
      <c r="F549" s="14"/>
      <c r="G549" s="15"/>
      <c r="H549" s="14"/>
      <c r="I549" s="15">
        <f t="shared" si="42"/>
        <v>0</v>
      </c>
      <c r="J549" s="14"/>
      <c r="K549" s="13"/>
    </row>
    <row r="550" spans="1:11" ht="12.6" customHeight="1" x14ac:dyDescent="0.2">
      <c r="A550" s="13"/>
      <c r="B550" s="19"/>
      <c r="C550" s="15"/>
      <c r="D550" s="14"/>
      <c r="E550" s="15">
        <f t="shared" si="41"/>
        <v>0</v>
      </c>
      <c r="F550" s="14"/>
      <c r="G550" s="15"/>
      <c r="H550" s="14"/>
      <c r="I550" s="15">
        <f t="shared" si="42"/>
        <v>0</v>
      </c>
      <c r="J550" s="14"/>
      <c r="K550" s="16"/>
    </row>
    <row r="551" spans="1:11" ht="12.6" customHeight="1" x14ac:dyDescent="0.2">
      <c r="A551" s="13"/>
      <c r="B551" s="19"/>
      <c r="C551" s="15"/>
      <c r="D551" s="14"/>
      <c r="E551" s="15">
        <f t="shared" si="41"/>
        <v>0</v>
      </c>
      <c r="F551" s="14"/>
      <c r="G551" s="15"/>
      <c r="H551" s="14"/>
      <c r="I551" s="15">
        <f t="shared" si="42"/>
        <v>0</v>
      </c>
      <c r="J551" s="14"/>
      <c r="K551" s="16"/>
    </row>
    <row r="552" spans="1:11" ht="12.6" customHeight="1" x14ac:dyDescent="0.2">
      <c r="A552" s="19"/>
      <c r="B552" s="19"/>
      <c r="C552" s="36">
        <f>SUM(C526:C551)</f>
        <v>0</v>
      </c>
      <c r="D552" s="36">
        <f>SUM(D526:D551)</f>
        <v>0</v>
      </c>
      <c r="E552" s="36"/>
      <c r="F552" s="37"/>
      <c r="G552" s="36">
        <f>SUM(G526:G551)</f>
        <v>0</v>
      </c>
      <c r="H552" s="36">
        <f>SUM(H526:H551)</f>
        <v>0</v>
      </c>
      <c r="I552" s="15"/>
      <c r="J552" s="14"/>
      <c r="K552" s="16"/>
    </row>
    <row r="553" spans="1:11" ht="12.6" customHeight="1" x14ac:dyDescent="0.2">
      <c r="H553" s="27" t="s">
        <v>23</v>
      </c>
      <c r="J553" s="27" t="s">
        <v>32</v>
      </c>
    </row>
    <row r="556" spans="1:11" ht="12.6" customHeight="1" x14ac:dyDescent="0.2">
      <c r="C556" s="26">
        <f>SUM(C552+C513+C478+C439+C404+C365+C330+C291+C256+C217+C182+C143+C108+C69+C34)</f>
        <v>0</v>
      </c>
      <c r="D556" s="46">
        <f>SUM(D552+D513+D478+D439+D404+D365+D330+D291+D256+D217+D182+D143+D108+D69+D34)</f>
        <v>0</v>
      </c>
      <c r="E556" s="46"/>
      <c r="G556" s="26">
        <f>SUM(G552+G513+G478+G439+G404+G365+G330+G291+G256+G217+G182+G143+G108+G69+G34)</f>
        <v>0</v>
      </c>
      <c r="H556" s="46">
        <f>SUM(H552+H513+H478+H439+H404+H365+H330+H291+H256+H217+H182+H143+H108+H69+H34)</f>
        <v>0</v>
      </c>
      <c r="I556" s="46"/>
      <c r="K556" s="28">
        <v>319.875</v>
      </c>
    </row>
    <row r="557" spans="1:11" ht="12.6" customHeight="1" x14ac:dyDescent="0.2">
      <c r="K557" s="47">
        <f>G556-K556</f>
        <v>-319.875</v>
      </c>
    </row>
    <row r="566" spans="2:11" ht="12.6" customHeight="1" x14ac:dyDescent="0.2">
      <c r="B566" s="3" t="s">
        <v>33</v>
      </c>
      <c r="E566" s="46"/>
      <c r="F566" s="48">
        <f>C556</f>
        <v>0</v>
      </c>
      <c r="H566" s="48">
        <f>F566</f>
        <v>0</v>
      </c>
    </row>
    <row r="567" spans="2:11" ht="12.6" customHeight="1" x14ac:dyDescent="0.2">
      <c r="B567" s="3" t="s">
        <v>34</v>
      </c>
      <c r="E567" s="46"/>
      <c r="F567" s="48">
        <f>D556</f>
        <v>0</v>
      </c>
      <c r="H567" s="48">
        <f>H556</f>
        <v>0</v>
      </c>
    </row>
    <row r="568" spans="2:11" ht="12.6" customHeight="1" x14ac:dyDescent="0.2">
      <c r="B568" s="3" t="s">
        <v>35</v>
      </c>
      <c r="E568" s="46"/>
      <c r="F568" s="49"/>
      <c r="G568" s="50"/>
      <c r="H568" s="49"/>
    </row>
    <row r="569" spans="2:11" ht="12.6" customHeight="1" thickBot="1" x14ac:dyDescent="0.25">
      <c r="B569" s="3" t="s">
        <v>36</v>
      </c>
      <c r="E569" s="46"/>
      <c r="F569" s="51"/>
      <c r="G569" s="52"/>
      <c r="H569" s="51"/>
    </row>
    <row r="570" spans="2:11" ht="12.6" customHeight="1" thickTop="1" x14ac:dyDescent="0.2">
      <c r="B570" s="3" t="s">
        <v>37</v>
      </c>
      <c r="E570" s="46"/>
      <c r="F570" s="53">
        <f>SUM(F566-F567)</f>
        <v>0</v>
      </c>
      <c r="G570" s="50"/>
      <c r="H570" s="53">
        <f>SUM(H566-H567)</f>
        <v>0</v>
      </c>
      <c r="I570" s="54">
        <f>SUM(H570+F570)</f>
        <v>0</v>
      </c>
    </row>
    <row r="571" spans="2:11" ht="12.6" customHeight="1" x14ac:dyDescent="0.2">
      <c r="E571" s="46"/>
    </row>
    <row r="572" spans="2:11" ht="12.6" customHeight="1" x14ac:dyDescent="0.2">
      <c r="B572" s="1" t="s">
        <v>38</v>
      </c>
      <c r="C572" s="97" t="s">
        <v>39</v>
      </c>
      <c r="D572" s="97"/>
      <c r="E572" s="98" t="s">
        <v>40</v>
      </c>
      <c r="F572" s="98"/>
      <c r="H572" s="99" t="s">
        <v>41</v>
      </c>
      <c r="I572" s="99"/>
      <c r="J572" s="99"/>
    </row>
    <row r="573" spans="2:11" ht="12.6" customHeight="1" thickBot="1" x14ac:dyDescent="0.25">
      <c r="B573" s="55">
        <v>15971</v>
      </c>
      <c r="C573" s="97">
        <f>I570</f>
        <v>0</v>
      </c>
      <c r="D573" s="97"/>
      <c r="E573" s="100">
        <v>4.8192699999999998E-2</v>
      </c>
      <c r="F573" s="100"/>
      <c r="H573" s="101">
        <f>B573*C573*E573</f>
        <v>0</v>
      </c>
      <c r="I573" s="101"/>
      <c r="J573" s="101"/>
      <c r="K573" s="56"/>
    </row>
    <row r="574" spans="2:11" ht="12.6" customHeight="1" thickTop="1" x14ac:dyDescent="0.2"/>
  </sheetData>
  <mergeCells count="157">
    <mergeCell ref="I523:I525"/>
    <mergeCell ref="C572:D572"/>
    <mergeCell ref="E572:F572"/>
    <mergeCell ref="H572:J572"/>
    <mergeCell ref="C573:D573"/>
    <mergeCell ref="E573:F573"/>
    <mergeCell ref="H573:J573"/>
    <mergeCell ref="I484:I486"/>
    <mergeCell ref="A520:G520"/>
    <mergeCell ref="I520:J520"/>
    <mergeCell ref="A522:A525"/>
    <mergeCell ref="B522:B525"/>
    <mergeCell ref="C522:F522"/>
    <mergeCell ref="G522:J522"/>
    <mergeCell ref="C523:C525"/>
    <mergeCell ref="E523:E525"/>
    <mergeCell ref="G523:G525"/>
    <mergeCell ref="A481:G481"/>
    <mergeCell ref="I481:J481"/>
    <mergeCell ref="A483:A486"/>
    <mergeCell ref="B483:B486"/>
    <mergeCell ref="C483:F483"/>
    <mergeCell ref="G483:J483"/>
    <mergeCell ref="C484:C486"/>
    <mergeCell ref="E484:E486"/>
    <mergeCell ref="G484:G486"/>
    <mergeCell ref="A441:C441"/>
    <mergeCell ref="A446:G446"/>
    <mergeCell ref="I446:J446"/>
    <mergeCell ref="A448:A451"/>
    <mergeCell ref="B448:B451"/>
    <mergeCell ref="C448:F448"/>
    <mergeCell ref="G448:J448"/>
    <mergeCell ref="C449:C451"/>
    <mergeCell ref="E449:E451"/>
    <mergeCell ref="G449:G451"/>
    <mergeCell ref="I449:I451"/>
    <mergeCell ref="A407:G407"/>
    <mergeCell ref="I407:J407"/>
    <mergeCell ref="A409:A412"/>
    <mergeCell ref="B409:B412"/>
    <mergeCell ref="C409:F409"/>
    <mergeCell ref="G409:J409"/>
    <mergeCell ref="C410:C412"/>
    <mergeCell ref="E410:E412"/>
    <mergeCell ref="G410:G412"/>
    <mergeCell ref="I410:I412"/>
    <mergeCell ref="A372:G372"/>
    <mergeCell ref="I372:J372"/>
    <mergeCell ref="A374:A377"/>
    <mergeCell ref="B374:B377"/>
    <mergeCell ref="C374:F374"/>
    <mergeCell ref="G374:J374"/>
    <mergeCell ref="C375:C377"/>
    <mergeCell ref="E375:E377"/>
    <mergeCell ref="G375:G377"/>
    <mergeCell ref="I375:I377"/>
    <mergeCell ref="A333:G333"/>
    <mergeCell ref="I333:J333"/>
    <mergeCell ref="A335:A338"/>
    <mergeCell ref="B335:B338"/>
    <mergeCell ref="C335:F335"/>
    <mergeCell ref="G335:J335"/>
    <mergeCell ref="C336:C338"/>
    <mergeCell ref="E336:E338"/>
    <mergeCell ref="G336:G338"/>
    <mergeCell ref="I336:I338"/>
    <mergeCell ref="A298:G298"/>
    <mergeCell ref="I298:J298"/>
    <mergeCell ref="A300:A303"/>
    <mergeCell ref="B300:B303"/>
    <mergeCell ref="C300:F300"/>
    <mergeCell ref="G300:J300"/>
    <mergeCell ref="C301:C303"/>
    <mergeCell ref="E301:E303"/>
    <mergeCell ref="G301:G303"/>
    <mergeCell ref="I301:I303"/>
    <mergeCell ref="A259:G259"/>
    <mergeCell ref="I259:J259"/>
    <mergeCell ref="A261:A264"/>
    <mergeCell ref="B261:B264"/>
    <mergeCell ref="C261:F261"/>
    <mergeCell ref="G261:J261"/>
    <mergeCell ref="C262:C264"/>
    <mergeCell ref="E262:E264"/>
    <mergeCell ref="G262:G264"/>
    <mergeCell ref="I262:I264"/>
    <mergeCell ref="A224:G224"/>
    <mergeCell ref="I224:J224"/>
    <mergeCell ref="A226:A229"/>
    <mergeCell ref="B226:B229"/>
    <mergeCell ref="C226:F226"/>
    <mergeCell ref="G226:J226"/>
    <mergeCell ref="C227:C229"/>
    <mergeCell ref="E227:E229"/>
    <mergeCell ref="G227:G229"/>
    <mergeCell ref="I227:I229"/>
    <mergeCell ref="A185:G185"/>
    <mergeCell ref="I185:J185"/>
    <mergeCell ref="A187:A190"/>
    <mergeCell ref="B187:B190"/>
    <mergeCell ref="C187:F187"/>
    <mergeCell ref="G187:J187"/>
    <mergeCell ref="C188:C190"/>
    <mergeCell ref="E188:E190"/>
    <mergeCell ref="G188:G190"/>
    <mergeCell ref="I188:I190"/>
    <mergeCell ref="A150:G150"/>
    <mergeCell ref="I150:J150"/>
    <mergeCell ref="A152:A155"/>
    <mergeCell ref="B152:B155"/>
    <mergeCell ref="C152:F152"/>
    <mergeCell ref="G152:J152"/>
    <mergeCell ref="C153:C155"/>
    <mergeCell ref="E153:E155"/>
    <mergeCell ref="G153:G155"/>
    <mergeCell ref="I153:I155"/>
    <mergeCell ref="A111:G111"/>
    <mergeCell ref="I111:J111"/>
    <mergeCell ref="A113:A116"/>
    <mergeCell ref="B113:B116"/>
    <mergeCell ref="C113:F113"/>
    <mergeCell ref="G113:J113"/>
    <mergeCell ref="C114:C116"/>
    <mergeCell ref="E114:E116"/>
    <mergeCell ref="G114:G116"/>
    <mergeCell ref="I114:I116"/>
    <mergeCell ref="A76:G76"/>
    <mergeCell ref="I76:J76"/>
    <mergeCell ref="A78:A81"/>
    <mergeCell ref="B78:B81"/>
    <mergeCell ref="C78:F78"/>
    <mergeCell ref="G78:J78"/>
    <mergeCell ref="C79:C81"/>
    <mergeCell ref="E79:E81"/>
    <mergeCell ref="G79:G81"/>
    <mergeCell ref="I79:I81"/>
    <mergeCell ref="A37:G37"/>
    <mergeCell ref="I37:J37"/>
    <mergeCell ref="A39:A42"/>
    <mergeCell ref="B39:B42"/>
    <mergeCell ref="C39:F39"/>
    <mergeCell ref="G39:J39"/>
    <mergeCell ref="C40:C42"/>
    <mergeCell ref="E40:E42"/>
    <mergeCell ref="G40:G42"/>
    <mergeCell ref="I40:I42"/>
    <mergeCell ref="A1:G1"/>
    <mergeCell ref="I1:J1"/>
    <mergeCell ref="A3:A6"/>
    <mergeCell ref="B3:B6"/>
    <mergeCell ref="C3:F3"/>
    <mergeCell ref="G3:J3"/>
    <mergeCell ref="C4:C6"/>
    <mergeCell ref="E4:E6"/>
    <mergeCell ref="G4:G6"/>
    <mergeCell ref="I4:I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workbookViewId="0">
      <selection activeCell="H12" sqref="H12"/>
    </sheetView>
  </sheetViews>
  <sheetFormatPr defaultColWidth="9.21875" defaultRowHeight="23.4" x14ac:dyDescent="0.45"/>
  <cols>
    <col min="1" max="1" width="4.77734375" style="76" bestFit="1" customWidth="1"/>
    <col min="2" max="2" width="16.77734375" style="77" bestFit="1" customWidth="1"/>
    <col min="3" max="3" width="1.77734375" style="77" customWidth="1"/>
    <col min="4" max="4" width="4.77734375" style="76" bestFit="1" customWidth="1"/>
    <col min="5" max="5" width="16.77734375" style="77" bestFit="1" customWidth="1"/>
    <col min="6" max="6" width="1.77734375" style="78" customWidth="1"/>
    <col min="7" max="7" width="4.21875" style="81" customWidth="1"/>
    <col min="8" max="8" width="20.21875" style="77" customWidth="1"/>
    <col min="9" max="16384" width="9.21875" style="77"/>
  </cols>
  <sheetData>
    <row r="1" spans="1:8" x14ac:dyDescent="0.45">
      <c r="A1" s="111" t="s">
        <v>793</v>
      </c>
      <c r="B1" s="111"/>
      <c r="C1" s="111"/>
      <c r="D1" s="111"/>
      <c r="E1" s="111"/>
      <c r="F1" s="111"/>
      <c r="G1" s="111" t="s">
        <v>794</v>
      </c>
      <c r="H1" s="111"/>
    </row>
    <row r="2" spans="1:8" x14ac:dyDescent="0.45">
      <c r="A2" s="79">
        <v>1</v>
      </c>
      <c r="B2" s="83">
        <v>2.0833000000000002E-3</v>
      </c>
      <c r="C2" s="80">
        <v>2.0833000000000002E-3</v>
      </c>
      <c r="D2" s="79">
        <v>31</v>
      </c>
      <c r="E2" s="83">
        <f t="shared" ref="E2:E30" si="0">SUM(F2*D2)</f>
        <v>6.4582300000000009E-2</v>
      </c>
      <c r="F2" s="80">
        <v>2.0833000000000002E-3</v>
      </c>
      <c r="G2" s="79">
        <v>1</v>
      </c>
      <c r="H2" s="83">
        <v>0.125</v>
      </c>
    </row>
    <row r="3" spans="1:8" x14ac:dyDescent="0.45">
      <c r="A3" s="79">
        <v>2</v>
      </c>
      <c r="B3" s="83">
        <f>SUM(B2*A3)</f>
        <v>4.1666000000000003E-3</v>
      </c>
      <c r="C3" s="80">
        <v>2.0833000000000002E-3</v>
      </c>
      <c r="D3" s="79">
        <v>32</v>
      </c>
      <c r="E3" s="83">
        <f t="shared" si="0"/>
        <v>6.6665600000000005E-2</v>
      </c>
      <c r="F3" s="80">
        <v>2.0833000000000002E-3</v>
      </c>
      <c r="G3" s="79">
        <v>2</v>
      </c>
      <c r="H3" s="83">
        <f>SUM(H2*G3)</f>
        <v>0.25</v>
      </c>
    </row>
    <row r="4" spans="1:8" x14ac:dyDescent="0.45">
      <c r="A4" s="79">
        <v>3</v>
      </c>
      <c r="B4" s="83">
        <f>SUM(B2*A4)</f>
        <v>6.2499000000000009E-3</v>
      </c>
      <c r="C4" s="80">
        <v>2.0833000000000002E-3</v>
      </c>
      <c r="D4" s="79">
        <v>33</v>
      </c>
      <c r="E4" s="83">
        <f t="shared" si="0"/>
        <v>6.8748900000000002E-2</v>
      </c>
      <c r="F4" s="80">
        <v>2.0833000000000002E-3</v>
      </c>
      <c r="G4" s="79">
        <v>3</v>
      </c>
      <c r="H4" s="83">
        <f>SUM(H2*G4)</f>
        <v>0.375</v>
      </c>
    </row>
    <row r="5" spans="1:8" x14ac:dyDescent="0.45">
      <c r="A5" s="79">
        <v>4</v>
      </c>
      <c r="B5" s="83">
        <f>SUM(B2*A5)</f>
        <v>8.3332000000000007E-3</v>
      </c>
      <c r="C5" s="80">
        <v>2.0833000000000002E-3</v>
      </c>
      <c r="D5" s="79">
        <v>34</v>
      </c>
      <c r="E5" s="83">
        <f t="shared" si="0"/>
        <v>7.0832200000000012E-2</v>
      </c>
      <c r="F5" s="80">
        <v>2.0833000000000002E-3</v>
      </c>
      <c r="G5" s="79">
        <v>4</v>
      </c>
      <c r="H5" s="83">
        <f>SUM(H2*G5)</f>
        <v>0.5</v>
      </c>
    </row>
    <row r="6" spans="1:8" x14ac:dyDescent="0.45">
      <c r="A6" s="79">
        <v>5</v>
      </c>
      <c r="B6" s="83">
        <f>SUM(B2*A6)</f>
        <v>1.04165E-2</v>
      </c>
      <c r="C6" s="80">
        <v>2.0833000000000002E-3</v>
      </c>
      <c r="D6" s="79">
        <v>35</v>
      </c>
      <c r="E6" s="83">
        <f t="shared" si="0"/>
        <v>7.2915500000000008E-2</v>
      </c>
      <c r="F6" s="80">
        <v>2.0833000000000002E-3</v>
      </c>
      <c r="G6" s="79">
        <v>5</v>
      </c>
      <c r="H6" s="83">
        <f>SUM(H2*G6)</f>
        <v>0.625</v>
      </c>
    </row>
    <row r="7" spans="1:8" x14ac:dyDescent="0.45">
      <c r="A7" s="79">
        <v>6</v>
      </c>
      <c r="B7" s="83">
        <f>SUM(B2*A7)</f>
        <v>1.2499800000000002E-2</v>
      </c>
      <c r="C7" s="80">
        <v>2.0833000000000002E-3</v>
      </c>
      <c r="D7" s="79">
        <v>36</v>
      </c>
      <c r="E7" s="83">
        <f t="shared" si="0"/>
        <v>7.4998800000000004E-2</v>
      </c>
      <c r="F7" s="80">
        <v>2.0833000000000002E-3</v>
      </c>
      <c r="G7" s="79">
        <v>6</v>
      </c>
      <c r="H7" s="83">
        <f>SUM(H2*G7)</f>
        <v>0.75</v>
      </c>
    </row>
    <row r="8" spans="1:8" x14ac:dyDescent="0.45">
      <c r="A8" s="79">
        <v>7</v>
      </c>
      <c r="B8" s="83">
        <f>SUM(B2*A8)</f>
        <v>1.4583100000000002E-2</v>
      </c>
      <c r="C8" s="80">
        <v>2.0833000000000002E-3</v>
      </c>
      <c r="D8" s="79">
        <v>37</v>
      </c>
      <c r="E8" s="83">
        <f t="shared" si="0"/>
        <v>7.7082100000000001E-2</v>
      </c>
      <c r="F8" s="80">
        <v>2.0833000000000002E-3</v>
      </c>
      <c r="G8" s="79">
        <v>7</v>
      </c>
      <c r="H8" s="83">
        <f>SUM(H2*G8)</f>
        <v>0.875</v>
      </c>
    </row>
    <row r="9" spans="1:8" x14ac:dyDescent="0.45">
      <c r="A9" s="79">
        <v>8</v>
      </c>
      <c r="B9" s="83">
        <f>SUM(B2*A9)</f>
        <v>1.6666400000000001E-2</v>
      </c>
      <c r="C9" s="80">
        <v>2.0833000000000002E-3</v>
      </c>
      <c r="D9" s="79">
        <v>38</v>
      </c>
      <c r="E9" s="83">
        <f t="shared" si="0"/>
        <v>7.9165400000000011E-2</v>
      </c>
      <c r="F9" s="80">
        <v>2.0833000000000002E-3</v>
      </c>
    </row>
    <row r="10" spans="1:8" x14ac:dyDescent="0.45">
      <c r="A10" s="79">
        <v>9</v>
      </c>
      <c r="B10" s="83">
        <f>SUM(B2*A10)</f>
        <v>1.8749700000000001E-2</v>
      </c>
      <c r="C10" s="80">
        <v>2.0833000000000002E-3</v>
      </c>
      <c r="D10" s="79">
        <v>39</v>
      </c>
      <c r="E10" s="83">
        <f t="shared" si="0"/>
        <v>8.1248700000000007E-2</v>
      </c>
      <c r="F10" s="80">
        <v>2.0833000000000002E-3</v>
      </c>
    </row>
    <row r="11" spans="1:8" x14ac:dyDescent="0.45">
      <c r="A11" s="79">
        <v>10</v>
      </c>
      <c r="B11" s="83">
        <f>SUM(B2*A11)</f>
        <v>2.0833000000000001E-2</v>
      </c>
      <c r="C11" s="80">
        <v>2.0833000000000002E-3</v>
      </c>
      <c r="D11" s="79">
        <v>40</v>
      </c>
      <c r="E11" s="83">
        <f t="shared" si="0"/>
        <v>8.3332000000000003E-2</v>
      </c>
      <c r="F11" s="80">
        <v>2.0833000000000002E-3</v>
      </c>
    </row>
    <row r="12" spans="1:8" x14ac:dyDescent="0.45">
      <c r="A12" s="79">
        <v>11</v>
      </c>
      <c r="B12" s="83">
        <f>SUM(B2*A12)</f>
        <v>2.2916300000000001E-2</v>
      </c>
      <c r="C12" s="80">
        <v>2.0833000000000002E-3</v>
      </c>
      <c r="D12" s="79">
        <v>41</v>
      </c>
      <c r="E12" s="83">
        <f t="shared" si="0"/>
        <v>8.5415300000000013E-2</v>
      </c>
      <c r="F12" s="80">
        <v>2.0833000000000002E-3</v>
      </c>
    </row>
    <row r="13" spans="1:8" x14ac:dyDescent="0.45">
      <c r="A13" s="79">
        <v>12</v>
      </c>
      <c r="B13" s="83">
        <f>SUM(B2*A13)</f>
        <v>2.4999600000000004E-2</v>
      </c>
      <c r="C13" s="80">
        <v>2.0833000000000002E-3</v>
      </c>
      <c r="D13" s="79">
        <v>42</v>
      </c>
      <c r="E13" s="83">
        <f t="shared" si="0"/>
        <v>8.749860000000001E-2</v>
      </c>
      <c r="F13" s="80">
        <v>2.0833000000000002E-3</v>
      </c>
    </row>
    <row r="14" spans="1:8" x14ac:dyDescent="0.45">
      <c r="A14" s="79">
        <v>13</v>
      </c>
      <c r="B14" s="83">
        <f>SUM(B2*A14)</f>
        <v>2.7082900000000003E-2</v>
      </c>
      <c r="C14" s="80">
        <v>2.0833000000000002E-3</v>
      </c>
      <c r="D14" s="79">
        <v>43</v>
      </c>
      <c r="E14" s="83">
        <f t="shared" si="0"/>
        <v>8.9581900000000006E-2</v>
      </c>
      <c r="F14" s="80">
        <v>2.0833000000000002E-3</v>
      </c>
    </row>
    <row r="15" spans="1:8" x14ac:dyDescent="0.45">
      <c r="A15" s="79">
        <v>14</v>
      </c>
      <c r="B15" s="83">
        <f>SUM(B2*A15)</f>
        <v>2.9166200000000003E-2</v>
      </c>
      <c r="C15" s="80">
        <v>2.0833000000000002E-3</v>
      </c>
      <c r="D15" s="79">
        <v>44</v>
      </c>
      <c r="E15" s="83">
        <f t="shared" si="0"/>
        <v>9.1665200000000002E-2</v>
      </c>
      <c r="F15" s="80">
        <v>2.0833000000000002E-3</v>
      </c>
    </row>
    <row r="16" spans="1:8" x14ac:dyDescent="0.45">
      <c r="A16" s="79">
        <v>15</v>
      </c>
      <c r="B16" s="83">
        <f>SUM(B2*A16)</f>
        <v>3.1249500000000003E-2</v>
      </c>
      <c r="C16" s="80">
        <v>2.0833000000000002E-3</v>
      </c>
      <c r="D16" s="79">
        <v>45</v>
      </c>
      <c r="E16" s="83">
        <f t="shared" si="0"/>
        <v>9.3748500000000012E-2</v>
      </c>
      <c r="F16" s="80">
        <v>2.0833000000000002E-3</v>
      </c>
    </row>
    <row r="17" spans="1:6" x14ac:dyDescent="0.45">
      <c r="A17" s="79">
        <v>16</v>
      </c>
      <c r="B17" s="83">
        <f>SUM(B2*A17)</f>
        <v>3.3332800000000003E-2</v>
      </c>
      <c r="C17" s="80">
        <v>2.0833000000000002E-3</v>
      </c>
      <c r="D17" s="79">
        <v>46</v>
      </c>
      <c r="E17" s="83">
        <f t="shared" si="0"/>
        <v>9.5831800000000009E-2</v>
      </c>
      <c r="F17" s="80">
        <v>2.0833000000000002E-3</v>
      </c>
    </row>
    <row r="18" spans="1:6" x14ac:dyDescent="0.45">
      <c r="A18" s="79">
        <v>17</v>
      </c>
      <c r="B18" s="83">
        <f>SUM(B2*A18)</f>
        <v>3.5416100000000006E-2</v>
      </c>
      <c r="C18" s="80">
        <v>2.0833000000000002E-3</v>
      </c>
      <c r="D18" s="79">
        <v>47</v>
      </c>
      <c r="E18" s="83">
        <f t="shared" si="0"/>
        <v>9.7915100000000005E-2</v>
      </c>
      <c r="F18" s="80">
        <v>2.0833000000000002E-3</v>
      </c>
    </row>
    <row r="19" spans="1:6" x14ac:dyDescent="0.45">
      <c r="A19" s="79">
        <v>18</v>
      </c>
      <c r="B19" s="83">
        <f>SUM(C19*A19)</f>
        <v>3.7499400000000002E-2</v>
      </c>
      <c r="C19" s="80">
        <v>2.0833000000000002E-3</v>
      </c>
      <c r="D19" s="79">
        <v>48</v>
      </c>
      <c r="E19" s="83">
        <f t="shared" si="0"/>
        <v>9.9998400000000015E-2</v>
      </c>
      <c r="F19" s="80">
        <v>2.0833000000000002E-3</v>
      </c>
    </row>
    <row r="20" spans="1:6" x14ac:dyDescent="0.45">
      <c r="A20" s="79">
        <v>19</v>
      </c>
      <c r="B20" s="83">
        <f t="shared" ref="B20:B26" si="1">SUM(C20*A20)</f>
        <v>3.9582700000000005E-2</v>
      </c>
      <c r="C20" s="80">
        <v>2.0833000000000002E-3</v>
      </c>
      <c r="D20" s="79">
        <v>49</v>
      </c>
      <c r="E20" s="83">
        <f t="shared" si="0"/>
        <v>0.10208170000000001</v>
      </c>
      <c r="F20" s="80">
        <v>2.0833000000000002E-3</v>
      </c>
    </row>
    <row r="21" spans="1:6" x14ac:dyDescent="0.45">
      <c r="A21" s="79">
        <v>20</v>
      </c>
      <c r="B21" s="83">
        <f t="shared" si="1"/>
        <v>4.1666000000000002E-2</v>
      </c>
      <c r="C21" s="80">
        <v>2.0833000000000002E-3</v>
      </c>
      <c r="D21" s="79">
        <v>50</v>
      </c>
      <c r="E21" s="83">
        <f t="shared" si="0"/>
        <v>0.10416500000000001</v>
      </c>
      <c r="F21" s="80">
        <v>2.0833000000000002E-3</v>
      </c>
    </row>
    <row r="22" spans="1:6" x14ac:dyDescent="0.45">
      <c r="A22" s="79">
        <v>21</v>
      </c>
      <c r="B22" s="83">
        <f t="shared" si="1"/>
        <v>4.3749300000000005E-2</v>
      </c>
      <c r="C22" s="80">
        <v>2.0833000000000002E-3</v>
      </c>
      <c r="D22" s="79">
        <v>51</v>
      </c>
      <c r="E22" s="83">
        <f t="shared" si="0"/>
        <v>0.1062483</v>
      </c>
      <c r="F22" s="80">
        <v>2.0833000000000002E-3</v>
      </c>
    </row>
    <row r="23" spans="1:6" x14ac:dyDescent="0.45">
      <c r="A23" s="79">
        <v>22</v>
      </c>
      <c r="B23" s="83">
        <f t="shared" si="1"/>
        <v>4.5832600000000001E-2</v>
      </c>
      <c r="C23" s="80">
        <v>2.0833000000000002E-3</v>
      </c>
      <c r="D23" s="79">
        <v>52</v>
      </c>
      <c r="E23" s="83">
        <f t="shared" si="0"/>
        <v>0.10833160000000001</v>
      </c>
      <c r="F23" s="80">
        <v>2.0833000000000002E-3</v>
      </c>
    </row>
    <row r="24" spans="1:6" x14ac:dyDescent="0.45">
      <c r="A24" s="79">
        <v>23</v>
      </c>
      <c r="B24" s="83">
        <f t="shared" si="1"/>
        <v>4.7915900000000004E-2</v>
      </c>
      <c r="C24" s="80">
        <v>2.0833000000000002E-3</v>
      </c>
      <c r="D24" s="79">
        <v>53</v>
      </c>
      <c r="E24" s="83">
        <f t="shared" si="0"/>
        <v>0.11041490000000001</v>
      </c>
      <c r="F24" s="80">
        <v>2.0833000000000002E-3</v>
      </c>
    </row>
    <row r="25" spans="1:6" x14ac:dyDescent="0.45">
      <c r="A25" s="79">
        <v>24</v>
      </c>
      <c r="B25" s="83">
        <f t="shared" si="1"/>
        <v>4.9999200000000008E-2</v>
      </c>
      <c r="C25" s="80">
        <v>2.0833000000000002E-3</v>
      </c>
      <c r="D25" s="79">
        <v>54</v>
      </c>
      <c r="E25" s="83">
        <f t="shared" si="0"/>
        <v>0.11249820000000001</v>
      </c>
      <c r="F25" s="80">
        <v>2.0833000000000002E-3</v>
      </c>
    </row>
    <row r="26" spans="1:6" x14ac:dyDescent="0.45">
      <c r="A26" s="79">
        <v>25</v>
      </c>
      <c r="B26" s="83">
        <f t="shared" si="1"/>
        <v>5.2082500000000004E-2</v>
      </c>
      <c r="C26" s="80">
        <v>2.0833000000000002E-3</v>
      </c>
      <c r="D26" s="79">
        <v>55</v>
      </c>
      <c r="E26" s="83">
        <f t="shared" si="0"/>
        <v>0.1145815</v>
      </c>
      <c r="F26" s="80">
        <v>2.0833000000000002E-3</v>
      </c>
    </row>
    <row r="27" spans="1:6" x14ac:dyDescent="0.45">
      <c r="A27" s="79">
        <v>26</v>
      </c>
      <c r="B27" s="83">
        <f>SUM(C27*A27)</f>
        <v>5.4165800000000007E-2</v>
      </c>
      <c r="C27" s="80">
        <v>2.0833000000000002E-3</v>
      </c>
      <c r="D27" s="79">
        <v>56</v>
      </c>
      <c r="E27" s="83">
        <f t="shared" si="0"/>
        <v>0.11666480000000001</v>
      </c>
      <c r="F27" s="80">
        <v>2.0833000000000002E-3</v>
      </c>
    </row>
    <row r="28" spans="1:6" x14ac:dyDescent="0.45">
      <c r="A28" s="79">
        <v>27</v>
      </c>
      <c r="B28" s="83">
        <f>SUM(C28*A28)</f>
        <v>5.6249100000000003E-2</v>
      </c>
      <c r="C28" s="80">
        <v>2.0833000000000002E-3</v>
      </c>
      <c r="D28" s="79">
        <v>57</v>
      </c>
      <c r="E28" s="83">
        <f t="shared" si="0"/>
        <v>0.11874810000000001</v>
      </c>
      <c r="F28" s="80">
        <v>2.0833000000000002E-3</v>
      </c>
    </row>
    <row r="29" spans="1:6" x14ac:dyDescent="0.45">
      <c r="A29" s="79">
        <v>28</v>
      </c>
      <c r="B29" s="83">
        <f>SUM(C29*A29)</f>
        <v>5.8332400000000006E-2</v>
      </c>
      <c r="C29" s="80">
        <v>2.0833000000000002E-3</v>
      </c>
      <c r="D29" s="79">
        <v>58</v>
      </c>
      <c r="E29" s="83">
        <f t="shared" si="0"/>
        <v>0.12083140000000001</v>
      </c>
      <c r="F29" s="80">
        <v>2.0833000000000002E-3</v>
      </c>
    </row>
    <row r="30" spans="1:6" x14ac:dyDescent="0.45">
      <c r="A30" s="79">
        <v>29</v>
      </c>
      <c r="B30" s="83">
        <f>SUM(C30*A30)</f>
        <v>6.0415700000000003E-2</v>
      </c>
      <c r="C30" s="80">
        <v>2.0833000000000002E-3</v>
      </c>
      <c r="D30" s="79">
        <v>59</v>
      </c>
      <c r="E30" s="83">
        <f t="shared" si="0"/>
        <v>0.12291470000000002</v>
      </c>
      <c r="F30" s="80">
        <v>2.0833000000000002E-3</v>
      </c>
    </row>
    <row r="31" spans="1:6" x14ac:dyDescent="0.45">
      <c r="A31" s="79">
        <v>30</v>
      </c>
      <c r="B31" s="83">
        <f>SUM(C31*A31)</f>
        <v>6.2499000000000006E-2</v>
      </c>
      <c r="C31" s="80">
        <v>2.0833000000000002E-3</v>
      </c>
      <c r="D31" s="79"/>
      <c r="E31" s="80"/>
      <c r="F31" s="82"/>
    </row>
  </sheetData>
  <mergeCells count="2">
    <mergeCell ref="A1:F1"/>
    <mergeCell ref="G1:H1"/>
  </mergeCells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PANER E.</vt:lpstr>
      <vt:lpstr>MENDOZA L.</vt:lpstr>
      <vt:lpstr>CASTILLO M.</vt:lpstr>
      <vt:lpstr>GOZAR R.</vt:lpstr>
      <vt:lpstr>GOZAR S.</vt:lpstr>
      <vt:lpstr>LEA DIMAANO</vt:lpstr>
      <vt:lpstr>LEONAR R</vt:lpstr>
      <vt:lpstr>MARASIGAN J (2)</vt:lpstr>
      <vt:lpstr>MARASIGAN J</vt:lpstr>
      <vt:lpstr>CRISPIN C. (2)</vt:lpstr>
      <vt:lpstr>CRISPIN C.</vt:lpstr>
      <vt:lpstr>ONAL E</vt:lpstr>
      <vt:lpstr>NICASIO C (2)</vt:lpstr>
      <vt:lpstr>Sheet2</vt:lpstr>
      <vt:lpstr>Sheet3</vt:lpstr>
      <vt:lpstr>NICASIO C</vt:lpstr>
      <vt:lpstr>STEPHANINE ANN T.</vt:lpstr>
      <vt:lpstr>BLANK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Patrick Cusi</cp:lastModifiedBy>
  <cp:lastPrinted>2026-04-27T13:48:15Z</cp:lastPrinted>
  <dcterms:created xsi:type="dcterms:W3CDTF">2025-10-30T07:04:56Z</dcterms:created>
  <dcterms:modified xsi:type="dcterms:W3CDTF">2026-06-11T07:32:06Z</dcterms:modified>
</cp:coreProperties>
</file>